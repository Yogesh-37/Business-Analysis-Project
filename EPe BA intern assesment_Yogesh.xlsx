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mc:AlternateContent xmlns:mc="http://schemas.openxmlformats.org/markup-compatibility/2006">
    <mc:Choice Requires="x15">
      <x15ac:absPath xmlns:x15ac="http://schemas.microsoft.com/office/spreadsheetml/2010/11/ac" url="/Users/yogeshsharma/Downloads/"/>
    </mc:Choice>
  </mc:AlternateContent>
  <xr:revisionPtr revIDLastSave="0" documentId="8_{A5DC4F2D-AA64-1846-8ACC-4A7004D1CAAC}" xr6:coauthVersionLast="47" xr6:coauthVersionMax="47" xr10:uidLastSave="{00000000-0000-0000-0000-000000000000}"/>
  <bookViews>
    <workbookView xWindow="0" yWindow="720" windowWidth="29400" windowHeight="18400" activeTab="9" xr2:uid="{00000000-000D-0000-FFFF-FFFF00000000}"/>
  </bookViews>
  <sheets>
    <sheet name="Data" sheetId="1" r:id="rId1"/>
    <sheet name="Analysis 1" sheetId="2" r:id="rId2"/>
    <sheet name="Analysis 2" sheetId="3" r:id="rId3"/>
    <sheet name="Detail1" sheetId="5" state="hidden" r:id="rId4"/>
    <sheet name="Analysis 3" sheetId="4" r:id="rId5"/>
    <sheet name="Analysis 4" sheetId="6" r:id="rId6"/>
    <sheet name="Detail2" sheetId="12" state="hidden" r:id="rId7"/>
    <sheet name="Analysis 5" sheetId="7" r:id="rId8"/>
    <sheet name="High potential leads" sheetId="8" r:id="rId9"/>
    <sheet name="Dashboard" sheetId="9" r:id="rId10"/>
  </sheets>
  <definedNames>
    <definedName name="_xlnm._FilterDatabase" localSheetId="0" hidden="1">Data!$A$1:$S$1001</definedName>
    <definedName name="NativeTimeline_Delivery_Date">#N/A</definedName>
    <definedName name="NativeTimeline_Lead_Date">#N/A</definedName>
    <definedName name="Slicer_Cancellation_Reason">#N/A</definedName>
    <definedName name="Slicer_Cancellation_Status">#N/A</definedName>
    <definedName name="Slicer_Lead_Type">#N/A</definedName>
    <definedName name="Slicer_NPS_Category">#N/A</definedName>
    <definedName name="Slicer_Store_Name">#N/A</definedName>
  </definedNames>
  <calcPr calcId="191028"/>
  <pivotCaches>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7" l="1"/>
  <c r="H7" i="7"/>
  <c r="H8" i="7"/>
  <c r="H9" i="7"/>
  <c r="H5" i="7"/>
  <c r="S3" i="1" a="1"/>
  <c r="S3" i="1"/>
  <c r="S4" i="1" a="1"/>
  <c r="S4" i="1"/>
  <c r="S5" i="1" a="1"/>
  <c r="S5" i="1"/>
  <c r="S6" i="1" a="1"/>
  <c r="S6" i="1"/>
  <c r="S7" i="1" a="1"/>
  <c r="S7" i="1"/>
  <c r="S8" i="1" a="1"/>
  <c r="S8" i="1"/>
  <c r="S9" i="1" a="1"/>
  <c r="S9" i="1"/>
  <c r="S10" i="1" a="1"/>
  <c r="S10" i="1"/>
  <c r="S11" i="1" a="1"/>
  <c r="S11" i="1"/>
  <c r="S12" i="1" a="1"/>
  <c r="S12" i="1"/>
  <c r="S13" i="1" a="1"/>
  <c r="S13" i="1"/>
  <c r="S14" i="1" a="1"/>
  <c r="S14" i="1"/>
  <c r="S15" i="1" a="1"/>
  <c r="S15" i="1"/>
  <c r="S16" i="1" a="1"/>
  <c r="S16" i="1"/>
  <c r="S17" i="1" a="1"/>
  <c r="S17" i="1"/>
  <c r="S18" i="1" a="1"/>
  <c r="S18" i="1"/>
  <c r="S19" i="1" a="1"/>
  <c r="S19" i="1"/>
  <c r="S20" i="1" a="1"/>
  <c r="S20" i="1"/>
  <c r="S21" i="1" a="1"/>
  <c r="S21" i="1"/>
  <c r="S22" i="1" a="1"/>
  <c r="S22" i="1"/>
  <c r="S23" i="1" a="1"/>
  <c r="S23" i="1"/>
  <c r="S24" i="1" a="1"/>
  <c r="S24" i="1"/>
  <c r="S25" i="1" a="1"/>
  <c r="S25" i="1"/>
  <c r="S26" i="1" a="1"/>
  <c r="S26" i="1"/>
  <c r="S27" i="1" a="1"/>
  <c r="S27" i="1"/>
  <c r="S28" i="1" a="1"/>
  <c r="S28" i="1"/>
  <c r="S29" i="1" a="1"/>
  <c r="S29" i="1"/>
  <c r="S30" i="1" a="1"/>
  <c r="S30" i="1"/>
  <c r="S31" i="1" a="1"/>
  <c r="S31" i="1"/>
  <c r="S32" i="1" a="1"/>
  <c r="S32" i="1"/>
  <c r="S33" i="1" a="1"/>
  <c r="S33" i="1"/>
  <c r="S34" i="1" a="1"/>
  <c r="S34" i="1"/>
  <c r="S35" i="1" a="1"/>
  <c r="S35" i="1"/>
  <c r="S36" i="1" a="1"/>
  <c r="S36" i="1"/>
  <c r="S37" i="1" a="1"/>
  <c r="S37" i="1"/>
  <c r="S38" i="1" a="1"/>
  <c r="S38" i="1"/>
  <c r="S39" i="1" a="1"/>
  <c r="S39" i="1"/>
  <c r="S40" i="1" a="1"/>
  <c r="S40" i="1"/>
  <c r="S41" i="1" a="1"/>
  <c r="S41" i="1"/>
  <c r="S42" i="1" a="1"/>
  <c r="S42" i="1"/>
  <c r="S43" i="1" a="1"/>
  <c r="S43" i="1"/>
  <c r="S44" i="1" a="1"/>
  <c r="S44" i="1"/>
  <c r="S45" i="1" a="1"/>
  <c r="S45" i="1"/>
  <c r="S46" i="1" a="1"/>
  <c r="S46" i="1"/>
  <c r="S47" i="1" a="1"/>
  <c r="S47" i="1"/>
  <c r="S48" i="1" a="1"/>
  <c r="S48" i="1"/>
  <c r="S49" i="1" a="1"/>
  <c r="S49" i="1"/>
  <c r="S50" i="1" a="1"/>
  <c r="S50" i="1"/>
  <c r="S51" i="1" a="1"/>
  <c r="S51" i="1"/>
  <c r="S52" i="1" a="1"/>
  <c r="S52" i="1"/>
  <c r="S53" i="1" a="1"/>
  <c r="S53" i="1"/>
  <c r="S54" i="1" a="1"/>
  <c r="S54" i="1"/>
  <c r="S55" i="1" a="1"/>
  <c r="S55" i="1"/>
  <c r="S56" i="1" a="1"/>
  <c r="S56" i="1"/>
  <c r="S57" i="1" a="1"/>
  <c r="S57" i="1"/>
  <c r="S58" i="1" a="1"/>
  <c r="S58" i="1"/>
  <c r="S59" i="1" a="1"/>
  <c r="S59" i="1"/>
  <c r="S60" i="1" a="1"/>
  <c r="S60" i="1"/>
  <c r="S61" i="1" a="1"/>
  <c r="S61" i="1"/>
  <c r="S62" i="1" a="1"/>
  <c r="S62" i="1"/>
  <c r="S63" i="1" a="1"/>
  <c r="S63" i="1"/>
  <c r="S64" i="1" a="1"/>
  <c r="S64" i="1"/>
  <c r="S65" i="1" a="1"/>
  <c r="S65" i="1"/>
  <c r="S66" i="1" a="1"/>
  <c r="S66" i="1"/>
  <c r="S67" i="1" a="1"/>
  <c r="S67" i="1"/>
  <c r="S68" i="1" a="1"/>
  <c r="S68" i="1"/>
  <c r="S69" i="1" a="1"/>
  <c r="S69" i="1"/>
  <c r="S70" i="1" a="1"/>
  <c r="S70" i="1"/>
  <c r="S71" i="1" a="1"/>
  <c r="S71" i="1"/>
  <c r="S72" i="1" a="1"/>
  <c r="S72" i="1"/>
  <c r="S73" i="1" a="1"/>
  <c r="S73" i="1"/>
  <c r="S74" i="1" a="1"/>
  <c r="S74" i="1"/>
  <c r="S75" i="1" a="1"/>
  <c r="S75" i="1"/>
  <c r="S76" i="1" a="1"/>
  <c r="S76" i="1"/>
  <c r="S77" i="1" a="1"/>
  <c r="S77" i="1"/>
  <c r="S78" i="1" a="1"/>
  <c r="S78" i="1"/>
  <c r="S79" i="1" a="1"/>
  <c r="S79" i="1"/>
  <c r="S80" i="1" a="1"/>
  <c r="S80" i="1"/>
  <c r="S81" i="1" a="1"/>
  <c r="S81" i="1"/>
  <c r="S82" i="1" a="1"/>
  <c r="S82" i="1"/>
  <c r="S83" i="1" a="1"/>
  <c r="S83" i="1"/>
  <c r="S84" i="1" a="1"/>
  <c r="S84" i="1"/>
  <c r="S85" i="1" a="1"/>
  <c r="S85" i="1"/>
  <c r="S86" i="1" a="1"/>
  <c r="S86" i="1"/>
  <c r="S87" i="1" a="1"/>
  <c r="S87" i="1"/>
  <c r="S88" i="1" a="1"/>
  <c r="S88" i="1"/>
  <c r="S89" i="1" a="1"/>
  <c r="S89" i="1"/>
  <c r="S90" i="1" a="1"/>
  <c r="S90" i="1"/>
  <c r="S91" i="1" a="1"/>
  <c r="S91" i="1"/>
  <c r="S92" i="1" a="1"/>
  <c r="S92" i="1"/>
  <c r="S93" i="1" a="1"/>
  <c r="S93" i="1"/>
  <c r="S94" i="1" a="1"/>
  <c r="S94" i="1"/>
  <c r="S95" i="1" a="1"/>
  <c r="S95" i="1"/>
  <c r="S96" i="1" a="1"/>
  <c r="S96" i="1"/>
  <c r="S97" i="1" a="1"/>
  <c r="S97" i="1"/>
  <c r="S98" i="1" a="1"/>
  <c r="S98" i="1"/>
  <c r="S99" i="1" a="1"/>
  <c r="S99" i="1"/>
  <c r="S100" i="1" a="1"/>
  <c r="S100" i="1"/>
  <c r="S101" i="1" a="1"/>
  <c r="S101" i="1"/>
  <c r="S102" i="1" a="1"/>
  <c r="S102" i="1"/>
  <c r="S103" i="1" a="1"/>
  <c r="S103" i="1"/>
  <c r="S104" i="1" a="1"/>
  <c r="S104" i="1"/>
  <c r="S105" i="1" a="1"/>
  <c r="S105" i="1"/>
  <c r="S106" i="1" a="1"/>
  <c r="S106" i="1"/>
  <c r="S107" i="1" a="1"/>
  <c r="S107" i="1"/>
  <c r="S108" i="1" a="1"/>
  <c r="S108" i="1"/>
  <c r="S109" i="1" a="1"/>
  <c r="S109" i="1"/>
  <c r="S110" i="1" a="1"/>
  <c r="S110" i="1"/>
  <c r="S111" i="1" a="1"/>
  <c r="S111" i="1"/>
  <c r="S112" i="1" a="1"/>
  <c r="S112" i="1"/>
  <c r="S113" i="1" a="1"/>
  <c r="S113" i="1"/>
  <c r="S114" i="1" a="1"/>
  <c r="S114" i="1"/>
  <c r="S115" i="1" a="1"/>
  <c r="S115" i="1"/>
  <c r="S116" i="1" a="1"/>
  <c r="S116" i="1"/>
  <c r="S117" i="1" a="1"/>
  <c r="S117" i="1"/>
  <c r="S118" i="1" a="1"/>
  <c r="S118" i="1"/>
  <c r="S119" i="1" a="1"/>
  <c r="S119" i="1"/>
  <c r="S120" i="1" a="1"/>
  <c r="S120" i="1"/>
  <c r="S121" i="1" a="1"/>
  <c r="S121" i="1"/>
  <c r="S122" i="1" a="1"/>
  <c r="S122" i="1"/>
  <c r="S123" i="1" a="1"/>
  <c r="S123" i="1"/>
  <c r="S124" i="1" a="1"/>
  <c r="S124" i="1"/>
  <c r="S125" i="1" a="1"/>
  <c r="S125" i="1"/>
  <c r="S126" i="1" a="1"/>
  <c r="S126" i="1"/>
  <c r="S127" i="1" a="1"/>
  <c r="S127" i="1"/>
  <c r="S128" i="1" a="1"/>
  <c r="S128" i="1"/>
  <c r="S129" i="1" a="1"/>
  <c r="S129" i="1"/>
  <c r="S130" i="1" a="1"/>
  <c r="S130" i="1"/>
  <c r="S131" i="1" a="1"/>
  <c r="S131" i="1"/>
  <c r="S132" i="1" a="1"/>
  <c r="S132" i="1"/>
  <c r="S133" i="1" a="1"/>
  <c r="S133" i="1"/>
  <c r="S134" i="1" a="1"/>
  <c r="S134" i="1"/>
  <c r="S135" i="1" a="1"/>
  <c r="S135" i="1"/>
  <c r="S136" i="1" a="1"/>
  <c r="S136" i="1"/>
  <c r="S137" i="1" a="1"/>
  <c r="S137" i="1"/>
  <c r="S138" i="1" a="1"/>
  <c r="S138" i="1"/>
  <c r="S139" i="1" a="1"/>
  <c r="S139" i="1"/>
  <c r="S140" i="1" a="1"/>
  <c r="S140" i="1"/>
  <c r="S141" i="1" a="1"/>
  <c r="S141" i="1"/>
  <c r="S142" i="1" a="1"/>
  <c r="S142" i="1"/>
  <c r="S143" i="1" a="1"/>
  <c r="S143" i="1"/>
  <c r="S144" i="1" a="1"/>
  <c r="S144" i="1"/>
  <c r="S145" i="1" a="1"/>
  <c r="S145" i="1"/>
  <c r="S146" i="1" a="1"/>
  <c r="S146" i="1"/>
  <c r="S147" i="1" a="1"/>
  <c r="S147" i="1"/>
  <c r="S148" i="1" a="1"/>
  <c r="S148" i="1"/>
  <c r="S149" i="1" a="1"/>
  <c r="S149" i="1"/>
  <c r="S150" i="1" a="1"/>
  <c r="S150" i="1"/>
  <c r="S151" i="1" a="1"/>
  <c r="S151" i="1"/>
  <c r="S152" i="1" a="1"/>
  <c r="S152" i="1"/>
  <c r="S153" i="1" a="1"/>
  <c r="S153" i="1"/>
  <c r="S154" i="1" a="1"/>
  <c r="S154" i="1"/>
  <c r="S155" i="1" a="1"/>
  <c r="S155" i="1"/>
  <c r="S156" i="1" a="1"/>
  <c r="S156" i="1"/>
  <c r="S157" i="1" a="1"/>
  <c r="S157" i="1"/>
  <c r="S158" i="1" a="1"/>
  <c r="S158" i="1"/>
  <c r="S159" i="1" a="1"/>
  <c r="S159" i="1"/>
  <c r="S160" i="1" a="1"/>
  <c r="S160" i="1"/>
  <c r="S161" i="1" a="1"/>
  <c r="S161" i="1"/>
  <c r="S162" i="1" a="1"/>
  <c r="S162" i="1"/>
  <c r="S163" i="1" a="1"/>
  <c r="S163" i="1"/>
  <c r="S164" i="1" a="1"/>
  <c r="S164" i="1"/>
  <c r="S165" i="1" a="1"/>
  <c r="S165" i="1"/>
  <c r="S166" i="1" a="1"/>
  <c r="S166" i="1"/>
  <c r="S167" i="1" a="1"/>
  <c r="S167" i="1"/>
  <c r="S168" i="1" a="1"/>
  <c r="S168" i="1"/>
  <c r="S169" i="1" a="1"/>
  <c r="S169" i="1"/>
  <c r="S170" i="1" a="1"/>
  <c r="S170" i="1"/>
  <c r="S171" i="1" a="1"/>
  <c r="S171" i="1"/>
  <c r="S172" i="1" a="1"/>
  <c r="S172" i="1"/>
  <c r="S173" i="1" a="1"/>
  <c r="S173" i="1"/>
  <c r="S174" i="1" a="1"/>
  <c r="S174" i="1"/>
  <c r="S175" i="1" a="1"/>
  <c r="S175" i="1"/>
  <c r="S176" i="1" a="1"/>
  <c r="S176" i="1"/>
  <c r="S177" i="1" a="1"/>
  <c r="S177" i="1"/>
  <c r="S178" i="1" a="1"/>
  <c r="S178" i="1"/>
  <c r="S179" i="1" a="1"/>
  <c r="S179" i="1"/>
  <c r="S180" i="1" a="1"/>
  <c r="S180" i="1"/>
  <c r="S181" i="1" a="1"/>
  <c r="S181" i="1"/>
  <c r="S182" i="1" a="1"/>
  <c r="S182" i="1"/>
  <c r="S183" i="1" a="1"/>
  <c r="S183" i="1"/>
  <c r="S184" i="1" a="1"/>
  <c r="S184" i="1"/>
  <c r="S185" i="1" a="1"/>
  <c r="S185" i="1"/>
  <c r="S186" i="1" a="1"/>
  <c r="S186" i="1"/>
  <c r="S187" i="1" a="1"/>
  <c r="S187" i="1"/>
  <c r="S188" i="1" a="1"/>
  <c r="S188" i="1"/>
  <c r="S189" i="1" a="1"/>
  <c r="S189" i="1"/>
  <c r="S190" i="1" a="1"/>
  <c r="S190" i="1"/>
  <c r="S191" i="1" a="1"/>
  <c r="S191" i="1"/>
  <c r="S192" i="1" a="1"/>
  <c r="S192" i="1"/>
  <c r="S193" i="1" a="1"/>
  <c r="S193" i="1"/>
  <c r="S194" i="1" a="1"/>
  <c r="S194" i="1"/>
  <c r="S195" i="1" a="1"/>
  <c r="S195" i="1"/>
  <c r="S196" i="1" a="1"/>
  <c r="S196" i="1"/>
  <c r="S197" i="1" a="1"/>
  <c r="S197" i="1"/>
  <c r="S198" i="1" a="1"/>
  <c r="S198" i="1"/>
  <c r="S199" i="1" a="1"/>
  <c r="S199" i="1"/>
  <c r="S200" i="1" a="1"/>
  <c r="S200" i="1"/>
  <c r="S201" i="1" a="1"/>
  <c r="S201" i="1"/>
  <c r="S202" i="1" a="1"/>
  <c r="S202" i="1"/>
  <c r="S203" i="1" a="1"/>
  <c r="S203" i="1"/>
  <c r="S204" i="1" a="1"/>
  <c r="S204" i="1"/>
  <c r="S205" i="1" a="1"/>
  <c r="S205" i="1"/>
  <c r="S206" i="1" a="1"/>
  <c r="S206" i="1"/>
  <c r="S207" i="1" a="1"/>
  <c r="S207" i="1"/>
  <c r="S208" i="1" a="1"/>
  <c r="S208" i="1"/>
  <c r="S209" i="1" a="1"/>
  <c r="S209" i="1"/>
  <c r="S210" i="1" a="1"/>
  <c r="S210" i="1"/>
  <c r="S211" i="1" a="1"/>
  <c r="S211" i="1"/>
  <c r="S212" i="1" a="1"/>
  <c r="S212" i="1"/>
  <c r="S213" i="1" a="1"/>
  <c r="S213" i="1"/>
  <c r="S214" i="1" a="1"/>
  <c r="S214" i="1"/>
  <c r="S215" i="1" a="1"/>
  <c r="S215" i="1"/>
  <c r="S216" i="1" a="1"/>
  <c r="S216" i="1"/>
  <c r="S217" i="1" a="1"/>
  <c r="S217" i="1"/>
  <c r="S218" i="1" a="1"/>
  <c r="S218" i="1"/>
  <c r="S219" i="1" a="1"/>
  <c r="S219" i="1"/>
  <c r="S220" i="1" a="1"/>
  <c r="S220" i="1"/>
  <c r="S221" i="1" a="1"/>
  <c r="S221" i="1"/>
  <c r="S222" i="1" a="1"/>
  <c r="S222" i="1"/>
  <c r="S223" i="1" a="1"/>
  <c r="S223" i="1"/>
  <c r="S224" i="1" a="1"/>
  <c r="S224" i="1"/>
  <c r="S225" i="1" a="1"/>
  <c r="S225" i="1"/>
  <c r="S226" i="1" a="1"/>
  <c r="S226" i="1"/>
  <c r="S227" i="1" a="1"/>
  <c r="S227" i="1"/>
  <c r="S228" i="1" a="1"/>
  <c r="S228" i="1"/>
  <c r="S229" i="1" a="1"/>
  <c r="S229" i="1"/>
  <c r="S230" i="1" a="1"/>
  <c r="S230" i="1"/>
  <c r="S231" i="1" a="1"/>
  <c r="S231" i="1"/>
  <c r="S232" i="1" a="1"/>
  <c r="S232" i="1"/>
  <c r="S233" i="1" a="1"/>
  <c r="S233" i="1"/>
  <c r="S234" i="1" a="1"/>
  <c r="S234" i="1"/>
  <c r="S235" i="1" a="1"/>
  <c r="S235" i="1"/>
  <c r="S236" i="1" a="1"/>
  <c r="S236" i="1"/>
  <c r="S237" i="1" a="1"/>
  <c r="S237" i="1"/>
  <c r="S238" i="1" a="1"/>
  <c r="S238" i="1"/>
  <c r="S239" i="1" a="1"/>
  <c r="S239" i="1"/>
  <c r="S240" i="1" a="1"/>
  <c r="S240" i="1"/>
  <c r="S241" i="1" a="1"/>
  <c r="S241" i="1"/>
  <c r="S242" i="1" a="1"/>
  <c r="S242" i="1"/>
  <c r="S243" i="1" a="1"/>
  <c r="S243" i="1"/>
  <c r="S244" i="1" a="1"/>
  <c r="S244" i="1"/>
  <c r="S245" i="1" a="1"/>
  <c r="S245" i="1"/>
  <c r="S246" i="1" a="1"/>
  <c r="S246" i="1"/>
  <c r="S247" i="1" a="1"/>
  <c r="S247" i="1"/>
  <c r="S248" i="1" a="1"/>
  <c r="S248" i="1"/>
  <c r="S249" i="1" a="1"/>
  <c r="S249" i="1"/>
  <c r="S250" i="1" a="1"/>
  <c r="S250" i="1"/>
  <c r="S251" i="1" a="1"/>
  <c r="S251" i="1"/>
  <c r="S252" i="1" a="1"/>
  <c r="S252" i="1"/>
  <c r="S253" i="1" a="1"/>
  <c r="S253" i="1"/>
  <c r="S254" i="1" a="1"/>
  <c r="S254" i="1"/>
  <c r="S255" i="1" a="1"/>
  <c r="S255" i="1"/>
  <c r="S256" i="1" a="1"/>
  <c r="S256" i="1"/>
  <c r="S257" i="1" a="1"/>
  <c r="S257" i="1"/>
  <c r="S258" i="1" a="1"/>
  <c r="S258" i="1"/>
  <c r="S259" i="1" a="1"/>
  <c r="S259" i="1"/>
  <c r="S260" i="1" a="1"/>
  <c r="S260" i="1"/>
  <c r="S261" i="1" a="1"/>
  <c r="S261" i="1"/>
  <c r="S262" i="1" a="1"/>
  <c r="S262" i="1"/>
  <c r="S263" i="1" a="1"/>
  <c r="S263" i="1"/>
  <c r="S264" i="1" a="1"/>
  <c r="S264" i="1"/>
  <c r="S265" i="1" a="1"/>
  <c r="S265" i="1"/>
  <c r="S266" i="1" a="1"/>
  <c r="S266" i="1"/>
  <c r="S267" i="1" a="1"/>
  <c r="S267" i="1"/>
  <c r="S268" i="1" a="1"/>
  <c r="S268" i="1"/>
  <c r="S269" i="1" a="1"/>
  <c r="S269" i="1"/>
  <c r="S270" i="1" a="1"/>
  <c r="S270" i="1"/>
  <c r="S271" i="1" a="1"/>
  <c r="S271" i="1"/>
  <c r="S272" i="1" a="1"/>
  <c r="S272" i="1"/>
  <c r="S273" i="1" a="1"/>
  <c r="S273" i="1"/>
  <c r="S274" i="1" a="1"/>
  <c r="S274" i="1"/>
  <c r="S275" i="1" a="1"/>
  <c r="S275" i="1"/>
  <c r="S276" i="1" a="1"/>
  <c r="S276" i="1"/>
  <c r="S277" i="1" a="1"/>
  <c r="S277" i="1"/>
  <c r="S278" i="1" a="1"/>
  <c r="S278" i="1"/>
  <c r="S279" i="1" a="1"/>
  <c r="S279" i="1"/>
  <c r="S280" i="1" a="1"/>
  <c r="S280" i="1"/>
  <c r="S281" i="1" a="1"/>
  <c r="S281" i="1"/>
  <c r="S282" i="1" a="1"/>
  <c r="S282" i="1"/>
  <c r="S283" i="1" a="1"/>
  <c r="S283" i="1"/>
  <c r="S284" i="1" a="1"/>
  <c r="S284" i="1"/>
  <c r="S285" i="1" a="1"/>
  <c r="S285" i="1"/>
  <c r="S286" i="1" a="1"/>
  <c r="S286" i="1"/>
  <c r="S287" i="1" a="1"/>
  <c r="S287" i="1"/>
  <c r="S288" i="1" a="1"/>
  <c r="S288" i="1"/>
  <c r="S289" i="1" a="1"/>
  <c r="S289" i="1"/>
  <c r="S290" i="1" a="1"/>
  <c r="S290" i="1"/>
  <c r="S291" i="1" a="1"/>
  <c r="S291" i="1"/>
  <c r="S292" i="1" a="1"/>
  <c r="S292" i="1"/>
  <c r="S293" i="1" a="1"/>
  <c r="S293" i="1"/>
  <c r="S294" i="1" a="1"/>
  <c r="S294" i="1"/>
  <c r="S295" i="1" a="1"/>
  <c r="S295" i="1"/>
  <c r="S296" i="1" a="1"/>
  <c r="S296" i="1"/>
  <c r="S297" i="1" a="1"/>
  <c r="S297" i="1"/>
  <c r="S298" i="1" a="1"/>
  <c r="S298" i="1"/>
  <c r="S299" i="1" a="1"/>
  <c r="S299" i="1"/>
  <c r="S300" i="1" a="1"/>
  <c r="S300" i="1"/>
  <c r="S301" i="1" a="1"/>
  <c r="S301" i="1"/>
  <c r="S302" i="1" a="1"/>
  <c r="S302" i="1"/>
  <c r="S303" i="1" a="1"/>
  <c r="S303" i="1"/>
  <c r="S304" i="1" a="1"/>
  <c r="S304" i="1"/>
  <c r="S305" i="1" a="1"/>
  <c r="S305" i="1"/>
  <c r="S306" i="1" a="1"/>
  <c r="S306" i="1"/>
  <c r="S307" i="1" a="1"/>
  <c r="S307" i="1"/>
  <c r="S308" i="1" a="1"/>
  <c r="S308" i="1"/>
  <c r="S309" i="1" a="1"/>
  <c r="S309" i="1"/>
  <c r="S310" i="1" a="1"/>
  <c r="S310" i="1"/>
  <c r="S311" i="1" a="1"/>
  <c r="S311" i="1"/>
  <c r="S312" i="1" a="1"/>
  <c r="S312" i="1"/>
  <c r="S313" i="1" a="1"/>
  <c r="S313" i="1"/>
  <c r="S314" i="1" a="1"/>
  <c r="S314" i="1"/>
  <c r="S315" i="1" a="1"/>
  <c r="S315" i="1"/>
  <c r="S316" i="1" a="1"/>
  <c r="S316" i="1"/>
  <c r="S317" i="1" a="1"/>
  <c r="S317" i="1"/>
  <c r="S318" i="1" a="1"/>
  <c r="S318" i="1"/>
  <c r="S319" i="1" a="1"/>
  <c r="S319" i="1"/>
  <c r="S320" i="1" a="1"/>
  <c r="S320" i="1"/>
  <c r="S321" i="1" a="1"/>
  <c r="S321" i="1"/>
  <c r="S322" i="1" a="1"/>
  <c r="S322" i="1"/>
  <c r="S323" i="1" a="1"/>
  <c r="S323" i="1"/>
  <c r="S324" i="1" a="1"/>
  <c r="S324" i="1"/>
  <c r="S325" i="1" a="1"/>
  <c r="S325" i="1"/>
  <c r="S326" i="1" a="1"/>
  <c r="S326" i="1"/>
  <c r="S327" i="1" a="1"/>
  <c r="S327" i="1"/>
  <c r="S328" i="1" a="1"/>
  <c r="S328" i="1"/>
  <c r="S329" i="1" a="1"/>
  <c r="S329" i="1"/>
  <c r="S330" i="1" a="1"/>
  <c r="S330" i="1"/>
  <c r="S331" i="1" a="1"/>
  <c r="S331" i="1"/>
  <c r="S332" i="1" a="1"/>
  <c r="S332" i="1"/>
  <c r="S333" i="1" a="1"/>
  <c r="S333" i="1"/>
  <c r="S334" i="1" a="1"/>
  <c r="S334" i="1"/>
  <c r="S335" i="1" a="1"/>
  <c r="S335" i="1"/>
  <c r="S336" i="1" a="1"/>
  <c r="S336" i="1"/>
  <c r="S337" i="1" a="1"/>
  <c r="S337" i="1"/>
  <c r="S338" i="1" a="1"/>
  <c r="S338" i="1"/>
  <c r="S339" i="1" a="1"/>
  <c r="S339" i="1"/>
  <c r="S340" i="1" a="1"/>
  <c r="S340" i="1"/>
  <c r="S341" i="1" a="1"/>
  <c r="S341" i="1"/>
  <c r="S342" i="1" a="1"/>
  <c r="S342" i="1"/>
  <c r="S343" i="1" a="1"/>
  <c r="S343" i="1"/>
  <c r="S344" i="1" a="1"/>
  <c r="S344" i="1"/>
  <c r="S345" i="1" a="1"/>
  <c r="S345" i="1"/>
  <c r="S346" i="1" a="1"/>
  <c r="S346" i="1"/>
  <c r="S347" i="1" a="1"/>
  <c r="S347" i="1"/>
  <c r="S348" i="1" a="1"/>
  <c r="S348" i="1"/>
  <c r="S349" i="1" a="1"/>
  <c r="S349" i="1"/>
  <c r="S350" i="1" a="1"/>
  <c r="S350" i="1"/>
  <c r="S351" i="1" a="1"/>
  <c r="S351" i="1"/>
  <c r="S352" i="1" a="1"/>
  <c r="S352" i="1"/>
  <c r="S353" i="1" a="1"/>
  <c r="S353" i="1"/>
  <c r="S354" i="1" a="1"/>
  <c r="S354" i="1"/>
  <c r="S355" i="1" a="1"/>
  <c r="S355" i="1"/>
  <c r="S356" i="1" a="1"/>
  <c r="S356" i="1"/>
  <c r="S357" i="1" a="1"/>
  <c r="S357" i="1"/>
  <c r="S358" i="1" a="1"/>
  <c r="S358" i="1"/>
  <c r="S359" i="1" a="1"/>
  <c r="S359" i="1"/>
  <c r="S360" i="1" a="1"/>
  <c r="S360" i="1"/>
  <c r="S361" i="1" a="1"/>
  <c r="S361" i="1"/>
  <c r="S362" i="1" a="1"/>
  <c r="S362" i="1"/>
  <c r="S363" i="1" a="1"/>
  <c r="S363" i="1"/>
  <c r="S364" i="1" a="1"/>
  <c r="S364" i="1"/>
  <c r="S365" i="1" a="1"/>
  <c r="S365" i="1"/>
  <c r="S366" i="1" a="1"/>
  <c r="S366" i="1"/>
  <c r="S367" i="1" a="1"/>
  <c r="S367" i="1"/>
  <c r="S368" i="1" a="1"/>
  <c r="S368" i="1"/>
  <c r="S369" i="1" a="1"/>
  <c r="S369" i="1"/>
  <c r="S370" i="1" a="1"/>
  <c r="S370" i="1"/>
  <c r="S371" i="1" a="1"/>
  <c r="S371" i="1"/>
  <c r="S372" i="1" a="1"/>
  <c r="S372" i="1"/>
  <c r="S373" i="1" a="1"/>
  <c r="S373" i="1"/>
  <c r="S374" i="1" a="1"/>
  <c r="S374" i="1"/>
  <c r="S375" i="1" a="1"/>
  <c r="S375" i="1"/>
  <c r="S376" i="1" a="1"/>
  <c r="S376" i="1"/>
  <c r="S377" i="1" a="1"/>
  <c r="S377" i="1"/>
  <c r="S378" i="1" a="1"/>
  <c r="S378" i="1"/>
  <c r="S379" i="1" a="1"/>
  <c r="S379" i="1"/>
  <c r="S380" i="1" a="1"/>
  <c r="S380" i="1"/>
  <c r="S381" i="1" a="1"/>
  <c r="S381" i="1"/>
  <c r="S382" i="1" a="1"/>
  <c r="S382" i="1"/>
  <c r="S383" i="1" a="1"/>
  <c r="S383" i="1"/>
  <c r="S384" i="1" a="1"/>
  <c r="S384" i="1"/>
  <c r="S385" i="1" a="1"/>
  <c r="S385" i="1"/>
  <c r="S386" i="1" a="1"/>
  <c r="S386" i="1"/>
  <c r="S387" i="1" a="1"/>
  <c r="S387" i="1"/>
  <c r="S388" i="1" a="1"/>
  <c r="S388" i="1"/>
  <c r="S389" i="1" a="1"/>
  <c r="S389" i="1"/>
  <c r="S390" i="1" a="1"/>
  <c r="S390" i="1"/>
  <c r="S391" i="1" a="1"/>
  <c r="S391" i="1"/>
  <c r="S392" i="1" a="1"/>
  <c r="S392" i="1"/>
  <c r="S393" i="1" a="1"/>
  <c r="S393" i="1"/>
  <c r="S394" i="1" a="1"/>
  <c r="S394" i="1"/>
  <c r="S395" i="1" a="1"/>
  <c r="S395" i="1"/>
  <c r="S396" i="1" a="1"/>
  <c r="S396" i="1"/>
  <c r="S397" i="1" a="1"/>
  <c r="S397" i="1"/>
  <c r="S398" i="1" a="1"/>
  <c r="S398" i="1"/>
  <c r="S399" i="1" a="1"/>
  <c r="S399" i="1"/>
  <c r="S400" i="1" a="1"/>
  <c r="S400" i="1"/>
  <c r="S401" i="1" a="1"/>
  <c r="S401" i="1"/>
  <c r="S402" i="1" a="1"/>
  <c r="S402" i="1"/>
  <c r="S403" i="1" a="1"/>
  <c r="S403" i="1"/>
  <c r="S404" i="1" a="1"/>
  <c r="S404" i="1"/>
  <c r="S405" i="1" a="1"/>
  <c r="S405" i="1"/>
  <c r="S406" i="1" a="1"/>
  <c r="S406" i="1"/>
  <c r="S407" i="1" a="1"/>
  <c r="S407" i="1"/>
  <c r="S408" i="1" a="1"/>
  <c r="S408" i="1"/>
  <c r="S409" i="1" a="1"/>
  <c r="S409" i="1"/>
  <c r="S410" i="1" a="1"/>
  <c r="S410" i="1"/>
  <c r="S411" i="1" a="1"/>
  <c r="S411" i="1"/>
  <c r="S412" i="1" a="1"/>
  <c r="S412" i="1"/>
  <c r="S413" i="1" a="1"/>
  <c r="S413" i="1"/>
  <c r="S414" i="1" a="1"/>
  <c r="S414" i="1"/>
  <c r="S415" i="1" a="1"/>
  <c r="S415" i="1"/>
  <c r="S416" i="1" a="1"/>
  <c r="S416" i="1"/>
  <c r="S417" i="1" a="1"/>
  <c r="S417" i="1"/>
  <c r="S418" i="1" a="1"/>
  <c r="S418" i="1"/>
  <c r="S419" i="1" a="1"/>
  <c r="S419" i="1"/>
  <c r="S420" i="1" a="1"/>
  <c r="S420" i="1"/>
  <c r="S421" i="1" a="1"/>
  <c r="S421" i="1"/>
  <c r="S422" i="1" a="1"/>
  <c r="S422" i="1"/>
  <c r="S423" i="1" a="1"/>
  <c r="S423" i="1"/>
  <c r="S424" i="1" a="1"/>
  <c r="S424" i="1"/>
  <c r="S425" i="1" a="1"/>
  <c r="S425" i="1"/>
  <c r="S426" i="1" a="1"/>
  <c r="S426" i="1"/>
  <c r="S427" i="1" a="1"/>
  <c r="S427" i="1"/>
  <c r="S428" i="1" a="1"/>
  <c r="S428" i="1"/>
  <c r="S429" i="1" a="1"/>
  <c r="S429" i="1"/>
  <c r="S430" i="1" a="1"/>
  <c r="S430" i="1"/>
  <c r="S431" i="1" a="1"/>
  <c r="S431" i="1"/>
  <c r="S432" i="1" a="1"/>
  <c r="S432" i="1"/>
  <c r="S433" i="1" a="1"/>
  <c r="S433" i="1"/>
  <c r="S434" i="1" a="1"/>
  <c r="S434" i="1"/>
  <c r="S435" i="1" a="1"/>
  <c r="S435" i="1"/>
  <c r="S436" i="1" a="1"/>
  <c r="S436" i="1"/>
  <c r="S437" i="1" a="1"/>
  <c r="S437" i="1"/>
  <c r="S438" i="1" a="1"/>
  <c r="S438" i="1"/>
  <c r="S439" i="1" a="1"/>
  <c r="S439" i="1"/>
  <c r="S440" i="1" a="1"/>
  <c r="S440" i="1"/>
  <c r="S441" i="1" a="1"/>
  <c r="S441" i="1"/>
  <c r="S442" i="1" a="1"/>
  <c r="S442" i="1"/>
  <c r="S443" i="1" a="1"/>
  <c r="S443" i="1"/>
  <c r="S444" i="1" a="1"/>
  <c r="S444" i="1"/>
  <c r="S445" i="1" a="1"/>
  <c r="S445" i="1"/>
  <c r="S446" i="1" a="1"/>
  <c r="S446" i="1"/>
  <c r="S447" i="1" a="1"/>
  <c r="S447" i="1"/>
  <c r="S448" i="1" a="1"/>
  <c r="S448" i="1"/>
  <c r="S449" i="1" a="1"/>
  <c r="S449" i="1"/>
  <c r="S450" i="1" a="1"/>
  <c r="S450" i="1"/>
  <c r="S451" i="1" a="1"/>
  <c r="S451" i="1"/>
  <c r="S452" i="1" a="1"/>
  <c r="S452" i="1"/>
  <c r="S453" i="1" a="1"/>
  <c r="S453" i="1"/>
  <c r="S454" i="1" a="1"/>
  <c r="S454" i="1"/>
  <c r="S455" i="1" a="1"/>
  <c r="S455" i="1"/>
  <c r="S456" i="1" a="1"/>
  <c r="S456" i="1"/>
  <c r="S457" i="1" a="1"/>
  <c r="S457" i="1"/>
  <c r="S458" i="1" a="1"/>
  <c r="S458" i="1"/>
  <c r="S459" i="1" a="1"/>
  <c r="S459" i="1"/>
  <c r="S460" i="1" a="1"/>
  <c r="S460" i="1"/>
  <c r="S461" i="1" a="1"/>
  <c r="S461" i="1"/>
  <c r="S462" i="1" a="1"/>
  <c r="S462" i="1"/>
  <c r="S463" i="1" a="1"/>
  <c r="S463" i="1"/>
  <c r="S464" i="1" a="1"/>
  <c r="S464" i="1"/>
  <c r="S465" i="1" a="1"/>
  <c r="S465" i="1"/>
  <c r="S466" i="1" a="1"/>
  <c r="S466" i="1"/>
  <c r="S467" i="1" a="1"/>
  <c r="S467" i="1"/>
  <c r="S468" i="1" a="1"/>
  <c r="S468" i="1"/>
  <c r="S469" i="1" a="1"/>
  <c r="S469" i="1"/>
  <c r="S470" i="1" a="1"/>
  <c r="S470" i="1"/>
  <c r="S471" i="1" a="1"/>
  <c r="S471" i="1"/>
  <c r="S472" i="1" a="1"/>
  <c r="S472" i="1"/>
  <c r="S473" i="1" a="1"/>
  <c r="S473" i="1"/>
  <c r="S474" i="1" a="1"/>
  <c r="S474" i="1"/>
  <c r="S475" i="1" a="1"/>
  <c r="S475" i="1"/>
  <c r="S476" i="1" a="1"/>
  <c r="S476" i="1"/>
  <c r="S477" i="1" a="1"/>
  <c r="S477" i="1"/>
  <c r="S478" i="1" a="1"/>
  <c r="S478" i="1"/>
  <c r="S479" i="1" a="1"/>
  <c r="S479" i="1"/>
  <c r="S480" i="1" a="1"/>
  <c r="S480" i="1"/>
  <c r="S481" i="1" a="1"/>
  <c r="S481" i="1"/>
  <c r="S482" i="1" a="1"/>
  <c r="S482" i="1"/>
  <c r="S483" i="1" a="1"/>
  <c r="S483" i="1"/>
  <c r="S484" i="1" a="1"/>
  <c r="S484" i="1"/>
  <c r="S485" i="1" a="1"/>
  <c r="S485" i="1"/>
  <c r="S486" i="1" a="1"/>
  <c r="S486" i="1"/>
  <c r="S487" i="1" a="1"/>
  <c r="S487" i="1"/>
  <c r="S488" i="1" a="1"/>
  <c r="S488" i="1"/>
  <c r="S489" i="1" a="1"/>
  <c r="S489" i="1"/>
  <c r="S490" i="1" a="1"/>
  <c r="S490" i="1"/>
  <c r="S491" i="1" a="1"/>
  <c r="S491" i="1"/>
  <c r="S492" i="1" a="1"/>
  <c r="S492" i="1"/>
  <c r="S493" i="1" a="1"/>
  <c r="S493" i="1"/>
  <c r="S494" i="1" a="1"/>
  <c r="S494" i="1"/>
  <c r="S495" i="1" a="1"/>
  <c r="S495" i="1"/>
  <c r="S496" i="1" a="1"/>
  <c r="S496" i="1"/>
  <c r="S497" i="1" a="1"/>
  <c r="S497" i="1"/>
  <c r="S498" i="1" a="1"/>
  <c r="S498" i="1"/>
  <c r="S499" i="1" a="1"/>
  <c r="S499" i="1"/>
  <c r="S500" i="1" a="1"/>
  <c r="S500" i="1"/>
  <c r="S501" i="1" a="1"/>
  <c r="S501" i="1"/>
  <c r="S502" i="1" a="1"/>
  <c r="S502" i="1"/>
  <c r="S503" i="1" a="1"/>
  <c r="S503" i="1"/>
  <c r="S504" i="1" a="1"/>
  <c r="S504" i="1"/>
  <c r="S505" i="1" a="1"/>
  <c r="S505" i="1"/>
  <c r="S506" i="1" a="1"/>
  <c r="S506" i="1"/>
  <c r="S507" i="1" a="1"/>
  <c r="S507" i="1"/>
  <c r="S508" i="1" a="1"/>
  <c r="S508" i="1"/>
  <c r="S509" i="1" a="1"/>
  <c r="S509" i="1"/>
  <c r="S510" i="1" a="1"/>
  <c r="S510" i="1"/>
  <c r="S511" i="1" a="1"/>
  <c r="S511" i="1"/>
  <c r="S512" i="1" a="1"/>
  <c r="S512" i="1"/>
  <c r="S513" i="1" a="1"/>
  <c r="S513" i="1"/>
  <c r="S514" i="1" a="1"/>
  <c r="S514" i="1"/>
  <c r="S515" i="1" a="1"/>
  <c r="S515" i="1"/>
  <c r="S516" i="1" a="1"/>
  <c r="S516" i="1"/>
  <c r="S517" i="1" a="1"/>
  <c r="S517" i="1"/>
  <c r="S518" i="1" a="1"/>
  <c r="S518" i="1"/>
  <c r="S519" i="1" a="1"/>
  <c r="S519" i="1"/>
  <c r="S520" i="1" a="1"/>
  <c r="S520" i="1"/>
  <c r="S521" i="1" a="1"/>
  <c r="S521" i="1"/>
  <c r="S522" i="1" a="1"/>
  <c r="S522" i="1"/>
  <c r="S523" i="1" a="1"/>
  <c r="S523" i="1"/>
  <c r="S524" i="1" a="1"/>
  <c r="S524" i="1"/>
  <c r="S525" i="1" a="1"/>
  <c r="S525" i="1"/>
  <c r="S526" i="1" a="1"/>
  <c r="S526" i="1"/>
  <c r="S527" i="1" a="1"/>
  <c r="S527" i="1"/>
  <c r="S528" i="1" a="1"/>
  <c r="S528" i="1"/>
  <c r="S529" i="1" a="1"/>
  <c r="S529" i="1"/>
  <c r="S530" i="1" a="1"/>
  <c r="S530" i="1"/>
  <c r="S531" i="1" a="1"/>
  <c r="S531" i="1"/>
  <c r="S532" i="1" a="1"/>
  <c r="S532" i="1"/>
  <c r="S533" i="1" a="1"/>
  <c r="S533" i="1"/>
  <c r="S534" i="1" a="1"/>
  <c r="S534" i="1"/>
  <c r="S535" i="1" a="1"/>
  <c r="S535" i="1"/>
  <c r="S536" i="1" a="1"/>
  <c r="S536" i="1"/>
  <c r="S537" i="1" a="1"/>
  <c r="S537" i="1"/>
  <c r="S538" i="1" a="1"/>
  <c r="S538" i="1"/>
  <c r="S539" i="1" a="1"/>
  <c r="S539" i="1"/>
  <c r="S540" i="1" a="1"/>
  <c r="S540" i="1"/>
  <c r="S541" i="1" a="1"/>
  <c r="S541" i="1"/>
  <c r="S542" i="1" a="1"/>
  <c r="S542" i="1"/>
  <c r="S543" i="1" a="1"/>
  <c r="S543" i="1"/>
  <c r="S544" i="1" a="1"/>
  <c r="S544" i="1"/>
  <c r="S545" i="1" a="1"/>
  <c r="S545" i="1"/>
  <c r="S546" i="1" a="1"/>
  <c r="S546" i="1"/>
  <c r="S547" i="1" a="1"/>
  <c r="S547" i="1"/>
  <c r="S548" i="1" a="1"/>
  <c r="S548" i="1"/>
  <c r="S549" i="1" a="1"/>
  <c r="S549" i="1"/>
  <c r="S550" i="1" a="1"/>
  <c r="S550" i="1"/>
  <c r="S551" i="1" a="1"/>
  <c r="S551" i="1"/>
  <c r="S552" i="1" a="1"/>
  <c r="S552" i="1"/>
  <c r="S553" i="1" a="1"/>
  <c r="S553" i="1"/>
  <c r="S554" i="1" a="1"/>
  <c r="S554" i="1"/>
  <c r="S555" i="1" a="1"/>
  <c r="S555" i="1"/>
  <c r="S556" i="1" a="1"/>
  <c r="S556" i="1"/>
  <c r="S557" i="1" a="1"/>
  <c r="S557" i="1"/>
  <c r="S558" i="1" a="1"/>
  <c r="S558" i="1"/>
  <c r="S559" i="1" a="1"/>
  <c r="S559" i="1"/>
  <c r="S560" i="1" a="1"/>
  <c r="S560" i="1"/>
  <c r="S561" i="1" a="1"/>
  <c r="S561" i="1"/>
  <c r="S562" i="1" a="1"/>
  <c r="S562" i="1"/>
  <c r="S563" i="1" a="1"/>
  <c r="S563" i="1"/>
  <c r="S564" i="1" a="1"/>
  <c r="S564" i="1"/>
  <c r="S565" i="1" a="1"/>
  <c r="S565" i="1"/>
  <c r="S566" i="1" a="1"/>
  <c r="S566" i="1"/>
  <c r="S567" i="1" a="1"/>
  <c r="S567" i="1"/>
  <c r="S568" i="1" a="1"/>
  <c r="S568" i="1"/>
  <c r="S569" i="1" a="1"/>
  <c r="S569" i="1"/>
  <c r="S570" i="1" a="1"/>
  <c r="S570" i="1"/>
  <c r="S571" i="1" a="1"/>
  <c r="S571" i="1"/>
  <c r="S572" i="1" a="1"/>
  <c r="S572" i="1"/>
  <c r="S573" i="1" a="1"/>
  <c r="S573" i="1"/>
  <c r="S574" i="1" a="1"/>
  <c r="S574" i="1"/>
  <c r="S575" i="1" a="1"/>
  <c r="S575" i="1"/>
  <c r="S576" i="1" a="1"/>
  <c r="S576" i="1"/>
  <c r="S577" i="1" a="1"/>
  <c r="S577" i="1"/>
  <c r="S578" i="1" a="1"/>
  <c r="S578" i="1"/>
  <c r="S579" i="1" a="1"/>
  <c r="S579" i="1"/>
  <c r="S580" i="1" a="1"/>
  <c r="S580" i="1"/>
  <c r="S581" i="1" a="1"/>
  <c r="S581" i="1"/>
  <c r="S582" i="1" a="1"/>
  <c r="S582" i="1"/>
  <c r="S583" i="1" a="1"/>
  <c r="S583" i="1"/>
  <c r="S584" i="1" a="1"/>
  <c r="S584" i="1"/>
  <c r="S585" i="1" a="1"/>
  <c r="S585" i="1"/>
  <c r="S586" i="1" a="1"/>
  <c r="S586" i="1"/>
  <c r="S587" i="1" a="1"/>
  <c r="S587" i="1"/>
  <c r="S588" i="1" a="1"/>
  <c r="S588" i="1"/>
  <c r="S589" i="1" a="1"/>
  <c r="S589" i="1"/>
  <c r="S590" i="1" a="1"/>
  <c r="S590" i="1"/>
  <c r="S591" i="1" a="1"/>
  <c r="S591" i="1"/>
  <c r="S592" i="1" a="1"/>
  <c r="S592" i="1"/>
  <c r="S593" i="1" a="1"/>
  <c r="S593" i="1"/>
  <c r="S594" i="1" a="1"/>
  <c r="S594" i="1"/>
  <c r="S595" i="1" a="1"/>
  <c r="S595" i="1"/>
  <c r="S596" i="1" a="1"/>
  <c r="S596" i="1"/>
  <c r="S597" i="1" a="1"/>
  <c r="S597" i="1"/>
  <c r="S598" i="1" a="1"/>
  <c r="S598" i="1"/>
  <c r="S599" i="1" a="1"/>
  <c r="S599" i="1"/>
  <c r="S600" i="1" a="1"/>
  <c r="S600" i="1"/>
  <c r="S601" i="1" a="1"/>
  <c r="S601" i="1"/>
  <c r="S602" i="1" a="1"/>
  <c r="S602" i="1"/>
  <c r="S603" i="1" a="1"/>
  <c r="S603" i="1"/>
  <c r="S604" i="1" a="1"/>
  <c r="S604" i="1"/>
  <c r="S605" i="1" a="1"/>
  <c r="S605" i="1"/>
  <c r="S606" i="1" a="1"/>
  <c r="S606" i="1"/>
  <c r="S607" i="1" a="1"/>
  <c r="S607" i="1"/>
  <c r="S608" i="1" a="1"/>
  <c r="S608" i="1"/>
  <c r="S609" i="1" a="1"/>
  <c r="S609" i="1"/>
  <c r="S610" i="1" a="1"/>
  <c r="S610" i="1"/>
  <c r="S611" i="1" a="1"/>
  <c r="S611" i="1"/>
  <c r="S612" i="1" a="1"/>
  <c r="S612" i="1"/>
  <c r="S613" i="1" a="1"/>
  <c r="S613" i="1"/>
  <c r="S614" i="1" a="1"/>
  <c r="S614" i="1"/>
  <c r="S615" i="1" a="1"/>
  <c r="S615" i="1"/>
  <c r="S616" i="1" a="1"/>
  <c r="S616" i="1"/>
  <c r="S617" i="1" a="1"/>
  <c r="S617" i="1"/>
  <c r="S618" i="1" a="1"/>
  <c r="S618" i="1"/>
  <c r="S619" i="1" a="1"/>
  <c r="S619" i="1"/>
  <c r="S620" i="1" a="1"/>
  <c r="S620" i="1"/>
  <c r="S621" i="1" a="1"/>
  <c r="S621" i="1"/>
  <c r="S622" i="1" a="1"/>
  <c r="S622" i="1"/>
  <c r="S623" i="1" a="1"/>
  <c r="S623" i="1"/>
  <c r="S624" i="1" a="1"/>
  <c r="S624" i="1"/>
  <c r="S625" i="1" a="1"/>
  <c r="S625" i="1"/>
  <c r="S626" i="1" a="1"/>
  <c r="S626" i="1"/>
  <c r="S627" i="1" a="1"/>
  <c r="S627" i="1"/>
  <c r="S628" i="1" a="1"/>
  <c r="S628" i="1"/>
  <c r="S629" i="1" a="1"/>
  <c r="S629" i="1"/>
  <c r="S630" i="1" a="1"/>
  <c r="S630" i="1"/>
  <c r="S631" i="1" a="1"/>
  <c r="S631" i="1"/>
  <c r="S632" i="1" a="1"/>
  <c r="S632" i="1"/>
  <c r="S633" i="1" a="1"/>
  <c r="S633" i="1"/>
  <c r="S634" i="1" a="1"/>
  <c r="S634" i="1"/>
  <c r="S635" i="1" a="1"/>
  <c r="S635" i="1"/>
  <c r="S636" i="1" a="1"/>
  <c r="S636" i="1"/>
  <c r="S637" i="1" a="1"/>
  <c r="S637" i="1"/>
  <c r="S638" i="1" a="1"/>
  <c r="S638" i="1"/>
  <c r="S639" i="1" a="1"/>
  <c r="S639" i="1"/>
  <c r="S640" i="1" a="1"/>
  <c r="S640" i="1"/>
  <c r="S641" i="1" a="1"/>
  <c r="S641" i="1"/>
  <c r="S642" i="1" a="1"/>
  <c r="S642" i="1"/>
  <c r="S643" i="1" a="1"/>
  <c r="S643" i="1"/>
  <c r="S644" i="1" a="1"/>
  <c r="S644" i="1"/>
  <c r="S645" i="1" a="1"/>
  <c r="S645" i="1"/>
  <c r="S646" i="1" a="1"/>
  <c r="S646" i="1"/>
  <c r="S647" i="1" a="1"/>
  <c r="S647" i="1"/>
  <c r="S648" i="1" a="1"/>
  <c r="S648" i="1"/>
  <c r="S649" i="1" a="1"/>
  <c r="S649" i="1"/>
  <c r="S650" i="1" a="1"/>
  <c r="S650" i="1"/>
  <c r="S651" i="1" a="1"/>
  <c r="S651" i="1"/>
  <c r="S652" i="1" a="1"/>
  <c r="S652" i="1"/>
  <c r="S653" i="1" a="1"/>
  <c r="S653" i="1"/>
  <c r="S654" i="1" a="1"/>
  <c r="S654" i="1"/>
  <c r="S655" i="1" a="1"/>
  <c r="S655" i="1"/>
  <c r="S656" i="1" a="1"/>
  <c r="S656" i="1"/>
  <c r="S657" i="1" a="1"/>
  <c r="S657" i="1"/>
  <c r="S658" i="1" a="1"/>
  <c r="S658" i="1"/>
  <c r="S659" i="1" a="1"/>
  <c r="S659" i="1"/>
  <c r="S660" i="1" a="1"/>
  <c r="S660" i="1"/>
  <c r="S661" i="1" a="1"/>
  <c r="S661" i="1"/>
  <c r="S662" i="1" a="1"/>
  <c r="S662" i="1"/>
  <c r="S663" i="1" a="1"/>
  <c r="S663" i="1"/>
  <c r="S664" i="1" a="1"/>
  <c r="S664" i="1"/>
  <c r="S665" i="1" a="1"/>
  <c r="S665" i="1"/>
  <c r="S666" i="1" a="1"/>
  <c r="S666" i="1"/>
  <c r="S667" i="1" a="1"/>
  <c r="S667" i="1"/>
  <c r="S668" i="1" a="1"/>
  <c r="S668" i="1"/>
  <c r="S669" i="1" a="1"/>
  <c r="S669" i="1"/>
  <c r="S670" i="1" a="1"/>
  <c r="S670" i="1"/>
  <c r="S671" i="1" a="1"/>
  <c r="S671" i="1"/>
  <c r="S672" i="1" a="1"/>
  <c r="S672" i="1"/>
  <c r="S673" i="1" a="1"/>
  <c r="S673" i="1"/>
  <c r="S674" i="1" a="1"/>
  <c r="S674" i="1"/>
  <c r="S675" i="1" a="1"/>
  <c r="S675" i="1"/>
  <c r="S676" i="1" a="1"/>
  <c r="S676" i="1"/>
  <c r="S677" i="1" a="1"/>
  <c r="S677" i="1"/>
  <c r="S678" i="1" a="1"/>
  <c r="S678" i="1"/>
  <c r="S679" i="1" a="1"/>
  <c r="S679" i="1"/>
  <c r="S680" i="1" a="1"/>
  <c r="S680" i="1"/>
  <c r="S681" i="1" a="1"/>
  <c r="S681" i="1"/>
  <c r="S682" i="1" a="1"/>
  <c r="S682" i="1"/>
  <c r="S683" i="1" a="1"/>
  <c r="S683" i="1"/>
  <c r="S684" i="1" a="1"/>
  <c r="S684" i="1"/>
  <c r="S685" i="1" a="1"/>
  <c r="S685" i="1"/>
  <c r="S686" i="1" a="1"/>
  <c r="S686" i="1"/>
  <c r="S687" i="1" a="1"/>
  <c r="S687" i="1"/>
  <c r="S688" i="1" a="1"/>
  <c r="S688" i="1"/>
  <c r="S689" i="1" a="1"/>
  <c r="S689" i="1"/>
  <c r="S690" i="1" a="1"/>
  <c r="S690" i="1"/>
  <c r="S691" i="1" a="1"/>
  <c r="S691" i="1"/>
  <c r="S692" i="1" a="1"/>
  <c r="S692" i="1"/>
  <c r="S693" i="1" a="1"/>
  <c r="S693" i="1"/>
  <c r="S694" i="1" a="1"/>
  <c r="S694" i="1"/>
  <c r="S695" i="1" a="1"/>
  <c r="S695" i="1"/>
  <c r="S696" i="1" a="1"/>
  <c r="S696" i="1"/>
  <c r="S697" i="1" a="1"/>
  <c r="S697" i="1"/>
  <c r="S698" i="1" a="1"/>
  <c r="S698" i="1"/>
  <c r="S699" i="1" a="1"/>
  <c r="S699" i="1"/>
  <c r="S700" i="1" a="1"/>
  <c r="S700" i="1"/>
  <c r="S701" i="1" a="1"/>
  <c r="S701" i="1"/>
  <c r="S702" i="1" a="1"/>
  <c r="S702" i="1"/>
  <c r="S703" i="1" a="1"/>
  <c r="S703" i="1"/>
  <c r="S704" i="1" a="1"/>
  <c r="S704" i="1"/>
  <c r="S705" i="1" a="1"/>
  <c r="S705" i="1"/>
  <c r="S706" i="1" a="1"/>
  <c r="S706" i="1"/>
  <c r="S707" i="1" a="1"/>
  <c r="S707" i="1"/>
  <c r="S708" i="1" a="1"/>
  <c r="S708" i="1"/>
  <c r="S709" i="1" a="1"/>
  <c r="S709" i="1"/>
  <c r="S710" i="1" a="1"/>
  <c r="S710" i="1"/>
  <c r="S711" i="1" a="1"/>
  <c r="S711" i="1"/>
  <c r="S712" i="1" a="1"/>
  <c r="S712" i="1"/>
  <c r="S713" i="1" a="1"/>
  <c r="S713" i="1"/>
  <c r="S714" i="1" a="1"/>
  <c r="S714" i="1"/>
  <c r="S715" i="1" a="1"/>
  <c r="S715" i="1"/>
  <c r="S716" i="1" a="1"/>
  <c r="S716" i="1"/>
  <c r="S717" i="1" a="1"/>
  <c r="S717" i="1"/>
  <c r="S718" i="1" a="1"/>
  <c r="S718" i="1"/>
  <c r="S719" i="1" a="1"/>
  <c r="S719" i="1"/>
  <c r="S720" i="1" a="1"/>
  <c r="S720" i="1"/>
  <c r="S721" i="1" a="1"/>
  <c r="S721" i="1"/>
  <c r="S722" i="1" a="1"/>
  <c r="S722" i="1"/>
  <c r="S723" i="1" a="1"/>
  <c r="S723" i="1"/>
  <c r="S724" i="1" a="1"/>
  <c r="S724" i="1"/>
  <c r="S725" i="1" a="1"/>
  <c r="S725" i="1"/>
  <c r="S726" i="1" a="1"/>
  <c r="S726" i="1"/>
  <c r="S727" i="1" a="1"/>
  <c r="S727" i="1"/>
  <c r="S728" i="1" a="1"/>
  <c r="S728" i="1"/>
  <c r="S729" i="1" a="1"/>
  <c r="S729" i="1"/>
  <c r="S730" i="1" a="1"/>
  <c r="S730" i="1"/>
  <c r="S731" i="1" a="1"/>
  <c r="S731" i="1"/>
  <c r="S732" i="1" a="1"/>
  <c r="S732" i="1"/>
  <c r="S733" i="1" a="1"/>
  <c r="S733" i="1"/>
  <c r="S734" i="1" a="1"/>
  <c r="S734" i="1"/>
  <c r="S735" i="1" a="1"/>
  <c r="S735" i="1"/>
  <c r="S736" i="1" a="1"/>
  <c r="S736" i="1"/>
  <c r="S737" i="1" a="1"/>
  <c r="S737" i="1"/>
  <c r="S738" i="1" a="1"/>
  <c r="S738" i="1"/>
  <c r="S739" i="1" a="1"/>
  <c r="S739" i="1"/>
  <c r="S740" i="1" a="1"/>
  <c r="S740" i="1"/>
  <c r="S741" i="1" a="1"/>
  <c r="S741" i="1"/>
  <c r="S742" i="1" a="1"/>
  <c r="S742" i="1"/>
  <c r="S743" i="1" a="1"/>
  <c r="S743" i="1"/>
  <c r="S744" i="1" a="1"/>
  <c r="S744" i="1"/>
  <c r="S745" i="1" a="1"/>
  <c r="S745" i="1"/>
  <c r="S746" i="1" a="1"/>
  <c r="S746" i="1"/>
  <c r="S747" i="1" a="1"/>
  <c r="S747" i="1"/>
  <c r="S748" i="1" a="1"/>
  <c r="S748" i="1"/>
  <c r="S749" i="1" a="1"/>
  <c r="S749" i="1"/>
  <c r="S750" i="1" a="1"/>
  <c r="S750" i="1"/>
  <c r="S751" i="1" a="1"/>
  <c r="S751" i="1"/>
  <c r="S752" i="1" a="1"/>
  <c r="S752" i="1"/>
  <c r="S753" i="1" a="1"/>
  <c r="S753" i="1"/>
  <c r="S754" i="1" a="1"/>
  <c r="S754" i="1"/>
  <c r="S755" i="1" a="1"/>
  <c r="S755" i="1"/>
  <c r="S756" i="1" a="1"/>
  <c r="S756" i="1"/>
  <c r="S757" i="1" a="1"/>
  <c r="S757" i="1"/>
  <c r="S758" i="1" a="1"/>
  <c r="S758" i="1"/>
  <c r="S759" i="1" a="1"/>
  <c r="S759" i="1"/>
  <c r="S760" i="1" a="1"/>
  <c r="S760" i="1"/>
  <c r="S761" i="1" a="1"/>
  <c r="S761" i="1"/>
  <c r="S762" i="1" a="1"/>
  <c r="S762" i="1"/>
  <c r="S763" i="1" a="1"/>
  <c r="S763" i="1"/>
  <c r="S764" i="1" a="1"/>
  <c r="S764" i="1"/>
  <c r="S765" i="1" a="1"/>
  <c r="S765" i="1"/>
  <c r="S766" i="1" a="1"/>
  <c r="S766" i="1"/>
  <c r="S767" i="1" a="1"/>
  <c r="S767" i="1"/>
  <c r="S768" i="1" a="1"/>
  <c r="S768" i="1"/>
  <c r="S769" i="1" a="1"/>
  <c r="S769" i="1"/>
  <c r="S770" i="1" a="1"/>
  <c r="S770" i="1"/>
  <c r="S771" i="1" a="1"/>
  <c r="S771" i="1"/>
  <c r="S772" i="1" a="1"/>
  <c r="S772" i="1"/>
  <c r="S773" i="1" a="1"/>
  <c r="S773" i="1"/>
  <c r="S774" i="1" a="1"/>
  <c r="S774" i="1"/>
  <c r="S775" i="1" a="1"/>
  <c r="S775" i="1"/>
  <c r="S776" i="1" a="1"/>
  <c r="S776" i="1"/>
  <c r="S777" i="1" a="1"/>
  <c r="S777" i="1"/>
  <c r="S778" i="1" a="1"/>
  <c r="S778" i="1"/>
  <c r="S779" i="1" a="1"/>
  <c r="S779" i="1"/>
  <c r="S780" i="1" a="1"/>
  <c r="S780" i="1"/>
  <c r="S781" i="1" a="1"/>
  <c r="S781" i="1"/>
  <c r="S782" i="1" a="1"/>
  <c r="S782" i="1"/>
  <c r="S783" i="1" a="1"/>
  <c r="S783" i="1"/>
  <c r="S784" i="1" a="1"/>
  <c r="S784" i="1"/>
  <c r="S785" i="1" a="1"/>
  <c r="S785" i="1"/>
  <c r="S786" i="1" a="1"/>
  <c r="S786" i="1"/>
  <c r="S787" i="1" a="1"/>
  <c r="S787" i="1"/>
  <c r="S788" i="1" a="1"/>
  <c r="S788" i="1"/>
  <c r="S789" i="1" a="1"/>
  <c r="S789" i="1"/>
  <c r="S790" i="1" a="1"/>
  <c r="S790" i="1"/>
  <c r="S791" i="1" a="1"/>
  <c r="S791" i="1"/>
  <c r="S792" i="1" a="1"/>
  <c r="S792" i="1"/>
  <c r="S793" i="1" a="1"/>
  <c r="S793" i="1"/>
  <c r="S794" i="1" a="1"/>
  <c r="S794" i="1"/>
  <c r="S795" i="1" a="1"/>
  <c r="S795" i="1"/>
  <c r="S796" i="1" a="1"/>
  <c r="S796" i="1"/>
  <c r="S797" i="1" a="1"/>
  <c r="S797" i="1"/>
  <c r="S798" i="1" a="1"/>
  <c r="S798" i="1"/>
  <c r="S799" i="1" a="1"/>
  <c r="S799" i="1"/>
  <c r="S800" i="1" a="1"/>
  <c r="S800" i="1"/>
  <c r="S801" i="1" a="1"/>
  <c r="S801" i="1"/>
  <c r="S802" i="1" a="1"/>
  <c r="S802" i="1"/>
  <c r="S803" i="1" a="1"/>
  <c r="S803" i="1"/>
  <c r="S804" i="1" a="1"/>
  <c r="S804" i="1"/>
  <c r="S805" i="1" a="1"/>
  <c r="S805" i="1"/>
  <c r="S806" i="1" a="1"/>
  <c r="S806" i="1"/>
  <c r="S807" i="1" a="1"/>
  <c r="S807" i="1"/>
  <c r="S808" i="1" a="1"/>
  <c r="S808" i="1"/>
  <c r="S809" i="1" a="1"/>
  <c r="S809" i="1"/>
  <c r="S810" i="1" a="1"/>
  <c r="S810" i="1"/>
  <c r="S811" i="1" a="1"/>
  <c r="S811" i="1"/>
  <c r="S812" i="1" a="1"/>
  <c r="S812" i="1"/>
  <c r="S813" i="1" a="1"/>
  <c r="S813" i="1"/>
  <c r="S814" i="1" a="1"/>
  <c r="S814" i="1"/>
  <c r="S815" i="1" a="1"/>
  <c r="S815" i="1"/>
  <c r="S816" i="1" a="1"/>
  <c r="S816" i="1"/>
  <c r="S817" i="1" a="1"/>
  <c r="S817" i="1"/>
  <c r="S818" i="1" a="1"/>
  <c r="S818" i="1"/>
  <c r="S819" i="1" a="1"/>
  <c r="S819" i="1"/>
  <c r="S820" i="1" a="1"/>
  <c r="S820" i="1"/>
  <c r="S821" i="1" a="1"/>
  <c r="S821" i="1"/>
  <c r="S822" i="1" a="1"/>
  <c r="S822" i="1"/>
  <c r="S823" i="1" a="1"/>
  <c r="S823" i="1"/>
  <c r="S824" i="1" a="1"/>
  <c r="S824" i="1"/>
  <c r="S825" i="1" a="1"/>
  <c r="S825" i="1"/>
  <c r="S826" i="1" a="1"/>
  <c r="S826" i="1"/>
  <c r="S827" i="1" a="1"/>
  <c r="S827" i="1"/>
  <c r="S828" i="1" a="1"/>
  <c r="S828" i="1"/>
  <c r="S829" i="1" a="1"/>
  <c r="S829" i="1"/>
  <c r="S830" i="1" a="1"/>
  <c r="S830" i="1"/>
  <c r="S831" i="1" a="1"/>
  <c r="S831" i="1"/>
  <c r="S832" i="1" a="1"/>
  <c r="S832" i="1"/>
  <c r="S833" i="1" a="1"/>
  <c r="S833" i="1"/>
  <c r="S834" i="1" a="1"/>
  <c r="S834" i="1"/>
  <c r="S835" i="1" a="1"/>
  <c r="S835" i="1"/>
  <c r="S836" i="1" a="1"/>
  <c r="S836" i="1"/>
  <c r="S837" i="1" a="1"/>
  <c r="S837" i="1"/>
  <c r="S838" i="1" a="1"/>
  <c r="S838" i="1"/>
  <c r="S839" i="1" a="1"/>
  <c r="S839" i="1"/>
  <c r="S840" i="1" a="1"/>
  <c r="S840" i="1"/>
  <c r="S841" i="1" a="1"/>
  <c r="S841" i="1"/>
  <c r="S842" i="1" a="1"/>
  <c r="S842" i="1"/>
  <c r="S843" i="1" a="1"/>
  <c r="S843" i="1"/>
  <c r="S844" i="1" a="1"/>
  <c r="S844" i="1"/>
  <c r="S845" i="1" a="1"/>
  <c r="S845" i="1"/>
  <c r="S846" i="1" a="1"/>
  <c r="S846" i="1"/>
  <c r="S847" i="1" a="1"/>
  <c r="S847" i="1"/>
  <c r="S848" i="1" a="1"/>
  <c r="S848" i="1"/>
  <c r="S849" i="1" a="1"/>
  <c r="S849" i="1"/>
  <c r="S850" i="1" a="1"/>
  <c r="S850" i="1"/>
  <c r="S851" i="1" a="1"/>
  <c r="S851" i="1"/>
  <c r="S852" i="1" a="1"/>
  <c r="S852" i="1"/>
  <c r="S853" i="1" a="1"/>
  <c r="S853" i="1"/>
  <c r="S854" i="1" a="1"/>
  <c r="S854" i="1"/>
  <c r="S855" i="1" a="1"/>
  <c r="S855" i="1"/>
  <c r="S856" i="1" a="1"/>
  <c r="S856" i="1"/>
  <c r="S857" i="1" a="1"/>
  <c r="S857" i="1"/>
  <c r="S858" i="1" a="1"/>
  <c r="S858" i="1"/>
  <c r="S859" i="1" a="1"/>
  <c r="S859" i="1"/>
  <c r="S860" i="1" a="1"/>
  <c r="S860" i="1"/>
  <c r="S861" i="1" a="1"/>
  <c r="S861" i="1"/>
  <c r="S862" i="1" a="1"/>
  <c r="S862" i="1"/>
  <c r="S863" i="1" a="1"/>
  <c r="S863" i="1"/>
  <c r="S864" i="1" a="1"/>
  <c r="S864" i="1"/>
  <c r="S865" i="1" a="1"/>
  <c r="S865" i="1"/>
  <c r="S866" i="1" a="1"/>
  <c r="S866" i="1"/>
  <c r="S867" i="1" a="1"/>
  <c r="S867" i="1"/>
  <c r="S868" i="1" a="1"/>
  <c r="S868" i="1"/>
  <c r="S869" i="1" a="1"/>
  <c r="S869" i="1"/>
  <c r="S870" i="1" a="1"/>
  <c r="S870" i="1"/>
  <c r="S871" i="1" a="1"/>
  <c r="S871" i="1"/>
  <c r="S872" i="1" a="1"/>
  <c r="S872" i="1"/>
  <c r="S873" i="1" a="1"/>
  <c r="S873" i="1"/>
  <c r="S874" i="1" a="1"/>
  <c r="S874" i="1"/>
  <c r="S875" i="1" a="1"/>
  <c r="S875" i="1"/>
  <c r="S876" i="1" a="1"/>
  <c r="S876" i="1"/>
  <c r="S877" i="1" a="1"/>
  <c r="S877" i="1"/>
  <c r="S878" i="1" a="1"/>
  <c r="S878" i="1"/>
  <c r="S879" i="1" a="1"/>
  <c r="S879" i="1"/>
  <c r="S880" i="1" a="1"/>
  <c r="S880" i="1"/>
  <c r="S881" i="1" a="1"/>
  <c r="S881" i="1"/>
  <c r="S882" i="1" a="1"/>
  <c r="S882" i="1"/>
  <c r="S883" i="1" a="1"/>
  <c r="S883" i="1"/>
  <c r="S884" i="1" a="1"/>
  <c r="S884" i="1"/>
  <c r="S885" i="1" a="1"/>
  <c r="S885" i="1"/>
  <c r="S886" i="1" a="1"/>
  <c r="S886" i="1"/>
  <c r="S887" i="1" a="1"/>
  <c r="S887" i="1"/>
  <c r="S888" i="1" a="1"/>
  <c r="S888" i="1"/>
  <c r="S889" i="1" a="1"/>
  <c r="S889" i="1"/>
  <c r="S890" i="1" a="1"/>
  <c r="S890" i="1"/>
  <c r="S891" i="1" a="1"/>
  <c r="S891" i="1"/>
  <c r="S892" i="1" a="1"/>
  <c r="S892" i="1"/>
  <c r="S893" i="1" a="1"/>
  <c r="S893" i="1"/>
  <c r="S894" i="1" a="1"/>
  <c r="S894" i="1"/>
  <c r="S895" i="1" a="1"/>
  <c r="S895" i="1"/>
  <c r="S896" i="1" a="1"/>
  <c r="S896" i="1"/>
  <c r="S897" i="1" a="1"/>
  <c r="S897" i="1"/>
  <c r="S898" i="1" a="1"/>
  <c r="S898" i="1"/>
  <c r="S899" i="1" a="1"/>
  <c r="S899" i="1"/>
  <c r="S900" i="1" a="1"/>
  <c r="S900" i="1"/>
  <c r="S901" i="1" a="1"/>
  <c r="S901" i="1"/>
  <c r="S902" i="1" a="1"/>
  <c r="S902" i="1"/>
  <c r="S903" i="1" a="1"/>
  <c r="S903" i="1"/>
  <c r="S904" i="1" a="1"/>
  <c r="S904" i="1"/>
  <c r="S905" i="1" a="1"/>
  <c r="S905" i="1"/>
  <c r="S906" i="1" a="1"/>
  <c r="S906" i="1"/>
  <c r="S907" i="1" a="1"/>
  <c r="S907" i="1"/>
  <c r="S908" i="1" a="1"/>
  <c r="S908" i="1"/>
  <c r="S909" i="1" a="1"/>
  <c r="S909" i="1"/>
  <c r="S910" i="1" a="1"/>
  <c r="S910" i="1"/>
  <c r="S911" i="1" a="1"/>
  <c r="S911" i="1"/>
  <c r="S912" i="1" a="1"/>
  <c r="S912" i="1"/>
  <c r="S913" i="1" a="1"/>
  <c r="S913" i="1"/>
  <c r="S914" i="1" a="1"/>
  <c r="S914" i="1"/>
  <c r="S915" i="1" a="1"/>
  <c r="S915" i="1"/>
  <c r="S916" i="1" a="1"/>
  <c r="S916" i="1"/>
  <c r="S917" i="1" a="1"/>
  <c r="S917" i="1"/>
  <c r="S918" i="1" a="1"/>
  <c r="S918" i="1"/>
  <c r="S919" i="1" a="1"/>
  <c r="S919" i="1"/>
  <c r="S920" i="1" a="1"/>
  <c r="S920" i="1"/>
  <c r="S921" i="1" a="1"/>
  <c r="S921" i="1"/>
  <c r="S922" i="1" a="1"/>
  <c r="S922" i="1"/>
  <c r="S923" i="1" a="1"/>
  <c r="S923" i="1"/>
  <c r="S924" i="1" a="1"/>
  <c r="S924" i="1"/>
  <c r="S925" i="1" a="1"/>
  <c r="S925" i="1"/>
  <c r="S926" i="1" a="1"/>
  <c r="S926" i="1"/>
  <c r="S927" i="1" a="1"/>
  <c r="S927" i="1"/>
  <c r="S928" i="1" a="1"/>
  <c r="S928" i="1"/>
  <c r="S929" i="1" a="1"/>
  <c r="S929" i="1"/>
  <c r="S930" i="1" a="1"/>
  <c r="S930" i="1"/>
  <c r="S931" i="1" a="1"/>
  <c r="S931" i="1"/>
  <c r="S932" i="1" a="1"/>
  <c r="S932" i="1"/>
  <c r="S933" i="1" a="1"/>
  <c r="S933" i="1"/>
  <c r="S934" i="1" a="1"/>
  <c r="S934" i="1"/>
  <c r="S935" i="1" a="1"/>
  <c r="S935" i="1"/>
  <c r="S936" i="1" a="1"/>
  <c r="S936" i="1"/>
  <c r="S937" i="1" a="1"/>
  <c r="S937" i="1"/>
  <c r="S938" i="1" a="1"/>
  <c r="S938" i="1"/>
  <c r="S939" i="1" a="1"/>
  <c r="S939" i="1"/>
  <c r="S940" i="1" a="1"/>
  <c r="S940" i="1"/>
  <c r="S941" i="1" a="1"/>
  <c r="S941" i="1"/>
  <c r="S942" i="1" a="1"/>
  <c r="S942" i="1"/>
  <c r="S943" i="1" a="1"/>
  <c r="S943" i="1"/>
  <c r="S944" i="1" a="1"/>
  <c r="S944" i="1"/>
  <c r="S945" i="1" a="1"/>
  <c r="S945" i="1"/>
  <c r="S946" i="1" a="1"/>
  <c r="S946" i="1"/>
  <c r="S947" i="1" a="1"/>
  <c r="S947" i="1"/>
  <c r="S948" i="1" a="1"/>
  <c r="S948" i="1"/>
  <c r="S949" i="1" a="1"/>
  <c r="S949" i="1"/>
  <c r="S950" i="1" a="1"/>
  <c r="S950" i="1"/>
  <c r="S951" i="1" a="1"/>
  <c r="S951" i="1"/>
  <c r="S952" i="1" a="1"/>
  <c r="S952" i="1"/>
  <c r="S953" i="1" a="1"/>
  <c r="S953" i="1"/>
  <c r="S954" i="1" a="1"/>
  <c r="S954" i="1"/>
  <c r="S955" i="1" a="1"/>
  <c r="S955" i="1"/>
  <c r="S956" i="1" a="1"/>
  <c r="S956" i="1"/>
  <c r="S957" i="1" a="1"/>
  <c r="S957" i="1"/>
  <c r="S958" i="1" a="1"/>
  <c r="S958" i="1"/>
  <c r="S959" i="1" a="1"/>
  <c r="S959" i="1"/>
  <c r="S960" i="1" a="1"/>
  <c r="S960" i="1"/>
  <c r="S961" i="1" a="1"/>
  <c r="S961" i="1"/>
  <c r="S962" i="1" a="1"/>
  <c r="S962" i="1"/>
  <c r="S963" i="1" a="1"/>
  <c r="S963" i="1"/>
  <c r="S964" i="1" a="1"/>
  <c r="S964" i="1"/>
  <c r="S965" i="1" a="1"/>
  <c r="S965" i="1"/>
  <c r="S966" i="1" a="1"/>
  <c r="S966" i="1"/>
  <c r="S967" i="1" a="1"/>
  <c r="S967" i="1"/>
  <c r="S968" i="1" a="1"/>
  <c r="S968" i="1"/>
  <c r="S969" i="1" a="1"/>
  <c r="S969" i="1"/>
  <c r="S970" i="1" a="1"/>
  <c r="S970" i="1"/>
  <c r="S971" i="1" a="1"/>
  <c r="S971" i="1"/>
  <c r="S972" i="1" a="1"/>
  <c r="S972" i="1"/>
  <c r="S973" i="1" a="1"/>
  <c r="S973" i="1"/>
  <c r="S974" i="1" a="1"/>
  <c r="S974" i="1"/>
  <c r="S975" i="1" a="1"/>
  <c r="S975" i="1"/>
  <c r="S976" i="1" a="1"/>
  <c r="S976" i="1"/>
  <c r="S977" i="1" a="1"/>
  <c r="S977" i="1"/>
  <c r="S978" i="1" a="1"/>
  <c r="S978" i="1"/>
  <c r="S979" i="1" a="1"/>
  <c r="S979" i="1"/>
  <c r="S980" i="1" a="1"/>
  <c r="S980" i="1"/>
  <c r="S981" i="1" a="1"/>
  <c r="S981" i="1"/>
  <c r="S982" i="1" a="1"/>
  <c r="S982" i="1"/>
  <c r="S983" i="1" a="1"/>
  <c r="S983" i="1"/>
  <c r="S984" i="1" a="1"/>
  <c r="S984" i="1"/>
  <c r="S985" i="1" a="1"/>
  <c r="S985" i="1"/>
  <c r="S986" i="1" a="1"/>
  <c r="S986" i="1"/>
  <c r="S987" i="1" a="1"/>
  <c r="S987" i="1"/>
  <c r="S988" i="1" a="1"/>
  <c r="S988" i="1"/>
  <c r="S989" i="1" a="1"/>
  <c r="S989" i="1"/>
  <c r="S990" i="1" a="1"/>
  <c r="S990" i="1"/>
  <c r="S991" i="1" a="1"/>
  <c r="S991" i="1"/>
  <c r="S992" i="1" a="1"/>
  <c r="S992" i="1"/>
  <c r="S993" i="1" a="1"/>
  <c r="S993" i="1"/>
  <c r="S994" i="1" a="1"/>
  <c r="S994" i="1"/>
  <c r="S995" i="1" a="1"/>
  <c r="S995" i="1"/>
  <c r="S996" i="1" a="1"/>
  <c r="S996" i="1"/>
  <c r="S997" i="1" a="1"/>
  <c r="S997" i="1"/>
  <c r="S998" i="1" a="1"/>
  <c r="S998" i="1"/>
  <c r="S999" i="1" a="1"/>
  <c r="S999" i="1"/>
  <c r="S1000" i="1" a="1"/>
  <c r="S1000" i="1"/>
  <c r="S1001" i="1" a="1"/>
  <c r="S1001" i="1"/>
  <c r="S2" i="1" a="1"/>
  <c r="S2" i="1"/>
  <c r="I5" i="2"/>
  <c r="I6" i="2"/>
  <c r="I7" i="2"/>
  <c r="I8" i="2"/>
  <c r="H5" i="2"/>
  <c r="H6" i="2"/>
  <c r="H7" i="2"/>
  <c r="H8" i="2"/>
  <c r="I4" i="2"/>
  <c r="H4" i="2"/>
  <c r="G5" i="2"/>
  <c r="G6" i="2"/>
  <c r="G7" i="2"/>
  <c r="G8" i="2"/>
  <c r="G4" i="2"/>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<sst xmlns="http://schemas.openxmlformats.org/spreadsheetml/2006/main" count="10867" uniqueCount="1067">
  <si>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</si>
  <si>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</si>
  <si>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</si>
  <si>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</si>
  <si>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</si>
  <si>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</si>
  <si>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</si>
  <si>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</si>
  <si>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</si>
  <si>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</si>
  <si>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</si>
  <si>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</si>
  <si>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</si>
  <si>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</si>
  <si>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Total leads</t>
  </si>
  <si>
    <t>Pre-booked</t>
  </si>
  <si>
    <t>Booked</t>
  </si>
  <si>
    <t>Delivered</t>
  </si>
  <si>
    <t>NPS Category</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</si>
  <si>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</si>
  <si>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</si>
  <si>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</si>
  <si>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</si>
  <si>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</si>
  <si>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</si>
  <si>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</si>
  <si>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</si>
  <si>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</si>
  <si>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</si>
  <si>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</si>
  <si>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</si>
  <si>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</si>
  <si>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</si>
  <si>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</si>
  <si>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</si>
  <si>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</si>
  <si>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</si>
  <si>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</si>
  <si>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</si>
  <si>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</si>
  <si>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</si>
  <si>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</si>
  <si>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</si>
  <si>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</si>
  <si>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</si>
  <si>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</si>
  <si>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</si>
  <si>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</si>
  <si>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</si>
  <si>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</si>
  <si>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</si>
  <si>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</si>
  <si>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</si>
  <si>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</si>
  <si>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</si>
  <si>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</si>
  <si>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</si>
  <si>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</si>
  <si>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</si>
  <si>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</si>
  <si>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</si>
  <si>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</si>
  <si>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</si>
  <si>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</si>
  <si>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</si>
  <si>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</si>
  <si>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</si>
  <si>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</si>
  <si>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</si>
  <si>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</si>
  <si>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</si>
  <si>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</si>
  <si>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</si>
  <si>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</si>
  <si>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</si>
  <si>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</si>
  <si>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</si>
  <si>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</si>
  <si>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</si>
  <si>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</si>
  <si>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</si>
  <si>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</si>
  <si>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</si>
  <si>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</si>
  <si>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</si>
  <si>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</si>
  <si>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</si>
  <si>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</si>
  <si>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</si>
  <si>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</si>
  <si>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</si>
  <si>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</si>
  <si>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</si>
  <si>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</si>
  <si>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</si>
  <si>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</si>
  <si>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</si>
  <si>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</si>
  <si>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</si>
  <si>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</si>
  <si>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</si>
  <si>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</si>
  <si>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</si>
  <si>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</si>
  <si>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</si>
  <si>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</si>
  <si>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</si>
  <si>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</si>
  <si>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</si>
  <si>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</si>
  <si>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</si>
  <si>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</si>
  <si>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</si>
  <si>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</si>
  <si>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</si>
  <si>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</si>
  <si>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</si>
  <si>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</si>
  <si>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</si>
  <si>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</si>
  <si>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</si>
  <si>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</si>
  <si>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</si>
  <si>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</si>
  <si>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</si>
  <si>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</si>
  <si>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</si>
  <si>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</si>
  <si>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</si>
  <si>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</si>
  <si>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</si>
  <si>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</si>
  <si>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</si>
  <si>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</si>
  <si>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</si>
  <si>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</si>
  <si>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</si>
  <si>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</si>
  <si>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</si>
  <si>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</si>
  <si>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</si>
  <si>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</si>
  <si>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</si>
  <si>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</si>
  <si>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</si>
  <si>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</si>
  <si>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</si>
  <si>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</si>
  <si>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</si>
  <si>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</si>
  <si>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</si>
  <si>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</si>
  <si>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</si>
  <si>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</si>
  <si>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</si>
  <si>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</si>
  <si>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</si>
  <si>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</si>
  <si>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</si>
  <si>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</si>
  <si>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</si>
  <si>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</si>
  <si>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</si>
  <si>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</si>
  <si>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</si>
  <si>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</si>
  <si>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</si>
  <si>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</si>
  <si>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</si>
  <si>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</si>
  <si>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</si>
  <si>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</si>
  <si>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</si>
  <si>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</si>
  <si>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</si>
  <si>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</si>
  <si>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</si>
  <si>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</si>
  <si>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</si>
  <si>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</si>
  <si>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</si>
  <si>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</si>
  <si>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</si>
  <si>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</si>
  <si>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</si>
  <si>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</si>
  <si>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</si>
  <si>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</si>
  <si>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</si>
  <si>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</si>
  <si>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</si>
  <si>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</si>
  <si>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</si>
  <si>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</si>
  <si>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</si>
  <si>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</si>
  <si>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</si>
  <si>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</si>
  <si>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</si>
  <si>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</si>
  <si>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</si>
  <si>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</si>
  <si>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</si>
  <si>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</si>
  <si>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</si>
  <si>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</si>
  <si>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</si>
  <si>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</si>
  <si>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</si>
  <si>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</si>
  <si>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</si>
  <si>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</si>
  <si>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</si>
  <si>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</si>
  <si>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</si>
  <si>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</si>
  <si>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</si>
  <si>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</si>
  <si>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</si>
  <si>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</si>
  <si>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</si>
  <si>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</si>
  <si>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</si>
  <si>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</si>
  <si>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</si>
  <si>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</si>
  <si>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</si>
  <si>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</si>
  <si>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</si>
  <si>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</si>
  <si>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</si>
  <si>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</si>
  <si>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</si>
  <si>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</si>
  <si>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</si>
  <si>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</si>
  <si>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</si>
  <si>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</si>
  <si>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</si>
  <si>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</si>
  <si>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</si>
  <si>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</si>
  <si>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</si>
  <si>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</si>
  <si>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</si>
  <si>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</si>
  <si>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</si>
  <si>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</si>
  <si>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</si>
  <si>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</si>
  <si>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</si>
  <si>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</si>
  <si>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</si>
  <si>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</si>
  <si>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</si>
  <si>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</si>
  <si>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</si>
  <si>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</si>
  <si>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</si>
  <si>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</si>
  <si>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</si>
  <si>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</si>
  <si>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</si>
  <si>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</si>
  <si>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</si>
  <si>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</si>
  <si>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</si>
  <si>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</si>
  <si>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</si>
  <si>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</si>
  <si>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</si>
  <si>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</si>
  <si>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</si>
  <si>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</si>
  <si>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</si>
  <si>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</si>
  <si>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</si>
  <si>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</si>
  <si>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</si>
  <si>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</si>
  <si>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</si>
  <si>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</si>
  <si>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</si>
  <si>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</si>
  <si>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</si>
  <si>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</si>
  <si>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</si>
  <si>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</si>
  <si>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</si>
  <si>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</si>
  <si>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</si>
  <si>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</si>
  <si>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</si>
  <si>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</si>
  <si>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</si>
  <si>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</si>
  <si>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</si>
  <si>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</si>
  <si>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</si>
  <si>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</si>
  <si>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</si>
  <si>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</si>
  <si>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</si>
  <si>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</si>
  <si>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</si>
  <si>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</si>
  <si>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</si>
  <si>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</si>
  <si>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</si>
  <si>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</si>
  <si>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</si>
  <si>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</si>
  <si>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</si>
  <si>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</si>
  <si>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</si>
  <si>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</si>
  <si>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</si>
  <si>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</si>
  <si>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</si>
  <si>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</si>
  <si>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</si>
  <si>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</si>
  <si>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</si>
  <si>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</si>
  <si>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</si>
  <si>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</si>
  <si>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</si>
  <si>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</si>
  <si>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</si>
  <si>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</si>
  <si>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</si>
  <si>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</si>
  <si>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</si>
  <si>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</si>
  <si>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</si>
  <si>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</si>
  <si>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</si>
  <si>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</si>
  <si>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</si>
  <si>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</si>
  <si>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</si>
  <si>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</si>
  <si>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</si>
  <si>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</si>
  <si>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</si>
  <si>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</si>
  <si>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</si>
  <si>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</si>
  <si>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</si>
  <si>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</si>
  <si>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</si>
  <si>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</si>
  <si>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</si>
  <si>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</si>
  <si>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</si>
  <si>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</si>
  <si>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</si>
  <si>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</si>
  <si>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</si>
  <si>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</si>
  <si>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</si>
  <si>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</si>
  <si>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</si>
  <si>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</si>
  <si>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</si>
  <si>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</si>
  <si>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</si>
  <si>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</si>
  <si>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</si>
  <si>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</si>
  <si>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</si>
  <si>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</si>
  <si>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</si>
  <si>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</si>
  <si>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</si>
  <si>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</si>
  <si>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</si>
  <si>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</si>
  <si>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</si>
  <si>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</si>
  <si>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</si>
  <si>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</si>
  <si>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</si>
  <si>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</si>
  <si>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</si>
  <si>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</si>
  <si>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</si>
  <si>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</si>
  <si>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</si>
  <si>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</si>
  <si>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</si>
  <si>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</si>
  <si>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</si>
  <si>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</si>
  <si>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</si>
  <si>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</si>
  <si>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</si>
  <si>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</si>
  <si>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</si>
  <si>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</si>
  <si>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</si>
  <si>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</si>
  <si>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</si>
  <si>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</si>
  <si>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</si>
  <si>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</si>
  <si>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</si>
  <si>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</si>
  <si>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</si>
  <si>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</si>
  <si>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</si>
  <si>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</si>
  <si>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</si>
  <si>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</si>
  <si>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</si>
  <si>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</si>
  <si>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</si>
  <si>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</si>
  <si>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</si>
  <si>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</si>
  <si>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</si>
  <si>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</si>
  <si>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</si>
  <si>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</si>
  <si>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</si>
  <si>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</si>
  <si>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</si>
  <si>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</si>
  <si>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</si>
  <si>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</si>
  <si>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</si>
  <si>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</si>
  <si>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</si>
  <si>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</si>
  <si>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</si>
  <si>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</si>
  <si>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</si>
  <si>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</si>
  <si>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</si>
  <si>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</si>
  <si>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</si>
  <si>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</si>
  <si>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</si>
  <si>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</si>
  <si>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</si>
  <si>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</si>
  <si>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</si>
  <si>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</si>
  <si>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</si>
  <si>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</si>
  <si>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</si>
  <si>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</si>
  <si>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</si>
  <si>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</si>
  <si>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</si>
  <si>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</si>
  <si>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</si>
  <si>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</si>
  <si>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</si>
  <si>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</si>
  <si>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</si>
  <si>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</si>
  <si>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</si>
  <si>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</si>
  <si>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</si>
  <si>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</si>
  <si>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</si>
  <si>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</si>
  <si>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</si>
  <si>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</si>
  <si>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</si>
  <si>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</si>
  <si>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</si>
  <si>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</si>
  <si>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</si>
  <si>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</si>
  <si>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</si>
  <si>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</si>
  <si>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</si>
  <si>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</si>
  <si>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</si>
  <si>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</si>
  <si>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</si>
  <si>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</si>
  <si>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</si>
  <si>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</si>
  <si>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</si>
  <si>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</si>
  <si>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</si>
  <si>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</si>
  <si>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</si>
  <si>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</si>
  <si>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</si>
  <si>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</si>
  <si>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</si>
  <si>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</si>
  <si>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</si>
  <si>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</si>
  <si>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</si>
  <si>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</si>
  <si>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</si>
  <si>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</si>
  <si>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</si>
  <si>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</si>
  <si>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</si>
  <si>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</si>
  <si>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</si>
  <si>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</si>
  <si>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</si>
  <si>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</si>
  <si>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</si>
  <si>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</si>
  <si>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</si>
  <si>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</si>
  <si>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</si>
  <si>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</si>
  <si>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</si>
  <si>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</si>
  <si>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</si>
  <si>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</si>
  <si>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</si>
  <si>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</si>
  <si>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</si>
  <si>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</si>
  <si>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</si>
  <si>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</si>
  <si>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</si>
  <si>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</si>
  <si>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</si>
  <si>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</si>
  <si>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</si>
  <si>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</si>
  <si>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</si>
  <si>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</si>
  <si>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</si>
  <si>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</si>
  <si>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</si>
  <si>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</si>
  <si>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</si>
  <si>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</si>
  <si>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</si>
  <si>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</si>
  <si>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</si>
  <si>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</si>
  <si>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</si>
  <si>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</si>
  <si>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</si>
  <si>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</si>
  <si>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</si>
  <si>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</si>
  <si>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</si>
  <si>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</si>
  <si>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</si>
  <si>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</si>
  <si>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</si>
  <si>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</si>
  <si>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</si>
  <si>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</si>
  <si>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</si>
  <si>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</si>
  <si>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</si>
  <si>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</si>
  <si>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</si>
  <si>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</si>
  <si>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</si>
  <si>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</si>
  <si>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</si>
  <si>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</si>
  <si>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</si>
  <si>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</si>
  <si>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</si>
  <si>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</si>
  <si>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</si>
  <si>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</si>
  <si>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</si>
  <si>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</si>
  <si>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</si>
  <si>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</si>
  <si>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</si>
  <si>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</si>
  <si>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</si>
  <si>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</si>
  <si>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</si>
  <si>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</si>
  <si>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</si>
  <si>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</si>
  <si>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</si>
  <si>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</si>
  <si>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</si>
  <si>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</si>
  <si>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</si>
  <si>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</si>
  <si>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</si>
  <si>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</si>
  <si>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</si>
  <si>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</si>
  <si>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</si>
  <si>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</si>
  <si>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</si>
  <si>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</si>
  <si>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</si>
  <si>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</si>
  <si>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</si>
  <si>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</si>
  <si>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</si>
  <si>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</si>
  <si>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</si>
  <si>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</si>
  <si>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</si>
  <si>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</si>
  <si>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</si>
  <si>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</si>
  <si>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</si>
  <si>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</si>
  <si>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</si>
  <si>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</si>
  <si>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</si>
  <si>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</si>
  <si>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</si>
  <si>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</si>
  <si>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</si>
  <si>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</si>
  <si>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</si>
  <si>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</si>
  <si>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</si>
  <si>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</si>
  <si>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</si>
  <si>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</si>
  <si>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</si>
  <si>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</si>
  <si>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</si>
  <si>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</si>
  <si>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</si>
  <si>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</si>
  <si>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</si>
  <si>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</si>
  <si>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</si>
  <si>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</si>
  <si>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</si>
  <si>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</si>
  <si>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</si>
  <si>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</si>
  <si>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</si>
  <si>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</si>
  <si>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</si>
  <si>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</si>
  <si>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</si>
  <si>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</si>
  <si>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</si>
  <si>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</si>
  <si>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</si>
  <si>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</si>
  <si>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</si>
  <si>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</si>
  <si>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</si>
  <si>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</si>
  <si>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</si>
  <si>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</si>
  <si>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</si>
  <si>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</si>
  <si>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</si>
  <si>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</si>
  <si>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</si>
  <si>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</si>
  <si>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</si>
  <si>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</si>
  <si>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</si>
  <si>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</si>
  <si>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</si>
  <si>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</si>
  <si>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</si>
  <si>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</si>
  <si>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</si>
  <si>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</si>
  <si>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</si>
  <si>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</si>
  <si>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</si>
  <si>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</si>
  <si>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</si>
  <si>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</si>
  <si>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</si>
  <si>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</si>
  <si>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</si>
  <si>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</si>
  <si>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</si>
  <si>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</si>
  <si>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</si>
  <si>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</si>
  <si>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</si>
  <si>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</si>
  <si>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</si>
  <si>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</si>
  <si>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</si>
  <si>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</si>
  <si>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</si>
  <si>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</si>
  <si>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</si>
  <si>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</si>
  <si>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</si>
  <si>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</si>
  <si>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</si>
  <si>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</si>
  <si>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</si>
  <si>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</si>
  <si>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</si>
  <si>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</si>
  <si>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</si>
  <si>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</si>
  <si>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</si>
  <si>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</si>
  <si>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</si>
  <si>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</si>
  <si>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</si>
  <si>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</si>
  <si>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</si>
  <si>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</si>
  <si>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</si>
  <si>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</si>
  <si>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</si>
  <si>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</si>
  <si>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</si>
  <si>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</si>
  <si>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</si>
  <si>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</si>
  <si>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</si>
  <si>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</si>
  <si>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</si>
  <si>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</si>
  <si>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</si>
  <si>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</si>
  <si>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</si>
  <si>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</si>
  <si>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</si>
  <si>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</si>
  <si>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</si>
  <si>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</si>
  <si>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</si>
  <si>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</si>
  <si>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</si>
  <si>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</si>
  <si>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</si>
  <si>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</si>
  <si>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</si>
  <si>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</si>
  <si>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</si>
  <si>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</si>
  <si>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</si>
  <si>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</si>
  <si>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</si>
  <si>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</si>
  <si>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</si>
  <si>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</si>
  <si>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</si>
  <si>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</si>
  <si>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</si>
  <si>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</si>
  <si>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</si>
  <si>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</si>
  <si>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</si>
  <si>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</si>
  <si>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</si>
  <si>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</si>
  <si>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</si>
  <si>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</si>
  <si>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</si>
  <si>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</si>
  <si>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</si>
  <si>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</si>
  <si>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</si>
  <si>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</si>
  <si>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</si>
  <si>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</si>
  <si>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</si>
  <si>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</si>
  <si>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</si>
  <si>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</si>
  <si>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</si>
  <si>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</si>
  <si>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</si>
  <si>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</si>
  <si>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</si>
  <si>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</si>
  <si>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</si>
  <si>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</si>
  <si>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</si>
  <si>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</si>
  <si>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</si>
  <si>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</si>
  <si>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</si>
  <si>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</si>
  <si>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</si>
  <si>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</si>
  <si>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</si>
  <si>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</si>
  <si>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</si>
  <si>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</si>
  <si>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</si>
  <si>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</si>
  <si>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</si>
  <si>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</si>
  <si>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</si>
  <si>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</si>
  <si>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</si>
  <si>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</si>
  <si>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</si>
  <si>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</si>
  <si>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</si>
  <si>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</si>
  <si>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</si>
  <si>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</si>
  <si>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</si>
  <si>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</si>
  <si>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</si>
  <si>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</si>
  <si>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</si>
  <si>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</si>
  <si>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</si>
  <si>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</si>
  <si>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</si>
  <si>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</si>
  <si>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</si>
  <si>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</si>
  <si>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</si>
  <si>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</si>
  <si>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</si>
  <si>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</si>
  <si>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</si>
  <si>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</si>
  <si>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</si>
  <si>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</si>
  <si>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</si>
  <si>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</si>
  <si>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</si>
  <si>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</si>
  <si>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</si>
  <si>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</si>
  <si>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</si>
  <si>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</si>
  <si>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</si>
  <si>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</si>
  <si>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</si>
  <si>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</si>
  <si>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</si>
  <si>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</si>
  <si>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</si>
  <si>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</si>
  <si>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</si>
  <si>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</si>
  <si>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</si>
  <si>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</si>
  <si>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</si>
  <si>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</si>
  <si>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</si>
  <si>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</si>
  <si>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</si>
  <si>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</si>
  <si>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</si>
  <si>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</si>
  <si>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</si>
  <si>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</si>
  <si>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</si>
  <si>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</si>
  <si>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</si>
  <si>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</si>
  <si>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</si>
  <si>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</si>
  <si>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</si>
  <si>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</si>
  <si>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</si>
  <si>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</si>
  <si>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</si>
  <si>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</si>
  <si>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</si>
  <si>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</si>
  <si>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</si>
  <si>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</si>
  <si>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</si>
  <si>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</si>
  <si>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</si>
  <si>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</si>
  <si>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</si>
  <si>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</si>
  <si>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</si>
  <si>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</si>
  <si>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</si>
  <si>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</si>
  <si>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</si>
  <si>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</si>
  <si>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</si>
  <si>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</si>
  <si>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</si>
  <si>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</si>
  <si>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</si>
  <si>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</si>
  <si>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</si>
  <si>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</si>
  <si>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</si>
  <si>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</si>
  <si>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</si>
  <si>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</si>
  <si>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</si>
  <si>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</si>
  <si>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</si>
  <si>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</si>
  <si>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</si>
  <si>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</si>
  <si>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</si>
  <si>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</si>
  <si>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</si>
  <si>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</si>
  <si>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</si>
  <si>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</si>
  <si>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</si>
  <si>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</si>
  <si>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</si>
  <si>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</si>
  <si>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</si>
  <si>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</si>
  <si>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</si>
  <si>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</si>
  <si>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</si>
  <si>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</si>
  <si>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</si>
  <si>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</si>
  <si>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</si>
  <si>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</si>
  <si>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</si>
  <si>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</si>
  <si>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</si>
  <si>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</si>
  <si>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</si>
  <si>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</si>
  <si>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</si>
  <si>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</si>
  <si>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</si>
  <si>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</si>
  <si>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</si>
  <si>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</si>
  <si>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</si>
  <si>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</si>
  <si>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</si>
  <si>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</si>
  <si>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</si>
  <si>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</si>
  <si>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</si>
  <si>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</si>
  <si>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</si>
  <si>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</si>
  <si>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</si>
  <si>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</si>
  <si>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</si>
  <si>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</si>
  <si>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</si>
  <si>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</si>
  <si>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</si>
  <si>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</si>
  <si>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</si>
  <si>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</si>
  <si>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</si>
  <si>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</si>
  <si>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</si>
  <si>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</si>
  <si>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</si>
  <si>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</si>
  <si>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</si>
  <si>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</si>
  <si>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</si>
  <si>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</si>
  <si>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</si>
  <si>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</si>
  <si>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</si>
  <si>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</si>
  <si>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</si>
  <si>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</si>
  <si>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</si>
  <si>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</si>
  <si>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</si>
  <si>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</si>
  <si>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</si>
  <si>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</si>
  <si>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</si>
  <si>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</si>
  <si>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</si>
  <si>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</si>
  <si>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</si>
  <si>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</si>
  <si>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</si>
  <si>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</si>
  <si>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</si>
  <si>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</si>
  <si>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</si>
  <si>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</si>
  <si>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</si>
  <si>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</si>
  <si>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</si>
  <si>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</si>
  <si>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</si>
  <si>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</si>
  <si>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</si>
  <si>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</si>
  <si>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</si>
  <si>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</si>
  <si>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</si>
  <si>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</si>
  <si>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</si>
  <si>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</si>
  <si>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</si>
  <si>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</si>
  <si>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</si>
  <si>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</si>
  <si>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</si>
  <si>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</si>
  <si>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</si>
  <si>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</si>
  <si>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</si>
  <si>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</si>
  <si>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</si>
  <si>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</si>
  <si>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</si>
  <si>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</si>
  <si>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</si>
  <si>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</si>
  <si>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</si>
  <si>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</si>
  <si>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</si>
  <si>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</si>
  <si>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</si>
  <si>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</si>
  <si>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</si>
  <si>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</si>
  <si>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</si>
  <si>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</si>
  <si>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</si>
  <si>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Conversion Rates</t>
  </si>
  <si>
    <t>Sum of Total leads</t>
  </si>
  <si>
    <t>Sum of Pre-booked</t>
  </si>
  <si>
    <t>Sum of Booked</t>
  </si>
  <si>
    <t>Sum of Delivered</t>
  </si>
  <si>
    <t>Lead to Pre-booking conversion</t>
  </si>
  <si>
    <t>Pre-booking to Booking conversion</t>
  </si>
  <si>
    <t>Booking to Delivery conversion</t>
  </si>
  <si>
    <t>Grand Total</t>
  </si>
  <si>
    <t>Lead to Pre-booking conversion = Sum of Pre-booked / Sum of Total leads</t>
  </si>
  <si>
    <t>Pre-booking to Booking conversion = Sum of Booked / Sum of Pre-booked</t>
  </si>
  <si>
    <t>Booking to Delivery conversion = Sum of Delivered / Sum of Booked</t>
  </si>
  <si>
    <t>Avg TAT for each stage per store</t>
  </si>
  <si>
    <t>Average of TAT Pre-Booking (Days)</t>
  </si>
  <si>
    <t>Average of TAT Booking (Days)</t>
  </si>
  <si>
    <t>Average of TAT Delivery (Days)</t>
  </si>
  <si>
    <t>Details for Count of Lead ID - Store Name: Delhi MBC, Cancellation Reason: Changed Mind, Cancellation Status: Yes</t>
  </si>
  <si>
    <t>Cancellation patterns by store and reason</t>
  </si>
  <si>
    <t>(Multiple Items)</t>
  </si>
  <si>
    <t>Count of Lead ID</t>
  </si>
  <si>
    <t>Breakdown of Hot/Warm/Cold leads</t>
  </si>
  <si>
    <t>Details for Count of Customer Rating</t>
  </si>
  <si>
    <t/>
  </si>
  <si>
    <t>Detractor</t>
  </si>
  <si>
    <t>Passive</t>
  </si>
  <si>
    <t>Promoter</t>
  </si>
  <si>
    <t>NPS of each store</t>
  </si>
  <si>
    <t>Count of Customer Rating</t>
  </si>
  <si>
    <t>NPS Score</t>
  </si>
  <si>
    <t>Note : Negative NPS Score indicates a widespread, systemic issue with customer satisfaction</t>
  </si>
  <si>
    <t>NPS Score = % Promoters - % Detractors</t>
  </si>
  <si>
    <t>High potential leads : Lead type = Hot and Cancellation status = No</t>
  </si>
  <si>
    <t xml:space="preserve">        </t>
  </si>
  <si>
    <t xml:space="preserve">   ElectricPe Store Operations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</si>
</sst>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1"/>
      <color theme="1"/>
      <name val="Calibri"/>
      <scheme val="minor"/>
    </font>
    <font>
      <b/>
      <sz val="11"/>
      <color theme="1"/>
      <name val="Calibri"/>
      <family val="2"/>
    </font>
    <font>
      <b/>
      <sz val="11"/>
      <color theme="1"/>
      <name val="Calibri"/>
      <family val="2"/>
      <scheme val="minor"/>
    </font>
    <font>
      <sz val="11"/>
      <color theme="1"/>
      <name val="Calibri"/>
      <family val="2"/>
      <scheme val="minor"/>
    </font>
    <font>
      <sz val="11"/>
      <color theme="1"/>
      <name val="Calibri"/>
      <family val="2"/>
    </font>
    <font>
      <b/>
      <sz val="11"/>
      <color rgb="FFC0504D"/>
      <name val="Calibri"/>
      <family val="2"/>
      <scheme val="minor"/>
    </font>
    <font>
      <b/>
      <sz val="11"/>
      <color rgb="FF000000"/>
      <name val="Calibri"/>
      <family val="2"/>
    </font>
    <font>
      <sz val="18"/>
      <color theme="3"/>
      <name val="Calibri"/>
      <family val="2"/>
      <scheme val="major"/>
    </font>
    <font>
      <i/>
      <sz val="11"/>
      <color rgb="FF7F7F7F"/>
      <name val="Calibri"/>
      <family val="2"/>
      <scheme val="minor"/>
    </font>
    <font>
      <sz val="11"/>
      <color theme="1"/>
      <name val="STIXGeneral-Italic"/>
      <charset val="1"/>
    </font>
    <font>
      <b/>
      <sz val="13"/>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sz val="11"/>
      <color theme="0"/>
      <name val="Calibri"/>
      <family val="2"/>
      <scheme val="minor"/>
    </font>
    <font>
      <sz val="24"/>
      <color theme="1"/>
      <name val="Calibri (Headings)"/>
    </font>
    <font>
      <b/>
      <i/>
      <sz val="24"/>
      <color theme="1"/>
      <name val="Calibri (Body)"/>
    </font>
    <font>
      <b/>
      <i/>
      <sz val="24"/>
      <color theme="1"/>
      <name val="Calibri"/>
      <family val="2"/>
      <scheme val="minor"/>
    </font>
  </fonts>
  <fills count="6">
    <fill>
      <patternFill patternType="none"/>
    </fill>
    <fill>
      <patternFill patternType="gray125"/>
    </fill>
    <fill>
      <patternFill patternType="solid">
        <fgColor rgb="FFFFCC99"/>
      </patternFill>
    </fill>
    <fill>
      <patternFill patternType="solid">
        <fgColor rgb="FFF2F2F2"/>
      </patternFill>
    </fill>
    <fill>
      <patternFill patternType="solid">
        <fgColor theme="6"/>
      </patternFill>
    </fill>
    <fill>
      <patternFill patternType="solid">
        <fgColor rgb="FF92D05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n">
        <color rgb="FF3F3F3F"/>
      </left>
      <right style="thin">
        <color rgb="FF3F3F3F"/>
      </right>
      <top style="thin">
        <color rgb="FF3F3F3F"/>
      </top>
      <bottom/>
      <diagonal/>
    </border>
  </borders>
  <cellStyleXfs count="8">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10" fillId="0" borderId="4" applyNumberFormat="0" applyFill="0" applyAlignment="0" applyProtection="0"/>
    <xf numFmtId="0" fontId="11" fillId="0" borderId="5" applyNumberFormat="0" applyFill="0" applyAlignment="0" applyProtection="0"/>
    <xf numFmtId="0" fontId="12" fillId="2" borderId="6" applyNumberFormat="0" applyAlignment="0" applyProtection="0"/>
    <xf numFmtId="0" fontId="13" fillId="3" borderId="7" applyNumberFormat="0" applyAlignment="0" applyProtection="0"/>
    <xf numFmtId="0" fontId="14" fillId="4" borderId="0" applyNumberFormat="0" applyBorder="0" applyAlignment="0" applyProtection="0"/>
  </cellStyleXfs>
  <cellXfs count="38">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164" fontId="4" fillId="0" borderId="0" xfId="0" applyNumberFormat="1" applyFont="1"/>
    <xf numFmtId="0" fontId="0" fillId="0" borderId="0" xfId="0" pivotButton="1"/>
    <xf numFmtId="0" fontId="5" fillId="0" borderId="0" xfId="0" applyFont="1" applyAlignment="1">
      <alignment wrapText="1"/>
    </xf>
    <xf numFmtId="0" fontId="1" fillId="0" borderId="1" xfId="0" applyFont="1" applyBorder="1" applyAlignment="1">
      <alignment horizontal="center" vertical="top" wrapText="1"/>
    </xf>
    <xf numFmtId="14" fontId="0" fillId="0" borderId="0" xfId="0" applyNumberFormat="1"/>
    <xf numFmtId="2" fontId="0" fillId="0" borderId="0" xfId="0" applyNumberFormat="1"/>
    <xf numFmtId="0" fontId="0" fillId="0" borderId="0" xfId="0" applyAlignment="1">
      <alignment wrapText="1"/>
    </xf>
    <xf numFmtId="0" fontId="6" fillId="0" borderId="0" xfId="0" applyFont="1" applyAlignment="1">
      <alignment wrapText="1"/>
    </xf>
    <xf numFmtId="0" fontId="9" fillId="0" borderId="0" xfId="0" applyFont="1" applyAlignment="1">
      <alignment wrapText="1"/>
    </xf>
    <xf numFmtId="0" fontId="1" fillId="0" borderId="2" xfId="0" applyFont="1" applyBorder="1" applyAlignment="1">
      <alignment horizontal="center" vertical="top" wrapText="1"/>
    </xf>
    <xf numFmtId="0" fontId="7" fillId="0" borderId="0" xfId="1" applyAlignment="1"/>
    <xf numFmtId="0" fontId="8" fillId="0" borderId="0" xfId="2" applyAlignment="1">
      <alignment wrapText="1"/>
    </xf>
    <xf numFmtId="0" fontId="8" fillId="0" borderId="0" xfId="2" applyAlignment="1"/>
    <xf numFmtId="0" fontId="1" fillId="0" borderId="3" xfId="0" applyFont="1" applyBorder="1" applyAlignment="1">
      <alignment horizontal="center" vertical="top"/>
    </xf>
    <xf numFmtId="0" fontId="7" fillId="0" borderId="0" xfId="1" applyFill="1" applyBorder="1" applyAlignment="1"/>
    <xf numFmtId="10" fontId="13" fillId="3" borderId="7" xfId="6" applyNumberFormat="1" applyAlignment="1"/>
    <xf numFmtId="10" fontId="13" fillId="3" borderId="8" xfId="6" applyNumberFormat="1" applyBorder="1" applyAlignment="1"/>
    <xf numFmtId="0" fontId="11" fillId="5" borderId="1" xfId="4" applyFill="1" applyBorder="1" applyAlignment="1"/>
    <xf numFmtId="0" fontId="10" fillId="5" borderId="1" xfId="3" applyFill="1" applyBorder="1" applyAlignment="1"/>
    <xf numFmtId="0" fontId="12" fillId="2" borderId="6" xfId="5" applyAlignment="1">
      <alignment wrapText="1"/>
    </xf>
    <xf numFmtId="0" fontId="12" fillId="2" borderId="6" xfId="5" applyAlignment="1"/>
    <xf numFmtId="10" fontId="13" fillId="3" borderId="9" xfId="6" applyNumberFormat="1" applyBorder="1" applyAlignment="1"/>
    <xf numFmtId="10" fontId="14" fillId="4" borderId="1" xfId="7" applyNumberFormat="1" applyBorder="1" applyAlignment="1"/>
    <xf numFmtId="0" fontId="0" fillId="0" borderId="1" xfId="0" applyBorder="1" applyAlignment="1">
      <alignment horizontal="center"/>
    </xf>
    <xf numFmtId="0" fontId="2" fillId="0" borderId="1" xfId="0" applyFont="1" applyBorder="1" applyAlignment="1">
      <alignment horizontal="center"/>
    </xf>
    <xf numFmtId="0" fontId="3" fillId="0" borderId="0" xfId="0" applyFont="1" applyAlignment="1">
      <alignment horizontal="center"/>
    </xf>
    <xf numFmtId="164" fontId="4" fillId="0" borderId="0" xfId="0" applyNumberFormat="1" applyFont="1" applyAlignment="1">
      <alignment horizontal="center"/>
    </xf>
    <xf numFmtId="0" fontId="8" fillId="0" borderId="0" xfId="2" applyAlignment="1">
      <alignment vertical="center" wrapText="1"/>
    </xf>
    <xf numFmtId="0" fontId="15" fillId="0" borderId="0" xfId="0" applyFont="1" applyAlignment="1">
      <alignment horizontal="left"/>
    </xf>
    <xf numFmtId="0" fontId="0" fillId="0" borderId="0" xfId="0" applyAlignment="1">
      <alignment vertical="top"/>
    </xf>
    <xf numFmtId="0" fontId="0" fillId="0" borderId="0" xfId="0" applyAlignment="1">
      <alignment horizontal="left" indent="3"/>
    </xf>
    <xf numFmtId="0" fontId="16" fillId="0" borderId="0" xfId="0" applyFont="1" applyAlignment="1">
      <alignment horizontal="left" vertical="top" indent="1"/>
    </xf>
    <xf numFmtId="0" fontId="17" fillId="0" borderId="0" xfId="0" applyFont="1"/>
    <xf numFmtId="0" fontId="0" fillId="0" borderId="0" xfId="0" applyNumberFormat="1"/>
  </cellXfs>
  <cellStyles count="8">
    <cellStyle name="Accent3" xfId="7" builtinId="37"/>
    <cellStyle name="Explanatory Text" xfId="2" builtinId="53"/>
    <cellStyle name="Heading 2" xfId="3" builtinId="17"/>
    <cellStyle name="Heading 3" xfId="4" builtinId="18"/>
    <cellStyle name="Input" xfId="5" builtinId="20"/>
    <cellStyle name="Normal" xfId="0" builtinId="0"/>
    <cellStyle name="Output" xfId="6" builtinId="21"/>
    <cellStyle name="Title" xfId="1" builtinId="15"/>
  </cellStyles>
  <dxfs count="9">
    <dxf>
      <numFmt numFmtId="2" formatCode="0.00"/>
    </dxf>
    <dxf>
      <numFmt numFmtId="2" formatCode="0.00"/>
    </dxf>
    <dxf>
      <numFmt numFmtId="19" formatCode="dd/mm/yy"/>
    </dxf>
    <dxf>
      <numFmt numFmtId="19" formatCode="dd/mm/yy"/>
    </dxf>
    <dxf>
      <numFmt numFmtId="19" formatCode="dd/mm/yy"/>
    </dxf>
    <dxf>
      <numFmt numFmtId="19" formatCode="dd/mm/yy"/>
    </dxf>
    <dxf>
      <numFmt numFmtId="19" formatCode="dd/mm/yy"/>
    </dxf>
    <dxf>
      <font>
        <b val="0"/>
        <i val="0"/>
        <strike val="0"/>
        <condense val="0"/>
        <extend val="0"/>
        <outline val="0"/>
        <shadow val="0"/>
        <u val="none"/>
        <vertAlign val="baseline"/>
        <sz val="11"/>
        <color theme="1"/>
        <name val="Calibri"/>
        <scheme val="minor"/>
      </font>
      <numFmt numFmtId="165" formatCode="dd/mm/yyyy"/>
      <alignment horizontal="general" vertical="bottom" textRotation="0" wrapText="0" indent="0" justifyLastLine="0" shrinkToFit="0" readingOrder="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11/relationships/timelineCache" Target="timelineCaches/timeline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[EPe BA intern assesment_Yogesh.xlsx]Analysis 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Lead</a:t>
            </a:r>
            <a:r>
              <a:rPr lang="en-IN" baseline="0"/>
              <a:t> Conversion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693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6933C"/>
          </a:solidFill>
          <a:ln>
            <a:noFill/>
          </a:ln>
          <a:effectLst/>
        </c:spPr>
      </c:pivotFmt>
      <c:pivotFmt>
        <c:idx val="13"/>
        <c:spPr>
          <a:solidFill>
            <a:schemeClr val="accent2"/>
          </a:solidFill>
          <a:ln>
            <a:noFill/>
          </a:ln>
          <a:effectLst/>
        </c:spPr>
      </c:pivotFmt>
      <c:pivotFmt>
        <c:idx val="14"/>
        <c:spPr>
          <a:solidFill>
            <a:schemeClr val="accent3"/>
          </a:solidFill>
          <a:ln>
            <a:noFill/>
          </a:ln>
          <a:effectLst/>
        </c:spPr>
      </c:pivotFmt>
      <c:pivotFmt>
        <c:idx val="15"/>
        <c:spPr>
          <a:solidFill>
            <a:schemeClr val="accent4"/>
          </a:solidFill>
          <a:ln>
            <a:noFill/>
          </a:ln>
          <a:effectLst/>
        </c:spPr>
      </c:pivotFmt>
    </c:pivotFmts>
    <c:plotArea>
      <c:layout/>
      <c:barChart>
        <c:barDir val="col"/>
        <c:grouping val="clustered"/>
        <c:varyColors val="0"/>
        <c:ser>
          <c:idx val="0"/>
          <c:order val="0"/>
          <c:tx>
            <c:strRef>
              <c:f>'Analysis 1'!$B$3</c:f>
              <c:strCache>
                <c:ptCount val="1"/>
                <c:pt idx="0">
                  <c:v>Sum of Total leads</c:v>
                </c:pt>
              </c:strCache>
            </c:strRef>
          </c:tx>
          <c:spPr>
            <a:solidFill>
              <a:srgbClr val="7693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1'!$A$4:$A$8</c:f>
              <c:strCache>
                <c:ptCount val="4"/>
                <c:pt idx="0">
                  <c:v>Mumbai MBC</c:v>
                </c:pt>
                <c:pt idx="1">
                  <c:v>Bangalore MBC</c:v>
                </c:pt>
                <c:pt idx="2">
                  <c:v>Delhi MBC</c:v>
                </c:pt>
                <c:pt idx="3">
                  <c:v>Chennai MBC</c:v>
                </c:pt>
              </c:strCache>
            </c:strRef>
          </c:cat>
          <c:val>
            <c:numRef>
              <c:f>'Analysis 1'!$B$4:$B$8</c:f>
              <c:numCache>
                <c:formatCode>General</c:formatCode>
                <c:ptCount val="4"/>
                <c:pt idx="0">
                  <c:v>262</c:v>
                </c:pt>
                <c:pt idx="1">
                  <c:v>263</c:v>
                </c:pt>
                <c:pt idx="2">
                  <c:v>263</c:v>
                </c:pt>
                <c:pt idx="3">
                  <c:v>212</c:v>
                </c:pt>
              </c:numCache>
            </c:numRef>
          </c:val>
          <c:extLst>
            <c:ext xmlns:c16="http://schemas.microsoft.com/office/drawing/2014/chart" uri="{C3380CC4-5D6E-409C-BE32-E72D297353CC}">
              <c16:uniqueId val="{00000000-5F32-7A4E-AA28-94176EAEACF5}"/>
            </c:ext>
          </c:extLst>
        </c:ser>
        <c:ser>
          <c:idx val="1"/>
          <c:order val="1"/>
          <c:tx>
            <c:strRef>
              <c:f>'Analysis 1'!$C$3</c:f>
              <c:strCache>
                <c:ptCount val="1"/>
                <c:pt idx="0">
                  <c:v>Sum of Pre-booked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1'!$A$4:$A$8</c:f>
              <c:strCache>
                <c:ptCount val="4"/>
                <c:pt idx="0">
                  <c:v>Mumbai MBC</c:v>
                </c:pt>
                <c:pt idx="1">
                  <c:v>Bangalore MBC</c:v>
                </c:pt>
                <c:pt idx="2">
                  <c:v>Delhi MBC</c:v>
                </c:pt>
                <c:pt idx="3">
                  <c:v>Chennai MBC</c:v>
                </c:pt>
              </c:strCache>
            </c:strRef>
          </c:cat>
          <c:val>
            <c:numRef>
              <c:f>'Analysis 1'!$C$4:$C$8</c:f>
              <c:numCache>
                <c:formatCode>General</c:formatCode>
                <c:ptCount val="4"/>
                <c:pt idx="0">
                  <c:v>215</c:v>
                </c:pt>
                <c:pt idx="1">
                  <c:v>212</c:v>
                </c:pt>
                <c:pt idx="2">
                  <c:v>212</c:v>
                </c:pt>
                <c:pt idx="3">
                  <c:v>173</c:v>
                </c:pt>
              </c:numCache>
            </c:numRef>
          </c:val>
          <c:extLst>
            <c:ext xmlns:c16="http://schemas.microsoft.com/office/drawing/2014/chart" uri="{C3380CC4-5D6E-409C-BE32-E72D297353CC}">
              <c16:uniqueId val="{00000001-5F32-7A4E-AA28-94176EAEACF5}"/>
            </c:ext>
          </c:extLst>
        </c:ser>
        <c:ser>
          <c:idx val="2"/>
          <c:order val="2"/>
          <c:tx>
            <c:strRef>
              <c:f>'Analysis 1'!$D$3</c:f>
              <c:strCache>
                <c:ptCount val="1"/>
                <c:pt idx="0">
                  <c:v>Sum of Booked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1'!$A$4:$A$8</c:f>
              <c:strCache>
                <c:ptCount val="4"/>
                <c:pt idx="0">
                  <c:v>Mumbai MBC</c:v>
                </c:pt>
                <c:pt idx="1">
                  <c:v>Bangalore MBC</c:v>
                </c:pt>
                <c:pt idx="2">
                  <c:v>Delhi MBC</c:v>
                </c:pt>
                <c:pt idx="3">
                  <c:v>Chennai MBC</c:v>
                </c:pt>
              </c:strCache>
            </c:strRef>
          </c:cat>
          <c:val>
            <c:numRef>
              <c:f>'Analysis 1'!$D$4:$D$8</c:f>
              <c:numCache>
                <c:formatCode>General</c:formatCode>
                <c:ptCount val="4"/>
                <c:pt idx="0">
                  <c:v>215</c:v>
                </c:pt>
                <c:pt idx="1">
                  <c:v>212</c:v>
                </c:pt>
                <c:pt idx="2">
                  <c:v>212</c:v>
                </c:pt>
                <c:pt idx="3">
                  <c:v>173</c:v>
                </c:pt>
              </c:numCache>
            </c:numRef>
          </c:val>
          <c:extLst>
            <c:ext xmlns:c16="http://schemas.microsoft.com/office/drawing/2014/chart" uri="{C3380CC4-5D6E-409C-BE32-E72D297353CC}">
              <c16:uniqueId val="{00000002-5F32-7A4E-AA28-94176EAEACF5}"/>
            </c:ext>
          </c:extLst>
        </c:ser>
        <c:ser>
          <c:idx val="3"/>
          <c:order val="3"/>
          <c:tx>
            <c:strRef>
              <c:f>'Analysis 1'!$E$3</c:f>
              <c:strCache>
                <c:ptCount val="1"/>
                <c:pt idx="0">
                  <c:v>Sum of Delivered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1'!$A$4:$A$8</c:f>
              <c:strCache>
                <c:ptCount val="4"/>
                <c:pt idx="0">
                  <c:v>Mumbai MBC</c:v>
                </c:pt>
                <c:pt idx="1">
                  <c:v>Bangalore MBC</c:v>
                </c:pt>
                <c:pt idx="2">
                  <c:v>Delhi MBC</c:v>
                </c:pt>
                <c:pt idx="3">
                  <c:v>Chennai MBC</c:v>
                </c:pt>
              </c:strCache>
            </c:strRef>
          </c:cat>
          <c:val>
            <c:numRef>
              <c:f>'Analysis 1'!$E$4:$E$8</c:f>
              <c:numCache>
                <c:formatCode>General</c:formatCode>
                <c:ptCount val="4"/>
                <c:pt idx="0">
                  <c:v>199</c:v>
                </c:pt>
                <c:pt idx="1">
                  <c:v>191</c:v>
                </c:pt>
                <c:pt idx="2">
                  <c:v>186</c:v>
                </c:pt>
                <c:pt idx="3">
                  <c:v>153</c:v>
                </c:pt>
              </c:numCache>
            </c:numRef>
          </c:val>
          <c:extLst>
            <c:ext xmlns:c16="http://schemas.microsoft.com/office/drawing/2014/chart" uri="{C3380CC4-5D6E-409C-BE32-E72D297353CC}">
              <c16:uniqueId val="{00000003-5F32-7A4E-AA28-94176EAEACF5}"/>
            </c:ext>
          </c:extLst>
        </c:ser>
        <c:dLbls>
          <c:dLblPos val="outEnd"/>
          <c:showLegendKey val="0"/>
          <c:showVal val="1"/>
          <c:showCatName val="0"/>
          <c:showSerName val="0"/>
          <c:showPercent val="0"/>
          <c:showBubbleSize val="0"/>
        </c:dLbls>
        <c:gapWidth val="75"/>
        <c:axId val="497726560"/>
        <c:axId val="497103184"/>
      </c:barChart>
      <c:catAx>
        <c:axId val="49772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103184"/>
        <c:crosses val="autoZero"/>
        <c:auto val="1"/>
        <c:lblAlgn val="ctr"/>
        <c:lblOffset val="100"/>
        <c:noMultiLvlLbl val="0"/>
      </c:catAx>
      <c:valAx>
        <c:axId val="497103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LEAD CONVERSION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26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[EPe BA intern assesment_Yogesh.xlsx]Analysis 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effectLst/>
              </a:rPr>
              <a:t>TAT performance by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2'!$B$3</c:f>
              <c:strCache>
                <c:ptCount val="1"/>
                <c:pt idx="0">
                  <c:v>Average of TAT Pre-Booking (Days)</c:v>
                </c:pt>
              </c:strCache>
            </c:strRef>
          </c:tx>
          <c:spPr>
            <a:solidFill>
              <a:schemeClr val="accent1"/>
            </a:solidFill>
            <a:ln>
              <a:noFill/>
            </a:ln>
            <a:effectLst/>
          </c:spPr>
          <c:invertIfNegative val="0"/>
          <c:cat>
            <c:strRef>
              <c:f>'Analysis 2'!$A$4:$A$8</c:f>
              <c:strCache>
                <c:ptCount val="4"/>
                <c:pt idx="0">
                  <c:v>Bangalore MBC</c:v>
                </c:pt>
                <c:pt idx="1">
                  <c:v>Chennai MBC</c:v>
                </c:pt>
                <c:pt idx="2">
                  <c:v>Delhi MBC</c:v>
                </c:pt>
                <c:pt idx="3">
                  <c:v>Mumbai MBC</c:v>
                </c:pt>
              </c:strCache>
            </c:strRef>
          </c:cat>
          <c:val>
            <c:numRef>
              <c:f>'Analysis 2'!$B$4:$B$8</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6B76-8C4C-969C-E0F1E42D0805}"/>
            </c:ext>
          </c:extLst>
        </c:ser>
        <c:ser>
          <c:idx val="1"/>
          <c:order val="1"/>
          <c:tx>
            <c:strRef>
              <c:f>'Analysis 2'!$C$3</c:f>
              <c:strCache>
                <c:ptCount val="1"/>
                <c:pt idx="0">
                  <c:v>Average of TAT Booking (Days)</c:v>
                </c:pt>
              </c:strCache>
            </c:strRef>
          </c:tx>
          <c:spPr>
            <a:solidFill>
              <a:schemeClr val="accent2"/>
            </a:solidFill>
            <a:ln>
              <a:noFill/>
            </a:ln>
            <a:effectLst/>
          </c:spPr>
          <c:invertIfNegative val="0"/>
          <c:cat>
            <c:strRef>
              <c:f>'Analysis 2'!$A$4:$A$8</c:f>
              <c:strCache>
                <c:ptCount val="4"/>
                <c:pt idx="0">
                  <c:v>Bangalore MBC</c:v>
                </c:pt>
                <c:pt idx="1">
                  <c:v>Chennai MBC</c:v>
                </c:pt>
                <c:pt idx="2">
                  <c:v>Delhi MBC</c:v>
                </c:pt>
                <c:pt idx="3">
                  <c:v>Mumbai MBC</c:v>
                </c:pt>
              </c:strCache>
            </c:strRef>
          </c:cat>
          <c:val>
            <c:numRef>
              <c:f>'Analysis 2'!$C$4:$C$8</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6B76-8C4C-969C-E0F1E42D0805}"/>
            </c:ext>
          </c:extLst>
        </c:ser>
        <c:ser>
          <c:idx val="2"/>
          <c:order val="2"/>
          <c:tx>
            <c:strRef>
              <c:f>'Analysis 2'!$D$3</c:f>
              <c:strCache>
                <c:ptCount val="1"/>
                <c:pt idx="0">
                  <c:v>Average of TAT Delivery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2'!$A$4:$A$8</c:f>
              <c:strCache>
                <c:ptCount val="4"/>
                <c:pt idx="0">
                  <c:v>Bangalore MBC</c:v>
                </c:pt>
                <c:pt idx="1">
                  <c:v>Chennai MBC</c:v>
                </c:pt>
                <c:pt idx="2">
                  <c:v>Delhi MBC</c:v>
                </c:pt>
                <c:pt idx="3">
                  <c:v>Mumbai MBC</c:v>
                </c:pt>
              </c:strCache>
            </c:strRef>
          </c:cat>
          <c:val>
            <c:numRef>
              <c:f>'Analysis 2'!$D$4:$D$8</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6B76-8C4C-969C-E0F1E42D0805}"/>
            </c:ext>
          </c:extLst>
        </c:ser>
        <c:dLbls>
          <c:showLegendKey val="0"/>
          <c:showVal val="0"/>
          <c:showCatName val="0"/>
          <c:showSerName val="0"/>
          <c:showPercent val="0"/>
          <c:showBubbleSize val="0"/>
        </c:dLbls>
        <c:gapWidth val="75"/>
        <c:overlap val="40"/>
        <c:axId val="18903951"/>
        <c:axId val="19547231"/>
      </c:barChart>
      <c:catAx>
        <c:axId val="18903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LEAD</a:t>
                </a:r>
                <a:r>
                  <a:rPr lang="en-GB" baseline="0"/>
                  <a:t> STORE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231"/>
        <c:crosses val="autoZero"/>
        <c:auto val="1"/>
        <c:lblAlgn val="ctr"/>
        <c:lblOffset val="100"/>
        <c:noMultiLvlLbl val="0"/>
      </c:catAx>
      <c:valAx>
        <c:axId val="195472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TAT (DAYS)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39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[EPe BA intern assesment_Yogesh.xlsx]Analysis 3!PivotTable5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effectLst/>
              </a:rPr>
              <a:t>Cancellation trends and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3'!$B$5:$B$6</c:f>
              <c:strCache>
                <c:ptCount val="1"/>
                <c:pt idx="0">
                  <c:v>Changed Mind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3'!$A$7:$A$11</c:f>
              <c:strCache>
                <c:ptCount val="4"/>
                <c:pt idx="0">
                  <c:v>Bangalore MBC</c:v>
                </c:pt>
                <c:pt idx="1">
                  <c:v>Chennai MBC</c:v>
                </c:pt>
                <c:pt idx="2">
                  <c:v>Delhi MBC</c:v>
                </c:pt>
                <c:pt idx="3">
                  <c:v>Mumbai MBC</c:v>
                </c:pt>
              </c:strCache>
            </c:strRef>
          </c:cat>
          <c:val>
            <c:numRef>
              <c:f>'Analysis 3'!$B$7:$B$11</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670C-1E4E-B2F3-43E46C4E5FD2}"/>
            </c:ext>
          </c:extLst>
        </c:ser>
        <c:ser>
          <c:idx val="1"/>
          <c:order val="1"/>
          <c:tx>
            <c:strRef>
              <c:f>'Analysis 3'!$C$5:$C$6</c:f>
              <c:strCache>
                <c:ptCount val="1"/>
                <c:pt idx="0">
                  <c:v>Financing Issue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3'!$A$7:$A$11</c:f>
              <c:strCache>
                <c:ptCount val="4"/>
                <c:pt idx="0">
                  <c:v>Bangalore MBC</c:v>
                </c:pt>
                <c:pt idx="1">
                  <c:v>Chennai MBC</c:v>
                </c:pt>
                <c:pt idx="2">
                  <c:v>Delhi MBC</c:v>
                </c:pt>
                <c:pt idx="3">
                  <c:v>Mumbai MBC</c:v>
                </c:pt>
              </c:strCache>
            </c:strRef>
          </c:cat>
          <c:val>
            <c:numRef>
              <c:f>'Analysis 3'!$C$7:$C$11</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1-FF8A-A342-9D89-82DCA7D97217}"/>
            </c:ext>
          </c:extLst>
        </c:ser>
        <c:ser>
          <c:idx val="2"/>
          <c:order val="2"/>
          <c:tx>
            <c:strRef>
              <c:f>'Analysis 3'!$D$5:$D$6</c:f>
              <c:strCache>
                <c:ptCount val="1"/>
                <c:pt idx="0">
                  <c:v>Model Unavailable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3'!$A$7:$A$11</c:f>
              <c:strCache>
                <c:ptCount val="4"/>
                <c:pt idx="0">
                  <c:v>Bangalore MBC</c:v>
                </c:pt>
                <c:pt idx="1">
                  <c:v>Chennai MBC</c:v>
                </c:pt>
                <c:pt idx="2">
                  <c:v>Delhi MBC</c:v>
                </c:pt>
                <c:pt idx="3">
                  <c:v>Mumbai MBC</c:v>
                </c:pt>
              </c:strCache>
            </c:strRef>
          </c:cat>
          <c:val>
            <c:numRef>
              <c:f>'Analysis 3'!$D$7:$D$11</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2-FF8A-A342-9D89-82DCA7D97217}"/>
            </c:ext>
          </c:extLst>
        </c:ser>
        <c:ser>
          <c:idx val="3"/>
          <c:order val="3"/>
          <c:tx>
            <c:strRef>
              <c:f>'Analysis 3'!$E$5:$E$6</c:f>
              <c:strCache>
                <c:ptCount val="1"/>
                <c:pt idx="0">
                  <c:v>Other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3'!$A$7:$A$11</c:f>
              <c:strCache>
                <c:ptCount val="4"/>
                <c:pt idx="0">
                  <c:v>Bangalore MBC</c:v>
                </c:pt>
                <c:pt idx="1">
                  <c:v>Chennai MBC</c:v>
                </c:pt>
                <c:pt idx="2">
                  <c:v>Delhi MBC</c:v>
                </c:pt>
                <c:pt idx="3">
                  <c:v>Mumbai MBC</c:v>
                </c:pt>
              </c:strCache>
            </c:strRef>
          </c:cat>
          <c:val>
            <c:numRef>
              <c:f>'Analysis 3'!$E$7:$E$11</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3-FF8A-A342-9D89-82DCA7D97217}"/>
            </c:ext>
          </c:extLst>
        </c:ser>
        <c:ser>
          <c:idx val="4"/>
          <c:order val="4"/>
          <c:tx>
            <c:strRef>
              <c:f>'Analysis 3'!$F$5:$F$6</c:f>
              <c:strCache>
                <c:ptCount val="1"/>
                <c:pt idx="0">
                  <c:v>Price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3'!$A$7:$A$11</c:f>
              <c:strCache>
                <c:ptCount val="4"/>
                <c:pt idx="0">
                  <c:v>Bangalore MBC</c:v>
                </c:pt>
                <c:pt idx="1">
                  <c:v>Chennai MBC</c:v>
                </c:pt>
                <c:pt idx="2">
                  <c:v>Delhi MBC</c:v>
                </c:pt>
                <c:pt idx="3">
                  <c:v>Mumbai MBC</c:v>
                </c:pt>
              </c:strCache>
            </c:strRef>
          </c:cat>
          <c:val>
            <c:numRef>
              <c:f>'Analysis 3'!$F$7:$F$11</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4-FF8A-A342-9D89-82DCA7D97217}"/>
            </c:ext>
          </c:extLst>
        </c:ser>
        <c:dLbls>
          <c:showLegendKey val="0"/>
          <c:showVal val="1"/>
          <c:showCatName val="0"/>
          <c:showSerName val="0"/>
          <c:showPercent val="0"/>
          <c:showBubbleSize val="0"/>
        </c:dLbls>
        <c:gapWidth val="75"/>
        <c:axId val="201462399"/>
        <c:axId val="201888607"/>
      </c:barChart>
      <c:catAx>
        <c:axId val="201462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LEAD</a:t>
                </a:r>
                <a:r>
                  <a:rPr lang="en-GB" baseline="0"/>
                  <a:t> STORE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88607"/>
        <c:crosses val="autoZero"/>
        <c:auto val="1"/>
        <c:lblAlgn val="ctr"/>
        <c:lblOffset val="100"/>
        <c:noMultiLvlLbl val="0"/>
      </c:catAx>
      <c:valAx>
        <c:axId val="2018886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CANCELLATION REASONS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2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[EPe BA intern assesment_Yogesh.xlsx]Analysis 5!PivotTable7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effectLst/>
              </a:rPr>
              <a:t>Customer Ratings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5'!$B$3:$B$4</c:f>
              <c:strCache>
                <c:ptCount val="1"/>
                <c:pt idx="0">
                  <c:v>Detractor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5'!$A$5:$A$9</c:f>
              <c:strCache>
                <c:ptCount val="4"/>
                <c:pt idx="0">
                  <c:v>Bangalore MBC</c:v>
                </c:pt>
                <c:pt idx="1">
                  <c:v>Chennai MBC</c:v>
                </c:pt>
                <c:pt idx="2">
                  <c:v>Delhi MBC</c:v>
                </c:pt>
                <c:pt idx="3">
                  <c:v>Mumbai MBC</c:v>
                </c:pt>
              </c:strCache>
            </c:strRef>
          </c:cat>
          <c:val>
            <c:numRef>
              <c:f>'Analysis 5'!$B$5:$B$9</c:f>
              <c:numCache>
                <c:formatCode>General</c:formatCode>
                <c:ptCount val="4"/>
                <c:pt idx="0">
                  <c:v>134</c:v>
                </c:pt>
                <c:pt idx="1">
                  <c:v>99</c:v>
                </c:pt>
                <c:pt idx="2">
                  <c:v>123</c:v>
                </c:pt>
                <c:pt idx="3">
                  <c:v>138</c:v>
                </c:pt>
              </c:numCache>
            </c:numRef>
          </c:val>
          <c:extLst>
            <c:ext xmlns:c16="http://schemas.microsoft.com/office/drawing/2014/chart" uri="{C3380CC4-5D6E-409C-BE32-E72D297353CC}">
              <c16:uniqueId val="{00000000-45DC-8240-A440-55B140D4507C}"/>
            </c:ext>
          </c:extLst>
        </c:ser>
        <c:ser>
          <c:idx val="1"/>
          <c:order val="1"/>
          <c:tx>
            <c:strRef>
              <c:f>'Analysis 5'!$C$3:$C$4</c:f>
              <c:strCache>
                <c:ptCount val="1"/>
                <c:pt idx="0">
                  <c:v>Passive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5'!$A$5:$A$9</c:f>
              <c:strCache>
                <c:ptCount val="4"/>
                <c:pt idx="0">
                  <c:v>Bangalore MBC</c:v>
                </c:pt>
                <c:pt idx="1">
                  <c:v>Chennai MBC</c:v>
                </c:pt>
                <c:pt idx="2">
                  <c:v>Delhi MBC</c:v>
                </c:pt>
                <c:pt idx="3">
                  <c:v>Mumbai MBC</c:v>
                </c:pt>
              </c:strCache>
            </c:strRef>
          </c:cat>
          <c:val>
            <c:numRef>
              <c:f>'Analysis 5'!$C$5:$C$9</c:f>
              <c:numCache>
                <c:formatCode>General</c:formatCode>
                <c:ptCount val="4"/>
                <c:pt idx="0">
                  <c:v>34</c:v>
                </c:pt>
                <c:pt idx="1">
                  <c:v>26</c:v>
                </c:pt>
                <c:pt idx="2">
                  <c:v>33</c:v>
                </c:pt>
                <c:pt idx="3">
                  <c:v>38</c:v>
                </c:pt>
              </c:numCache>
            </c:numRef>
          </c:val>
          <c:extLst>
            <c:ext xmlns:c16="http://schemas.microsoft.com/office/drawing/2014/chart" uri="{C3380CC4-5D6E-409C-BE32-E72D297353CC}">
              <c16:uniqueId val="{00000004-0F2E-41A9-9046-AE146CB152BD}"/>
            </c:ext>
          </c:extLst>
        </c:ser>
        <c:ser>
          <c:idx val="2"/>
          <c:order val="2"/>
          <c:tx>
            <c:strRef>
              <c:f>'Analysis 5'!$D$3:$D$4</c:f>
              <c:strCache>
                <c:ptCount val="1"/>
                <c:pt idx="0">
                  <c:v>Promoter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5'!$A$5:$A$9</c:f>
              <c:strCache>
                <c:ptCount val="4"/>
                <c:pt idx="0">
                  <c:v>Bangalore MBC</c:v>
                </c:pt>
                <c:pt idx="1">
                  <c:v>Chennai MBC</c:v>
                </c:pt>
                <c:pt idx="2">
                  <c:v>Delhi MBC</c:v>
                </c:pt>
                <c:pt idx="3">
                  <c:v>Mumbai MBC</c:v>
                </c:pt>
              </c:strCache>
            </c:strRef>
          </c:cat>
          <c:val>
            <c:numRef>
              <c:f>'Analysis 5'!$D$5:$D$9</c:f>
              <c:numCache>
                <c:formatCode>General</c:formatCode>
                <c:ptCount val="4"/>
                <c:pt idx="0">
                  <c:v>23</c:v>
                </c:pt>
                <c:pt idx="1">
                  <c:v>28</c:v>
                </c:pt>
                <c:pt idx="2">
                  <c:v>30</c:v>
                </c:pt>
                <c:pt idx="3">
                  <c:v>23</c:v>
                </c:pt>
              </c:numCache>
            </c:numRef>
          </c:val>
          <c:extLst>
            <c:ext xmlns:c16="http://schemas.microsoft.com/office/drawing/2014/chart" uri="{C3380CC4-5D6E-409C-BE32-E72D297353CC}">
              <c16:uniqueId val="{00000005-0F2E-41A9-9046-AE146CB152BD}"/>
            </c:ext>
          </c:extLst>
        </c:ser>
        <c:dLbls>
          <c:showLegendKey val="0"/>
          <c:showVal val="1"/>
          <c:showCatName val="0"/>
          <c:showSerName val="0"/>
          <c:showPercent val="0"/>
          <c:showBubbleSize val="0"/>
        </c:dLbls>
        <c:gapWidth val="150"/>
        <c:overlap val="-25"/>
        <c:axId val="1045485695"/>
        <c:axId val="308188527"/>
      </c:barChart>
      <c:catAx>
        <c:axId val="104548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188527"/>
        <c:crosses val="autoZero"/>
        <c:auto val="1"/>
        <c:lblAlgn val="ctr"/>
        <c:lblOffset val="100"/>
        <c:noMultiLvlLbl val="0"/>
      </c:catAx>
      <c:valAx>
        <c:axId val="30818852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TYPE</a:t>
                </a:r>
                <a:r>
                  <a:rPr lang="en-GB" baseline="0"/>
                  <a:t> OF CUSTOMER</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crossAx val="1045485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[EPe BA intern assesment_Yogesh.xlsx]Analysis 4!PivotTable6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effectLst/>
              </a:rPr>
              <a:t>Hot/Warm/Cold lead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'Analysis 4'!$B$3:$B$4</c:f>
              <c:strCache>
                <c:ptCount val="1"/>
                <c:pt idx="0">
                  <c:v>Cold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4'!$A$5:$A$9</c:f>
              <c:strCache>
                <c:ptCount val="4"/>
                <c:pt idx="0">
                  <c:v>Bangalore MBC</c:v>
                </c:pt>
                <c:pt idx="1">
                  <c:v>Chennai MBC</c:v>
                </c:pt>
                <c:pt idx="2">
                  <c:v>Delhi MBC</c:v>
                </c:pt>
                <c:pt idx="3">
                  <c:v>Mumbai MBC</c:v>
                </c:pt>
              </c:strCache>
            </c:strRef>
          </c:cat>
          <c:val>
            <c:numRef>
              <c:f>'Analysis 4'!$B$5:$B$9</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0-837D-694B-AFD1-FAFC4703326D}"/>
            </c:ext>
          </c:extLst>
        </c:ser>
        <c:ser>
          <c:idx val="1"/>
          <c:order val="1"/>
          <c:tx>
            <c:strRef>
              <c:f>'Analysis 4'!$C$3:$C$4</c:f>
              <c:strCache>
                <c:ptCount val="1"/>
                <c:pt idx="0">
                  <c:v>Hot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4'!$A$5:$A$9</c:f>
              <c:strCache>
                <c:ptCount val="4"/>
                <c:pt idx="0">
                  <c:v>Bangalore MBC</c:v>
                </c:pt>
                <c:pt idx="1">
                  <c:v>Chennai MBC</c:v>
                </c:pt>
                <c:pt idx="2">
                  <c:v>Delhi MBC</c:v>
                </c:pt>
                <c:pt idx="3">
                  <c:v>Mumbai MBC</c:v>
                </c:pt>
              </c:strCache>
            </c:strRef>
          </c:cat>
          <c:val>
            <c:numRef>
              <c:f>'Analysis 4'!$C$5:$C$9</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3-CDA9-1F47-B166-1716B178E409}"/>
            </c:ext>
          </c:extLst>
        </c:ser>
        <c:ser>
          <c:idx val="2"/>
          <c:order val="2"/>
          <c:tx>
            <c:strRef>
              <c:f>'Analysis 4'!$D$3:$D$4</c:f>
              <c:strCache>
                <c:ptCount val="1"/>
                <c:pt idx="0">
                  <c:v>Warm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4'!$A$5:$A$9</c:f>
              <c:strCache>
                <c:ptCount val="4"/>
                <c:pt idx="0">
                  <c:v>Bangalore MBC</c:v>
                </c:pt>
                <c:pt idx="1">
                  <c:v>Chennai MBC</c:v>
                </c:pt>
                <c:pt idx="2">
                  <c:v>Delhi MBC</c:v>
                </c:pt>
                <c:pt idx="3">
                  <c:v>Mumbai MBC</c:v>
                </c:pt>
              </c:strCache>
            </c:strRef>
          </c:cat>
          <c:val>
            <c:numRef>
              <c:f>'Analysis 4'!$D$5:$D$9</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04-CDA9-1F47-B166-1716B178E409}"/>
            </c:ext>
          </c:extLst>
        </c:ser>
        <c:dLbls>
          <c:showLegendKey val="0"/>
          <c:showVal val="1"/>
          <c:showCatName val="0"/>
          <c:showSerName val="0"/>
          <c:showPercent val="0"/>
          <c:showBubbleSize val="0"/>
        </c:dLbls>
        <c:gapWidth val="150"/>
        <c:overlap val="-25"/>
        <c:axId val="1444056880"/>
        <c:axId val="1444058608"/>
      </c:barChart>
      <c:valAx>
        <c:axId val="1444058608"/>
        <c:scaling>
          <c:orientation val="minMax"/>
        </c:scaling>
        <c:delete val="1"/>
        <c:axPos val="b"/>
        <c:numFmt formatCode="General" sourceLinked="1"/>
        <c:majorTickMark val="none"/>
        <c:minorTickMark val="none"/>
        <c:tickLblPos val="nextTo"/>
        <c:crossAx val="1444056880"/>
        <c:crosses val="autoZero"/>
        <c:crossBetween val="between"/>
      </c:valAx>
      <c:catAx>
        <c:axId val="144405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0586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236357</xdr:colOff>
      <xdr:row>1</xdr:row>
      <xdr:rowOff>164954</xdr:rowOff>
    </xdr:from>
    <xdr:to>
      <xdr:col>3</xdr:col>
      <xdr:colOff>129252</xdr:colOff>
      <xdr:row>38</xdr:row>
      <xdr:rowOff>43202</xdr:rowOff>
    </xdr:to>
    <xdr:sp macro="" textlink="">
      <xdr:nvSpPr>
        <xdr:cNvPr id="23" name="Rounded Rectangle 22">
          <a:extLst>
            <a:ext uri="{FF2B5EF4-FFF2-40B4-BE49-F238E27FC236}">
              <a16:creationId xmlns:a16="http://schemas.microsoft.com/office/drawing/2014/main" id="{509F69CE-22A2-DE7D-CC6E-00C48DF1F229}"/>
            </a:ext>
          </a:extLst>
        </xdr:cNvPr>
        <xdr:cNvSpPr/>
      </xdr:nvSpPr>
      <xdr:spPr>
        <a:xfrm>
          <a:off x="236357" y="558654"/>
          <a:ext cx="4020395" cy="7333148"/>
        </a:xfrm>
        <a:prstGeom prst="roundRect">
          <a:avLst>
            <a:gd name="adj" fmla="val 0"/>
          </a:avLst>
        </a:prstGeom>
        <a:solidFill>
          <a:schemeClr val="bg2">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10</xdr:col>
      <xdr:colOff>351956</xdr:colOff>
      <xdr:row>19</xdr:row>
      <xdr:rowOff>26846</xdr:rowOff>
    </xdr:from>
    <xdr:to>
      <xdr:col>17</xdr:col>
      <xdr:colOff>313857</xdr:colOff>
      <xdr:row>41</xdr:row>
      <xdr:rowOff>50800</xdr:rowOff>
    </xdr:to>
    <xdr:sp macro="" textlink="">
      <xdr:nvSpPr>
        <xdr:cNvPr id="19" name="Rounded Rectangle 18">
          <a:extLst>
            <a:ext uri="{FF2B5EF4-FFF2-40B4-BE49-F238E27FC236}">
              <a16:creationId xmlns:a16="http://schemas.microsoft.com/office/drawing/2014/main" id="{FCAAA643-D9C3-64ED-F56D-2119EC58A8FF}"/>
            </a:ext>
          </a:extLst>
        </xdr:cNvPr>
        <xdr:cNvSpPr/>
      </xdr:nvSpPr>
      <xdr:spPr>
        <a:xfrm>
          <a:off x="9191156" y="4255946"/>
          <a:ext cx="4673601" cy="4214954"/>
        </a:xfrm>
        <a:prstGeom prst="roundRect">
          <a:avLst>
            <a:gd name="adj" fmla="val 0"/>
          </a:avLst>
        </a:prstGeom>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135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17</xdr:col>
      <xdr:colOff>458267</xdr:colOff>
      <xdr:row>19</xdr:row>
      <xdr:rowOff>40501</xdr:rowOff>
    </xdr:from>
    <xdr:to>
      <xdr:col>23</xdr:col>
      <xdr:colOff>398727</xdr:colOff>
      <xdr:row>41</xdr:row>
      <xdr:rowOff>64455</xdr:rowOff>
    </xdr:to>
    <xdr:sp macro="" textlink="">
      <xdr:nvSpPr>
        <xdr:cNvPr id="20" name="Rounded Rectangle 19">
          <a:extLst>
            <a:ext uri="{FF2B5EF4-FFF2-40B4-BE49-F238E27FC236}">
              <a16:creationId xmlns:a16="http://schemas.microsoft.com/office/drawing/2014/main" id="{41CE8249-48EE-A209-B874-E0938A61A955}"/>
            </a:ext>
          </a:extLst>
        </xdr:cNvPr>
        <xdr:cNvSpPr/>
      </xdr:nvSpPr>
      <xdr:spPr>
        <a:xfrm>
          <a:off x="14009167" y="4269601"/>
          <a:ext cx="3979060" cy="4214954"/>
        </a:xfrm>
        <a:prstGeom prst="roundRect">
          <a:avLst>
            <a:gd name="adj" fmla="val 0"/>
          </a:avLst>
        </a:prstGeom>
        <a:solidFill>
          <a:schemeClr val="bg2">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3</xdr:col>
      <xdr:colOff>259301</xdr:colOff>
      <xdr:row>19</xdr:row>
      <xdr:rowOff>13190</xdr:rowOff>
    </xdr:from>
    <xdr:to>
      <xdr:col>10</xdr:col>
      <xdr:colOff>221201</xdr:colOff>
      <xdr:row>41</xdr:row>
      <xdr:rowOff>37144</xdr:rowOff>
    </xdr:to>
    <xdr:sp macro="" textlink="">
      <xdr:nvSpPr>
        <xdr:cNvPr id="21" name="Rounded Rectangle 20">
          <a:extLst>
            <a:ext uri="{FF2B5EF4-FFF2-40B4-BE49-F238E27FC236}">
              <a16:creationId xmlns:a16="http://schemas.microsoft.com/office/drawing/2014/main" id="{A5A6FDDE-F8BB-FE75-9F45-6C2AD4F49985}"/>
            </a:ext>
          </a:extLst>
        </xdr:cNvPr>
        <xdr:cNvSpPr/>
      </xdr:nvSpPr>
      <xdr:spPr>
        <a:xfrm>
          <a:off x="4386801" y="4242290"/>
          <a:ext cx="4673600" cy="4214954"/>
        </a:xfrm>
        <a:prstGeom prst="roundRect">
          <a:avLst>
            <a:gd name="adj" fmla="val 0"/>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400" b="1">
              <a:solidFill>
                <a:srgbClr val="00B050"/>
              </a:solidFill>
              <a:effectLst/>
            </a:rPr>
            <a:t>   Cancellation trends and reasons</a:t>
          </a:r>
        </a:p>
        <a:p>
          <a:pPr algn="l"/>
          <a:endParaRPr lang="en-GB" sz="2400" b="1">
            <a:ln>
              <a:noFill/>
            </a:ln>
            <a:solidFill>
              <a:srgbClr val="00B050"/>
            </a:solidFill>
          </a:endParaRPr>
        </a:p>
      </xdr:txBody>
    </xdr:sp>
    <xdr:clientData/>
  </xdr:twoCellAnchor>
  <xdr:twoCellAnchor>
    <xdr:from>
      <xdr:col>3</xdr:col>
      <xdr:colOff>268177</xdr:colOff>
      <xdr:row>1</xdr:row>
      <xdr:rowOff>190830</xdr:rowOff>
    </xdr:from>
    <xdr:to>
      <xdr:col>12</xdr:col>
      <xdr:colOff>662467</xdr:colOff>
      <xdr:row>18</xdr:row>
      <xdr:rowOff>49240</xdr:rowOff>
    </xdr:to>
    <xdr:sp macro="" textlink="">
      <xdr:nvSpPr>
        <xdr:cNvPr id="18" name="Rounded Rectangle 17">
          <a:extLst>
            <a:ext uri="{FF2B5EF4-FFF2-40B4-BE49-F238E27FC236}">
              <a16:creationId xmlns:a16="http://schemas.microsoft.com/office/drawing/2014/main" id="{55CB791B-3E5D-06E1-C3B4-D7748B98E3D2}"/>
            </a:ext>
          </a:extLst>
        </xdr:cNvPr>
        <xdr:cNvSpPr/>
      </xdr:nvSpPr>
      <xdr:spPr>
        <a:xfrm>
          <a:off x="4395677" y="584530"/>
          <a:ext cx="6452190" cy="3503310"/>
        </a:xfrm>
        <a:prstGeom prst="roundRect">
          <a:avLst>
            <a:gd name="adj" fmla="val 0"/>
          </a:avLst>
        </a:prstGeom>
        <a:solidFill>
          <a:schemeClr val="bg2">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13</xdr:col>
      <xdr:colOff>137042</xdr:colOff>
      <xdr:row>1</xdr:row>
      <xdr:rowOff>190830</xdr:rowOff>
    </xdr:from>
    <xdr:to>
      <xdr:col>23</xdr:col>
      <xdr:colOff>432391</xdr:colOff>
      <xdr:row>18</xdr:row>
      <xdr:rowOff>54470</xdr:rowOff>
    </xdr:to>
    <xdr:sp macro="" textlink="">
      <xdr:nvSpPr>
        <xdr:cNvPr id="17" name="Rounded Rectangle 16">
          <a:extLst>
            <a:ext uri="{FF2B5EF4-FFF2-40B4-BE49-F238E27FC236}">
              <a16:creationId xmlns:a16="http://schemas.microsoft.com/office/drawing/2014/main" id="{9761C719-3442-6EC6-A803-A2A964AB63F1}"/>
            </a:ext>
          </a:extLst>
        </xdr:cNvPr>
        <xdr:cNvSpPr/>
      </xdr:nvSpPr>
      <xdr:spPr>
        <a:xfrm>
          <a:off x="10995542" y="584530"/>
          <a:ext cx="7026349" cy="3508540"/>
        </a:xfrm>
        <a:prstGeom prst="roundRect">
          <a:avLst>
            <a:gd name="adj" fmla="val 0"/>
          </a:avLst>
        </a:prstGeom>
        <a:solidFill>
          <a:schemeClr val="bg2">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3</xdr:col>
      <xdr:colOff>407877</xdr:colOff>
      <xdr:row>1</xdr:row>
      <xdr:rowOff>341075</xdr:rowOff>
    </xdr:from>
    <xdr:to>
      <xdr:col>12</xdr:col>
      <xdr:colOff>506228</xdr:colOff>
      <xdr:row>17</xdr:row>
      <xdr:rowOff>155389</xdr:rowOff>
    </xdr:to>
    <xdr:graphicFrame macro="">
      <xdr:nvGraphicFramePr>
        <xdr:cNvPr id="2" name="Lead Conversion Funnel">
          <a:extLst>
            <a:ext uri="{FF2B5EF4-FFF2-40B4-BE49-F238E27FC236}">
              <a16:creationId xmlns:a16="http://schemas.microsoft.com/office/drawing/2014/main" id="{CBADDECB-A7D7-5A47-8F2E-3CA6E58F2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272241</xdr:colOff>
      <xdr:row>1</xdr:row>
      <xdr:rowOff>355842</xdr:rowOff>
    </xdr:from>
    <xdr:to>
      <xdr:col>23</xdr:col>
      <xdr:colOff>255182</xdr:colOff>
      <xdr:row>17</xdr:row>
      <xdr:rowOff>170156</xdr:rowOff>
    </xdr:to>
    <xdr:graphicFrame macro="">
      <xdr:nvGraphicFramePr>
        <xdr:cNvPr id="3" name="Chart 2">
          <a:extLst>
            <a:ext uri="{FF2B5EF4-FFF2-40B4-BE49-F238E27FC236}">
              <a16:creationId xmlns:a16="http://schemas.microsoft.com/office/drawing/2014/main" id="{3F8D517E-C33F-ED4E-BE2D-935E38A25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420473</xdr:colOff>
      <xdr:row>22</xdr:row>
      <xdr:rowOff>19882</xdr:rowOff>
    </xdr:from>
    <xdr:to>
      <xdr:col>10</xdr:col>
      <xdr:colOff>44444</xdr:colOff>
      <xdr:row>40</xdr:row>
      <xdr:rowOff>26882</xdr:rowOff>
    </xdr:to>
    <xdr:graphicFrame macro="">
      <xdr:nvGraphicFramePr>
        <xdr:cNvPr id="4" name="Chart 3">
          <a:extLst>
            <a:ext uri="{FF2B5EF4-FFF2-40B4-BE49-F238E27FC236}">
              <a16:creationId xmlns:a16="http://schemas.microsoft.com/office/drawing/2014/main" id="{687241E4-C0DA-124E-A33F-755972B5F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612898</xdr:colOff>
      <xdr:row>22</xdr:row>
      <xdr:rowOff>24446</xdr:rowOff>
    </xdr:from>
    <xdr:to>
      <xdr:col>23</xdr:col>
      <xdr:colOff>240839</xdr:colOff>
      <xdr:row>40</xdr:row>
      <xdr:rowOff>32598</xdr:rowOff>
    </xdr:to>
    <xdr:graphicFrame macro="">
      <xdr:nvGraphicFramePr>
        <xdr:cNvPr id="6" name="Chart 5">
          <a:extLst>
            <a:ext uri="{FF2B5EF4-FFF2-40B4-BE49-F238E27FC236}">
              <a16:creationId xmlns:a16="http://schemas.microsoft.com/office/drawing/2014/main" id="{6E0C9B33-2947-F742-B3FA-14DA65E4C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353265</xdr:colOff>
      <xdr:row>16</xdr:row>
      <xdr:rowOff>66314</xdr:rowOff>
    </xdr:from>
    <xdr:to>
      <xdr:col>0</xdr:col>
      <xdr:colOff>1966372</xdr:colOff>
      <xdr:row>24</xdr:row>
      <xdr:rowOff>46583</xdr:rowOff>
    </xdr:to>
    <mc:AlternateContent xmlns:mc="http://schemas.openxmlformats.org/markup-compatibility/2006">
      <mc:Choice xmlns:a14="http://schemas.microsoft.com/office/drawing/2010/main" Requires="a14">
        <xdr:graphicFrame macro="">
          <xdr:nvGraphicFramePr>
            <xdr:cNvPr id="12" name="Store Name">
              <a:extLst>
                <a:ext uri="{FF2B5EF4-FFF2-40B4-BE49-F238E27FC236}">
                  <a16:creationId xmlns:a16="http://schemas.microsoft.com/office/drawing/2014/main" id="{2A367AE5-7BEB-669B-7AD8-2B3F809BB419}"/>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dr:sp macro="" textlink="">
          <xdr:nvSpPr>
            <xdr:cNvPr id="0" name=""/>
            <xdr:cNvSpPr>
              <a:spLocks noTextEdit="1"/>
            </xdr:cNvSpPr>
          </xdr:nvSpPr>
          <xdr:spPr>
            <a:xfrm>
              <a:off x="353265" y="3779684"/>
              <a:ext cx="1613107" cy="15263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2062656</xdr:colOff>
      <xdr:row>16</xdr:row>
      <xdr:rowOff>62217</xdr:rowOff>
    </xdr:from>
    <xdr:to>
      <xdr:col>2</xdr:col>
      <xdr:colOff>620164</xdr:colOff>
      <xdr:row>23</xdr:row>
      <xdr:rowOff>1209</xdr:rowOff>
    </xdr:to>
    <mc:AlternateContent xmlns:mc="http://schemas.openxmlformats.org/markup-compatibility/2006">
      <mc:Choice xmlns:a14="http://schemas.microsoft.com/office/drawing/2010/main" Requires="a14">
        <xdr:graphicFrame macro="">
          <xdr:nvGraphicFramePr>
            <xdr:cNvPr id="13" name="Lead Type">
              <a:extLst>
                <a:ext uri="{FF2B5EF4-FFF2-40B4-BE49-F238E27FC236}">
                  <a16:creationId xmlns:a16="http://schemas.microsoft.com/office/drawing/2014/main" id="{928DF191-1C66-D9AA-151E-FE100A900659}"/>
                </a:ext>
              </a:extLst>
            </xdr:cNvPr>
            <xdr:cNvGraphicFramePr/>
          </xdr:nvGraphicFramePr>
          <xdr:xfrm>
            <a:off x="0" y="0"/>
            <a:ext cx="0" cy="0"/>
          </xdr:xfrm>
          <a:graphic>
            <a:graphicData uri="http://schemas.microsoft.com/office/drawing/2010/slicer">
              <sle:slicer xmlns:sle="http://schemas.microsoft.com/office/drawing/2010/slicer" name="Lead Type"/>
            </a:graphicData>
          </a:graphic>
        </xdr:graphicFrame>
      </mc:Choice>
      <mc:Fallback>
        <xdr:sp macro="" textlink="">
          <xdr:nvSpPr>
            <xdr:cNvPr id="0" name=""/>
            <xdr:cNvSpPr>
              <a:spLocks noTextEdit="1"/>
            </xdr:cNvSpPr>
          </xdr:nvSpPr>
          <xdr:spPr>
            <a:xfrm>
              <a:off x="2062656" y="3775587"/>
              <a:ext cx="2008595" cy="12918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335248</xdr:colOff>
      <xdr:row>24</xdr:row>
      <xdr:rowOff>159238</xdr:rowOff>
    </xdr:from>
    <xdr:to>
      <xdr:col>0</xdr:col>
      <xdr:colOff>1936718</xdr:colOff>
      <xdr:row>29</xdr:row>
      <xdr:rowOff>123127</xdr:rowOff>
    </xdr:to>
    <mc:AlternateContent xmlns:mc="http://schemas.openxmlformats.org/markup-compatibility/2006">
      <mc:Choice xmlns:a14="http://schemas.microsoft.com/office/drawing/2010/main" Requires="a14">
        <xdr:graphicFrame macro="">
          <xdr:nvGraphicFramePr>
            <xdr:cNvPr id="14" name="Cancellation Status">
              <a:extLst>
                <a:ext uri="{FF2B5EF4-FFF2-40B4-BE49-F238E27FC236}">
                  <a16:creationId xmlns:a16="http://schemas.microsoft.com/office/drawing/2014/main" id="{D82469CE-A387-C909-A389-9C3185D784A1}"/>
                </a:ext>
              </a:extLst>
            </xdr:cNvPr>
            <xdr:cNvGraphicFramePr/>
          </xdr:nvGraphicFramePr>
          <xdr:xfrm>
            <a:off x="0" y="0"/>
            <a:ext cx="0" cy="0"/>
          </xdr:xfrm>
          <a:graphic>
            <a:graphicData uri="http://schemas.microsoft.com/office/drawing/2010/slicer">
              <sle:slicer xmlns:sle="http://schemas.microsoft.com/office/drawing/2010/slicer" name="Cancellation Status"/>
            </a:graphicData>
          </a:graphic>
        </xdr:graphicFrame>
      </mc:Choice>
      <mc:Fallback>
        <xdr:sp macro="" textlink="">
          <xdr:nvSpPr>
            <xdr:cNvPr id="0" name=""/>
            <xdr:cNvSpPr>
              <a:spLocks noTextEdit="1"/>
            </xdr:cNvSpPr>
          </xdr:nvSpPr>
          <xdr:spPr>
            <a:xfrm>
              <a:off x="335248" y="5418695"/>
              <a:ext cx="1601470" cy="9301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2042890</xdr:colOff>
      <xdr:row>23</xdr:row>
      <xdr:rowOff>140444</xdr:rowOff>
    </xdr:from>
    <xdr:to>
      <xdr:col>2</xdr:col>
      <xdr:colOff>599477</xdr:colOff>
      <xdr:row>34</xdr:row>
      <xdr:rowOff>3748</xdr:rowOff>
    </xdr:to>
    <mc:AlternateContent xmlns:mc="http://schemas.openxmlformats.org/markup-compatibility/2006">
      <mc:Choice xmlns:a14="http://schemas.microsoft.com/office/drawing/2010/main" Requires="a14">
        <xdr:graphicFrame macro="">
          <xdr:nvGraphicFramePr>
            <xdr:cNvPr id="15" name="Cancellation Reason">
              <a:extLst>
                <a:ext uri="{FF2B5EF4-FFF2-40B4-BE49-F238E27FC236}">
                  <a16:creationId xmlns:a16="http://schemas.microsoft.com/office/drawing/2014/main" id="{C05323C4-F5C7-0E55-3001-84D16493118C}"/>
                </a:ext>
              </a:extLst>
            </xdr:cNvPr>
            <xdr:cNvGraphicFramePr/>
          </xdr:nvGraphicFramePr>
          <xdr:xfrm>
            <a:off x="0" y="0"/>
            <a:ext cx="0" cy="0"/>
          </xdr:xfrm>
          <a:graphic>
            <a:graphicData uri="http://schemas.microsoft.com/office/drawing/2010/slicer">
              <sle:slicer xmlns:sle="http://schemas.microsoft.com/office/drawing/2010/slicer" name="Cancellation Reason"/>
            </a:graphicData>
          </a:graphic>
        </xdr:graphicFrame>
      </mc:Choice>
      <mc:Fallback>
        <xdr:sp macro="" textlink="">
          <xdr:nvSpPr>
            <xdr:cNvPr id="0" name=""/>
            <xdr:cNvSpPr>
              <a:spLocks noTextEdit="1"/>
            </xdr:cNvSpPr>
          </xdr:nvSpPr>
          <xdr:spPr>
            <a:xfrm>
              <a:off x="2042890" y="5206640"/>
              <a:ext cx="2007674" cy="19891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511304</xdr:colOff>
      <xdr:row>22</xdr:row>
      <xdr:rowOff>38101</xdr:rowOff>
    </xdr:from>
    <xdr:to>
      <xdr:col>17</xdr:col>
      <xdr:colOff>186015</xdr:colOff>
      <xdr:row>40</xdr:row>
      <xdr:rowOff>46253</xdr:rowOff>
    </xdr:to>
    <xdr:graphicFrame macro="">
      <xdr:nvGraphicFramePr>
        <xdr:cNvPr id="5" name="Chart 4">
          <a:extLst>
            <a:ext uri="{FF2B5EF4-FFF2-40B4-BE49-F238E27FC236}">
              <a16:creationId xmlns:a16="http://schemas.microsoft.com/office/drawing/2014/main" id="{819498A2-4C19-CC40-AA4A-4FDB2ABDF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337861</xdr:colOff>
      <xdr:row>30</xdr:row>
      <xdr:rowOff>35476</xdr:rowOff>
    </xdr:from>
    <xdr:to>
      <xdr:col>0</xdr:col>
      <xdr:colOff>1955430</xdr:colOff>
      <xdr:row>36</xdr:row>
      <xdr:rowOff>86272</xdr:rowOff>
    </xdr:to>
    <mc:AlternateContent xmlns:mc="http://schemas.openxmlformats.org/markup-compatibility/2006">
      <mc:Choice xmlns:a14="http://schemas.microsoft.com/office/drawing/2010/main" Requires="a14">
        <xdr:graphicFrame macro="">
          <xdr:nvGraphicFramePr>
            <xdr:cNvPr id="9" name="NPS Category">
              <a:extLst>
                <a:ext uri="{FF2B5EF4-FFF2-40B4-BE49-F238E27FC236}">
                  <a16:creationId xmlns:a16="http://schemas.microsoft.com/office/drawing/2014/main" id="{1AFC0D00-FC2D-4F98-78B6-459AC47008D7}"/>
                </a:ext>
              </a:extLst>
            </xdr:cNvPr>
            <xdr:cNvGraphicFramePr/>
          </xdr:nvGraphicFramePr>
          <xdr:xfrm>
            <a:off x="0" y="0"/>
            <a:ext cx="0" cy="0"/>
          </xdr:xfrm>
          <a:graphic>
            <a:graphicData uri="http://schemas.microsoft.com/office/drawing/2010/slicer">
              <sle:slicer xmlns:sle="http://schemas.microsoft.com/office/drawing/2010/slicer" name="NPS Category"/>
            </a:graphicData>
          </a:graphic>
        </xdr:graphicFrame>
      </mc:Choice>
      <mc:Fallback>
        <xdr:sp macro="" textlink="">
          <xdr:nvSpPr>
            <xdr:cNvPr id="0" name=""/>
            <xdr:cNvSpPr>
              <a:spLocks noTextEdit="1"/>
            </xdr:cNvSpPr>
          </xdr:nvSpPr>
          <xdr:spPr>
            <a:xfrm>
              <a:off x="337861" y="6454498"/>
              <a:ext cx="1617569" cy="12103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335249</xdr:colOff>
      <xdr:row>1</xdr:row>
      <xdr:rowOff>279520</xdr:rowOff>
    </xdr:from>
    <xdr:to>
      <xdr:col>2</xdr:col>
      <xdr:colOff>503921</xdr:colOff>
      <xdr:row>7</xdr:row>
      <xdr:rowOff>115528</xdr:rowOff>
    </xdr:to>
    <mc:AlternateContent xmlns:mc="http://schemas.openxmlformats.org/markup-compatibility/2006">
      <mc:Choice xmlns:tsle="http://schemas.microsoft.com/office/drawing/2012/timeslicer" Requires="tsle">
        <xdr:graphicFrame macro="">
          <xdr:nvGraphicFramePr>
            <xdr:cNvPr id="8" name="Lead Date">
              <a:extLst>
                <a:ext uri="{FF2B5EF4-FFF2-40B4-BE49-F238E27FC236}">
                  <a16:creationId xmlns:a16="http://schemas.microsoft.com/office/drawing/2014/main" id="{5AFD520D-18C0-7FF2-7BA8-6D80E62CFF61}"/>
                </a:ext>
              </a:extLst>
            </xdr:cNvPr>
            <xdr:cNvGraphicFramePr/>
          </xdr:nvGraphicFramePr>
          <xdr:xfrm>
            <a:off x="0" y="0"/>
            <a:ext cx="0" cy="0"/>
          </xdr:xfrm>
          <a:graphic>
            <a:graphicData uri="http://schemas.microsoft.com/office/drawing/2012/timeslicer">
              <tsle:timeslicer xmlns:tsle="http://schemas.microsoft.com/office/drawing/2012/timeslicer" name="Lead Date"/>
            </a:graphicData>
          </a:graphic>
        </xdr:graphicFrame>
      </mc:Choice>
      <mc:Fallback>
        <xdr:sp macro="" textlink="">
          <xdr:nvSpPr>
            <xdr:cNvPr id="0" name=""/>
            <xdr:cNvSpPr>
              <a:spLocks noTextEdit="1"/>
            </xdr:cNvSpPr>
          </xdr:nvSpPr>
          <xdr:spPr>
            <a:xfrm>
              <a:off x="335249" y="679846"/>
              <a:ext cx="3619759" cy="140970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345171</xdr:colOff>
      <xdr:row>8</xdr:row>
      <xdr:rowOff>50153</xdr:rowOff>
    </xdr:from>
    <xdr:to>
      <xdr:col>2</xdr:col>
      <xdr:colOff>513843</xdr:colOff>
      <xdr:row>15</xdr:row>
      <xdr:rowOff>102145</xdr:rowOff>
    </xdr:to>
    <mc:AlternateContent xmlns:mc="http://schemas.openxmlformats.org/markup-compatibility/2006">
      <mc:Choice xmlns:tsle="http://schemas.microsoft.com/office/drawing/2012/timeslicer" Requires="tsle">
        <xdr:graphicFrame macro="">
          <xdr:nvGraphicFramePr>
            <xdr:cNvPr id="11" name="Delivery Date">
              <a:extLst>
                <a:ext uri="{FF2B5EF4-FFF2-40B4-BE49-F238E27FC236}">
                  <a16:creationId xmlns:a16="http://schemas.microsoft.com/office/drawing/2014/main" id="{A0F4FF09-9741-0550-4275-35BD39192A82}"/>
                </a:ext>
              </a:extLst>
            </xdr:cNvPr>
            <xdr:cNvGraphicFramePr/>
          </xdr:nvGraphicFramePr>
          <xdr:xfrm>
            <a:off x="0" y="0"/>
            <a:ext cx="0" cy="0"/>
          </xdr:xfrm>
          <a:graphic>
            <a:graphicData uri="http://schemas.microsoft.com/office/drawing/2012/timeslicer">
              <tsle:timeslicer xmlns:tsle="http://schemas.microsoft.com/office/drawing/2012/timeslicer" name="Delivery Date"/>
            </a:graphicData>
          </a:graphic>
        </xdr:graphicFrame>
      </mc:Choice>
      <mc:Fallback>
        <xdr:sp macro="" textlink="">
          <xdr:nvSpPr>
            <xdr:cNvPr id="0" name=""/>
            <xdr:cNvSpPr>
              <a:spLocks noTextEdit="1"/>
            </xdr:cNvSpPr>
          </xdr:nvSpPr>
          <xdr:spPr>
            <a:xfrm>
              <a:off x="345171" y="2217436"/>
              <a:ext cx="3619759" cy="140481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8.970010532408" createdVersion="8" refreshedVersion="8" minRefreshableVersion="3" recordCount="1000" xr:uid="{AD25F1E8-2573-499D-804A-3806EFD3CC52}">
  <cacheSource type="worksheet">
    <worksheetSource ref="A1:S1001" sheet="Data"/>
  </cacheSource>
  <cacheFields count="19">
    <cacheField name="Lead ID" numFmtId="0">
      <sharedItems/>
    </cacheField>
    <cacheField name="Store Name" numFmtId="0">
      <sharedItems count="4">
        <s v="Bangalore MBC"/>
        <s v="Delhi MBC"/>
        <s v="Mumbai MBC"/>
        <s v="Chennai MBC"/>
      </sharedItems>
    </cacheField>
    <cacheField name="Lead Type" numFmtId="0">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acheField>
    <cacheField name="Delivery Date" numFmtId="0">
      <sharedItems containsNonDate="0" containsDate="1" containsString="0" containsBlank="1" minDate="2025-10-06T00:00:00" maxDate="2025-11-18T00:00:00"/>
    </cacheField>
    <cacheField name="Cancellation Status" numFmtId="0">
      <sharedItems/>
    </cacheField>
    <cacheField name="Cancellation Reason" numFmtId="0">
      <sharedItems containsBlank="1"/>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 name="Total leads" numFmtId="0">
      <sharedItems containsSemiMixedTypes="0" containsString="0" containsNumber="1" containsInteger="1" minValue="1" maxValue="1"/>
    </cacheField>
    <cacheField name="Pre-booked" numFmtId="0">
      <sharedItems containsSemiMixedTypes="0" containsString="0" containsNumber="1" containsInteger="1" minValue="0" maxValue="1"/>
    </cacheField>
    <cacheField name="Booked" numFmtId="0">
      <sharedItems containsSemiMixedTypes="0" containsString="0" containsNumber="1" containsInteger="1" minValue="0" maxValue="1"/>
    </cacheField>
    <cacheField name="Delivered" numFmtId="0">
      <sharedItems containsSemiMixedTypes="0" containsString="0" containsNumber="1" containsInteger="1" minValue="0" maxValue="1"/>
    </cacheField>
    <cacheField name="NPS Category" numFmtId="0">
      <sharedItems count="4">
        <s v="Detractor"/>
        <s v="Passive"/>
        <s v=""/>
        <s v="Promoter"/>
      </sharedItems>
    </cacheField>
  </cacheFields>
  <extLst>
    <ext xmlns:x14="http://schemas.microsoft.com/office/spreadsheetml/2009/9/main" uri="{725AE2AE-9491-48be-B2B4-4EB974FC3084}">
      <x14:pivotCacheDefinition pivotCacheId="7066037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gesh Sharma" refreshedDate="45959.800562847224" createdVersion="8" refreshedVersion="8" minRefreshableVersion="3" recordCount="1000" xr:uid="{563113AA-C4EC-4441-90AF-4E21217186D8}">
  <cacheSource type="worksheet">
    <worksheetSource ref="A1:R1001" sheet="Data"/>
  </cacheSource>
  <cacheFields count="18">
    <cacheField name="Lead ID" numFmtId="0">
      <sharedItems count="1000">
        <s v="L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Date" numFmtId="164">
      <sharedItems containsSemiMixedTypes="0" containsNonDate="0" containsDate="1" containsString="0" minDate="2025-10-01T00:00:00" maxDate="2025-11-01T00:00:00" count="31">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sharedItems>
    </cacheField>
    <cacheField name="Pre-Booking Date" numFmtId="0">
      <sharedItems containsNonDate="0" containsDate="1" containsString="0" containsBlank="1" minDate="2025-10-02T00:00:00" maxDate="2025-11-06T00:00:00"/>
    </cacheField>
    <cacheField name="Booking Date" numFmtId="0">
      <sharedItems containsNonDate="0" containsDate="1" containsString="0" containsBlank="1" minDate="2025-10-03T00:00:00" maxDate="2025-11-11T00:00:00" count="40">
        <d v="2025-10-29T00:00:00"/>
        <d v="2025-10-19T00:00:00"/>
        <m/>
        <d v="2025-10-21T00:00:00"/>
        <d v="2025-11-04T00:00:00"/>
        <d v="2025-10-08T00:00:00"/>
        <d v="2025-10-20T00:00:00"/>
        <d v="2025-11-05T00:00:00"/>
        <d v="2025-10-28T00:00:00"/>
        <d v="2025-11-06T00:00:00"/>
        <d v="2025-11-02T00:00:00"/>
        <d v="2025-10-18T00:00:00"/>
        <d v="2025-11-01T00:00:00"/>
        <d v="2025-10-10T00:00:00"/>
        <d v="2025-10-12T00:00:00"/>
        <d v="2025-10-30T00:00:00"/>
        <d v="2025-10-23T00:00:00"/>
        <d v="2025-10-15T00:00:00"/>
        <d v="2025-10-27T00:00:00"/>
        <d v="2025-11-09T00:00:00"/>
        <d v="2025-10-16T00:00:00"/>
        <d v="2025-10-13T00:00:00"/>
        <d v="2025-11-03T00:00:00"/>
        <d v="2025-10-14T00:00:00"/>
        <d v="2025-10-22T00:00:00"/>
        <d v="2025-10-17T00:00:00"/>
        <d v="2025-10-26T00:00:00"/>
        <d v="2025-10-25T00:00:00"/>
        <d v="2025-10-24T00:00:00"/>
        <d v="2025-10-06T00:00:00"/>
        <d v="2025-10-11T00:00:00"/>
        <d v="2025-10-31T00:00:00"/>
        <d v="2025-10-05T00:00:00"/>
        <d v="2025-11-08T00:00:00"/>
        <d v="2025-10-04T00:00:00"/>
        <d v="2025-10-03T00:00:00"/>
        <d v="2025-10-07T00:00:00"/>
        <d v="2025-10-09T00:00:00"/>
        <d v="2025-11-07T00:00:00"/>
        <d v="2025-11-10T00:00:00"/>
      </sharedItems>
    </cacheField>
    <cacheField name="Delivery Date" numFmtId="0">
      <sharedItems containsNonDate="0" containsDate="1" containsString="0" containsBlank="1" minDate="2025-10-06T00:00:00" maxDate="2025-11-18T00:00:00" count="44">
        <d v="2025-11-03T00:00:00"/>
        <d v="2025-10-26T00:00:00"/>
        <m/>
        <d v="2025-10-24T00:00:00"/>
        <d v="2025-11-07T00:00:00"/>
        <d v="2025-10-28T00:00:00"/>
        <d v="2025-10-15T00:00:00"/>
        <d v="2025-10-25T00:00:00"/>
        <d v="2025-11-10T00:00:00"/>
        <d v="2025-10-30T00:00:00"/>
        <d v="2025-11-13T00:00:00"/>
        <d v="2025-11-08T00:00:00"/>
        <d v="2025-10-21T00:00:00"/>
        <d v="2025-11-06T00:00:00"/>
        <d v="2025-10-16T00:00:00"/>
        <d v="2025-10-23T00:00:00"/>
        <d v="2025-10-17T00:00:00"/>
        <d v="2025-11-01T00:00:00"/>
        <d v="2025-11-05T00:00:00"/>
        <d v="2025-10-19T00:00:00"/>
        <d v="2025-11-15T00:00:00"/>
        <d v="2025-10-29T00:00:00"/>
        <d v="2025-10-20T00:00:00"/>
        <d v="2025-11-09T00:00:00"/>
        <d v="2025-10-31T00:00:00"/>
        <d v="2025-10-14T00:00:00"/>
        <d v="2025-11-02T00:00:00"/>
        <d v="2025-10-18T00:00:00"/>
        <d v="2025-10-12T00:00:00"/>
        <d v="2025-10-08T00:00:00"/>
        <d v="2025-10-10T00:00:00"/>
        <d v="2025-10-22T00:00:00"/>
        <d v="2025-10-27T00:00:00"/>
        <d v="2025-11-14T00:00:00"/>
        <d v="2025-11-04T00:00:00"/>
        <d v="2025-10-09T00:00:00"/>
        <d v="2025-11-11T00:00:00"/>
        <d v="2025-10-07T00:00:00"/>
        <d v="2025-10-13T00:00:00"/>
        <d v="2025-11-12T00:00:00"/>
        <d v="2025-11-17T00:00:00"/>
        <d v="2025-10-06T00:00:00"/>
        <d v="2025-10-11T00:00:00"/>
        <d v="2025-11-16T00:00:00"/>
      </sharedItems>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ount="12">
        <n v="2"/>
        <n v="8"/>
        <m/>
        <n v="9"/>
        <n v="10"/>
        <n v="6"/>
        <n v="0"/>
        <n v="5"/>
        <n v="4"/>
        <n v="3"/>
        <n v="1"/>
        <n v="7"/>
      </sharedItems>
    </cacheField>
    <cacheField name="Total leads" numFmtId="0">
      <sharedItems containsSemiMixedTypes="0" containsString="0" containsNumber="1" containsInteger="1" minValue="1" maxValue="1"/>
    </cacheField>
    <cacheField name="Pre-booked" numFmtId="0">
      <sharedItems containsSemiMixedTypes="0" containsString="0" containsNumber="1" containsInteger="1" minValue="0" maxValue="1"/>
    </cacheField>
    <cacheField name="Booked" numFmtId="0">
      <sharedItems containsSemiMixedTypes="0" containsString="0" containsNumber="1" containsInteger="1" minValue="0" maxValue="1"/>
    </cacheField>
    <cacheField name="Deliver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84448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s v="Warm"/>
    <d v="2025-10-21T00:00:00"/>
    <d v="2025-10-25T00:00:00"/>
    <d v="2025-10-29T00:00:00"/>
    <d v="2025-11-03T00:00:00"/>
    <s v="No"/>
    <m/>
    <d v="2025-11-28T00:00:00"/>
    <n v="4"/>
    <n v="4"/>
    <n v="5"/>
    <n v="2"/>
    <n v="1"/>
    <n v="1"/>
    <n v="1"/>
    <n v="1"/>
    <x v="0"/>
  </r>
  <r>
    <s v="L1001"/>
    <x v="1"/>
    <s v="Warm"/>
    <d v="2025-10-11T00:00:00"/>
    <d v="2025-10-14T00:00:00"/>
    <d v="2025-10-19T00:00:00"/>
    <d v="2025-10-26T00:00:00"/>
    <s v="No"/>
    <m/>
    <d v="2025-11-22T00:00:00"/>
    <n v="3"/>
    <n v="5"/>
    <n v="7"/>
    <n v="8"/>
    <n v="1"/>
    <n v="1"/>
    <n v="1"/>
    <n v="1"/>
    <x v="1"/>
  </r>
  <r>
    <s v="L1002"/>
    <x v="2"/>
    <s v="Cold"/>
    <d v="2025-10-01T00:00:00"/>
    <m/>
    <m/>
    <m/>
    <s v="Yes"/>
    <s v="Other"/>
    <m/>
    <m/>
    <m/>
    <m/>
    <m/>
    <n v="1"/>
    <n v="0"/>
    <n v="0"/>
    <n v="0"/>
    <x v="2"/>
  </r>
  <r>
    <s v="L1003"/>
    <x v="0"/>
    <s v="Cold"/>
    <d v="2025-10-28T00:00:00"/>
    <m/>
    <m/>
    <m/>
    <s v="Yes"/>
    <s v="Model Unavailable"/>
    <m/>
    <m/>
    <m/>
    <m/>
    <m/>
    <n v="1"/>
    <n v="0"/>
    <n v="0"/>
    <n v="0"/>
    <x v="2"/>
  </r>
  <r>
    <s v="L1004"/>
    <x v="1"/>
    <s v="Warm"/>
    <d v="2025-10-14T00:00:00"/>
    <d v="2025-10-18T00:00:00"/>
    <d v="2025-10-21T00:00:00"/>
    <d v="2025-10-24T00:00:00"/>
    <s v="No"/>
    <m/>
    <d v="2025-11-12T00:00:00"/>
    <n v="4"/>
    <n v="3"/>
    <n v="3"/>
    <n v="8"/>
    <n v="1"/>
    <n v="1"/>
    <n v="1"/>
    <n v="1"/>
    <x v="1"/>
  </r>
  <r>
    <s v="L1005"/>
    <x v="1"/>
    <s v="Warm"/>
    <d v="2025-10-27T00:00:00"/>
    <d v="2025-10-31T00:00:00"/>
    <d v="2025-11-04T00:00:00"/>
    <d v="2025-11-07T00:00:00"/>
    <s v="No"/>
    <m/>
    <d v="2025-11-22T00:00:00"/>
    <n v="4"/>
    <n v="4"/>
    <n v="3"/>
    <n v="9"/>
    <n v="1"/>
    <n v="1"/>
    <n v="1"/>
    <n v="1"/>
    <x v="3"/>
  </r>
  <r>
    <s v="L1006"/>
    <x v="2"/>
    <s v="Hot"/>
    <d v="2025-10-16T00:00:00"/>
    <d v="2025-10-20T00:00:00"/>
    <d v="2025-10-21T00:00:00"/>
    <d v="2025-10-28T00:00:00"/>
    <s v="No"/>
    <m/>
    <d v="2025-11-22T00:00:00"/>
    <n v="4"/>
    <n v="1"/>
    <n v="7"/>
    <n v="10"/>
    <n v="1"/>
    <n v="1"/>
    <n v="1"/>
    <n v="1"/>
    <x v="3"/>
  </r>
  <r>
    <s v="L1007"/>
    <x v="3"/>
    <s v="Warm"/>
    <d v="2025-10-04T00:00:00"/>
    <d v="2025-10-05T00:00:00"/>
    <d v="2025-10-08T00:00:00"/>
    <d v="2025-10-15T00:00:00"/>
    <s v="Yes"/>
    <s v="Changed Mind"/>
    <m/>
    <n v="1"/>
    <n v="3"/>
    <n v="7"/>
    <m/>
    <n v="1"/>
    <n v="1"/>
    <n v="1"/>
    <n v="0"/>
    <x v="2"/>
  </r>
  <r>
    <s v="L1008"/>
    <x v="0"/>
    <s v="Hot"/>
    <d v="2025-10-14T00:00:00"/>
    <d v="2025-10-17T00:00:00"/>
    <d v="2025-10-20T00:00:00"/>
    <d v="2025-10-25T00:00:00"/>
    <s v="No"/>
    <m/>
    <d v="2025-11-05T00:00:00"/>
    <n v="3"/>
    <n v="3"/>
    <n v="5"/>
    <n v="8"/>
    <n v="1"/>
    <n v="1"/>
    <n v="1"/>
    <n v="1"/>
    <x v="1"/>
  </r>
  <r>
    <s v="L1009"/>
    <x v="2"/>
    <s v="Warm"/>
    <d v="2025-10-31T00:00:00"/>
    <d v="2025-11-04T00:00:00"/>
    <d v="2025-11-05T00:00:00"/>
    <d v="2025-11-10T00:00:00"/>
    <s v="No"/>
    <m/>
    <d v="2025-11-22T00:00:00"/>
    <n v="4"/>
    <n v="1"/>
    <n v="5"/>
    <n v="6"/>
    <n v="1"/>
    <n v="1"/>
    <n v="1"/>
    <n v="1"/>
    <x v="0"/>
  </r>
  <r>
    <s v="L1010"/>
    <x v="0"/>
    <s v="Cold"/>
    <d v="2025-10-12T00:00:00"/>
    <m/>
    <m/>
    <m/>
    <s v="Yes"/>
    <s v="Other"/>
    <m/>
    <m/>
    <m/>
    <m/>
    <m/>
    <n v="1"/>
    <n v="0"/>
    <n v="0"/>
    <n v="0"/>
    <x v="2"/>
  </r>
  <r>
    <s v="L1011"/>
    <x v="1"/>
    <s v="Warm"/>
    <d v="2025-10-21T00:00:00"/>
    <d v="2025-10-24T00:00:00"/>
    <d v="2025-10-28T00:00:00"/>
    <d v="2025-10-30T00:00:00"/>
    <s v="No"/>
    <m/>
    <d v="2025-11-10T00:00:00"/>
    <n v="3"/>
    <n v="4"/>
    <n v="2"/>
    <n v="0"/>
    <n v="1"/>
    <n v="1"/>
    <n v="1"/>
    <n v="1"/>
    <x v="0"/>
  </r>
  <r>
    <s v="L1012"/>
    <x v="1"/>
    <s v="Warm"/>
    <d v="2025-10-29T00:00:00"/>
    <d v="2025-11-01T00:00:00"/>
    <d v="2025-11-06T00:00:00"/>
    <d v="2025-11-13T00:00:00"/>
    <s v="No"/>
    <m/>
    <d v="2025-11-30T00:00:00"/>
    <n v="3"/>
    <n v="5"/>
    <n v="7"/>
    <n v="10"/>
    <n v="1"/>
    <n v="1"/>
    <n v="1"/>
    <n v="1"/>
    <x v="3"/>
  </r>
  <r>
    <s v="L1013"/>
    <x v="3"/>
    <s v="Warm"/>
    <d v="2025-10-27T00:00:00"/>
    <d v="2025-10-30T00:00:00"/>
    <d v="2025-11-02T00:00:00"/>
    <d v="2025-11-08T00:00:00"/>
    <s v="No"/>
    <m/>
    <d v="2025-12-07T00:00:00"/>
    <n v="3"/>
    <n v="3"/>
    <n v="6"/>
    <n v="2"/>
    <n v="1"/>
    <n v="1"/>
    <n v="1"/>
    <n v="1"/>
    <x v="0"/>
  </r>
  <r>
    <s v="L1014"/>
    <x v="1"/>
    <s v="Hot"/>
    <d v="2025-10-15T00:00:00"/>
    <d v="2025-10-17T00:00:00"/>
    <d v="2025-10-18T00:00:00"/>
    <d v="2025-10-21T00:00:00"/>
    <s v="Yes"/>
    <s v="Changed Mind"/>
    <m/>
    <n v="2"/>
    <n v="1"/>
    <n v="3"/>
    <m/>
    <n v="1"/>
    <n v="1"/>
    <n v="1"/>
    <n v="0"/>
    <x v="2"/>
  </r>
  <r>
    <s v="L1015"/>
    <x v="1"/>
    <s v="Warm"/>
    <d v="2025-10-23T00:00:00"/>
    <d v="2025-10-27T00:00:00"/>
    <d v="2025-11-01T00:00:00"/>
    <d v="2025-11-06T00:00:00"/>
    <s v="No"/>
    <m/>
    <d v="2025-11-23T00:00:00"/>
    <n v="4"/>
    <n v="5"/>
    <n v="5"/>
    <n v="8"/>
    <n v="1"/>
    <n v="1"/>
    <n v="1"/>
    <n v="1"/>
    <x v="1"/>
  </r>
  <r>
    <s v="L1016"/>
    <x v="2"/>
    <s v="Hot"/>
    <d v="2025-10-05T00:00:00"/>
    <d v="2025-10-06T00:00:00"/>
    <d v="2025-10-10T00:00:00"/>
    <d v="2025-10-16T00:00:00"/>
    <s v="No"/>
    <m/>
    <d v="2025-10-26T00:00:00"/>
    <n v="1"/>
    <n v="4"/>
    <n v="6"/>
    <n v="2"/>
    <n v="1"/>
    <n v="1"/>
    <n v="1"/>
    <n v="1"/>
    <x v="0"/>
  </r>
  <r>
    <s v="L1017"/>
    <x v="0"/>
    <s v="Hot"/>
    <d v="2025-10-14T00:00:00"/>
    <d v="2025-10-15T00:00:00"/>
    <d v="2025-10-18T00:00:00"/>
    <d v="2025-10-23T00:00:00"/>
    <s v="No"/>
    <m/>
    <d v="2025-11-18T00:00:00"/>
    <n v="1"/>
    <n v="3"/>
    <n v="5"/>
    <n v="0"/>
    <n v="1"/>
    <n v="1"/>
    <n v="1"/>
    <n v="1"/>
    <x v="0"/>
  </r>
  <r>
    <s v="L1018"/>
    <x v="0"/>
    <s v="Warm"/>
    <d v="2025-10-06T00:00:00"/>
    <d v="2025-10-07T00:00:00"/>
    <d v="2025-10-12T00:00:00"/>
    <d v="2025-10-17T00:00:00"/>
    <s v="No"/>
    <m/>
    <d v="2025-11-11T00:00:00"/>
    <n v="1"/>
    <n v="5"/>
    <n v="5"/>
    <n v="5"/>
    <n v="1"/>
    <n v="1"/>
    <n v="1"/>
    <n v="1"/>
    <x v="0"/>
  </r>
  <r>
    <s v="L1019"/>
    <x v="2"/>
    <s v="Warm"/>
    <d v="2025-10-24T00:00:00"/>
    <d v="2025-10-25T00:00:00"/>
    <d v="2025-10-30T00:00:00"/>
    <d v="2025-11-01T00:00:00"/>
    <s v="No"/>
    <m/>
    <d v="2025-11-11T00:00:00"/>
    <n v="1"/>
    <n v="5"/>
    <n v="2"/>
    <n v="4"/>
    <n v="1"/>
    <n v="1"/>
    <n v="1"/>
    <n v="1"/>
    <x v="0"/>
  </r>
  <r>
    <s v="L1020"/>
    <x v="3"/>
    <s v="Warm"/>
    <d v="2025-10-17T00:00:00"/>
    <d v="2025-10-21T00:00:00"/>
    <d v="2025-10-23T00:00:00"/>
    <d v="2025-10-30T00:00:00"/>
    <s v="No"/>
    <m/>
    <d v="2025-11-19T00:00:00"/>
    <n v="4"/>
    <n v="2"/>
    <n v="7"/>
    <n v="6"/>
    <n v="1"/>
    <n v="1"/>
    <n v="1"/>
    <n v="1"/>
    <x v="0"/>
  </r>
  <r>
    <s v="L1021"/>
    <x v="0"/>
    <s v="Hot"/>
    <d v="2025-10-31T00:00:00"/>
    <d v="2025-11-01T00:00:00"/>
    <d v="2025-11-02T00:00:00"/>
    <d v="2025-11-05T00:00:00"/>
    <s v="No"/>
    <m/>
    <d v="2025-12-04T00:00:00"/>
    <n v="1"/>
    <n v="1"/>
    <n v="3"/>
    <n v="3"/>
    <n v="1"/>
    <n v="1"/>
    <n v="1"/>
    <n v="1"/>
    <x v="0"/>
  </r>
  <r>
    <s v="L1022"/>
    <x v="1"/>
    <s v="Warm"/>
    <d v="2025-10-21T00:00:00"/>
    <d v="2025-10-24T00:00:00"/>
    <d v="2025-10-29T00:00:00"/>
    <d v="2025-11-01T00:00:00"/>
    <s v="No"/>
    <m/>
    <d v="2025-11-17T00:00:00"/>
    <n v="3"/>
    <n v="5"/>
    <n v="3"/>
    <n v="8"/>
    <n v="1"/>
    <n v="1"/>
    <n v="1"/>
    <n v="1"/>
    <x v="1"/>
  </r>
  <r>
    <s v="L1023"/>
    <x v="0"/>
    <s v="Warm"/>
    <d v="2025-10-09T00:00:00"/>
    <d v="2025-10-11T00:00:00"/>
    <d v="2025-10-15T00:00:00"/>
    <d v="2025-10-19T00:00:00"/>
    <s v="No"/>
    <m/>
    <d v="2025-11-02T00:00:00"/>
    <n v="2"/>
    <n v="4"/>
    <n v="4"/>
    <n v="3"/>
    <n v="1"/>
    <n v="1"/>
    <n v="1"/>
    <n v="1"/>
    <x v="0"/>
  </r>
  <r>
    <s v="L1024"/>
    <x v="1"/>
    <s v="Warm"/>
    <d v="2025-10-20T00:00:00"/>
    <d v="2025-10-25T00:00:00"/>
    <d v="2025-10-27T00:00:00"/>
    <d v="2025-11-03T00:00:00"/>
    <s v="No"/>
    <m/>
    <d v="2025-11-23T00:00:00"/>
    <n v="5"/>
    <n v="2"/>
    <n v="7"/>
    <n v="1"/>
    <n v="1"/>
    <n v="1"/>
    <n v="1"/>
    <n v="1"/>
    <x v="0"/>
  </r>
  <r>
    <s v="L1025"/>
    <x v="3"/>
    <s v="Warm"/>
    <d v="2025-10-26T00:00:00"/>
    <d v="2025-10-27T00:00:00"/>
    <d v="2025-11-01T00:00:00"/>
    <d v="2025-11-03T00:00:00"/>
    <s v="No"/>
    <m/>
    <d v="2025-11-18T00:00:00"/>
    <n v="1"/>
    <n v="5"/>
    <n v="2"/>
    <n v="4"/>
    <n v="1"/>
    <n v="1"/>
    <n v="1"/>
    <n v="1"/>
    <x v="0"/>
  </r>
  <r>
    <s v="L1026"/>
    <x v="2"/>
    <s v="Warm"/>
    <d v="2025-10-30T00:00:00"/>
    <d v="2025-11-04T00:00:00"/>
    <d v="2025-11-09T00:00:00"/>
    <d v="2025-11-15T00:00:00"/>
    <s v="No"/>
    <m/>
    <d v="2025-12-05T00:00:00"/>
    <n v="5"/>
    <n v="5"/>
    <n v="6"/>
    <n v="1"/>
    <n v="1"/>
    <n v="1"/>
    <n v="1"/>
    <n v="1"/>
    <x v="0"/>
  </r>
  <r>
    <s v="L1027"/>
    <x v="0"/>
    <s v="Warm"/>
    <d v="2025-10-18T00:00:00"/>
    <d v="2025-10-23T00:00:00"/>
    <d v="2025-10-27T00:00:00"/>
    <d v="2025-10-29T00:00:00"/>
    <s v="No"/>
    <m/>
    <d v="2025-11-09T00:00:00"/>
    <n v="5"/>
    <n v="4"/>
    <n v="2"/>
    <n v="3"/>
    <n v="1"/>
    <n v="1"/>
    <n v="1"/>
    <n v="1"/>
    <x v="0"/>
  </r>
  <r>
    <s v="L1028"/>
    <x v="2"/>
    <s v="Warm"/>
    <d v="2025-10-25T00:00:00"/>
    <d v="2025-10-30T00:00:00"/>
    <d v="2025-11-01T00:00:00"/>
    <d v="2025-11-07T00:00:00"/>
    <s v="No"/>
    <m/>
    <d v="2025-11-17T00:00:00"/>
    <n v="5"/>
    <n v="2"/>
    <n v="6"/>
    <n v="3"/>
    <n v="1"/>
    <n v="1"/>
    <n v="1"/>
    <n v="1"/>
    <x v="0"/>
  </r>
  <r>
    <s v="L1029"/>
    <x v="0"/>
    <s v="Cold"/>
    <d v="2025-10-16T00:00:00"/>
    <m/>
    <m/>
    <m/>
    <s v="Yes"/>
    <s v="Changed Mind"/>
    <m/>
    <m/>
    <m/>
    <m/>
    <m/>
    <n v="1"/>
    <n v="0"/>
    <n v="0"/>
    <n v="0"/>
    <x v="2"/>
  </r>
  <r>
    <s v="L1030"/>
    <x v="1"/>
    <s v="Warm"/>
    <d v="2025-10-15T00:00:00"/>
    <d v="2025-10-18T00:00:00"/>
    <d v="2025-10-20T00:00:00"/>
    <d v="2025-10-23T00:00:00"/>
    <s v="No"/>
    <m/>
    <d v="2025-11-06T00:00:00"/>
    <n v="3"/>
    <n v="2"/>
    <n v="3"/>
    <n v="3"/>
    <n v="1"/>
    <n v="1"/>
    <n v="1"/>
    <n v="1"/>
    <x v="0"/>
  </r>
  <r>
    <s v="L1031"/>
    <x v="2"/>
    <s v="Warm"/>
    <d v="2025-10-14T00:00:00"/>
    <d v="2025-10-15T00:00:00"/>
    <d v="2025-10-16T00:00:00"/>
    <d v="2025-10-20T00:00:00"/>
    <s v="No"/>
    <m/>
    <d v="2025-11-17T00:00:00"/>
    <n v="1"/>
    <n v="1"/>
    <n v="4"/>
    <n v="5"/>
    <n v="1"/>
    <n v="1"/>
    <n v="1"/>
    <n v="1"/>
    <x v="0"/>
  </r>
  <r>
    <s v="L1032"/>
    <x v="0"/>
    <s v="Warm"/>
    <d v="2025-10-27T00:00:00"/>
    <d v="2025-10-31T00:00:00"/>
    <d v="2025-11-05T00:00:00"/>
    <d v="2025-11-09T00:00:00"/>
    <s v="No"/>
    <m/>
    <d v="2025-11-23T00:00:00"/>
    <n v="4"/>
    <n v="5"/>
    <n v="4"/>
    <n v="3"/>
    <n v="1"/>
    <n v="1"/>
    <n v="1"/>
    <n v="1"/>
    <x v="0"/>
  </r>
  <r>
    <s v="L1033"/>
    <x v="1"/>
    <s v="Warm"/>
    <d v="2025-10-24T00:00:00"/>
    <d v="2025-10-27T00:00:00"/>
    <d v="2025-10-28T00:00:00"/>
    <d v="2025-10-31T00:00:00"/>
    <s v="No"/>
    <m/>
    <d v="2025-11-13T00:00:00"/>
    <n v="3"/>
    <n v="1"/>
    <n v="3"/>
    <n v="3"/>
    <n v="1"/>
    <n v="1"/>
    <n v="1"/>
    <n v="1"/>
    <x v="0"/>
  </r>
  <r>
    <s v="L1034"/>
    <x v="2"/>
    <s v="Cold"/>
    <d v="2025-10-19T00:00:00"/>
    <m/>
    <m/>
    <m/>
    <s v="Yes"/>
    <s v="Model Unavailable"/>
    <m/>
    <m/>
    <m/>
    <m/>
    <m/>
    <n v="1"/>
    <n v="0"/>
    <n v="0"/>
    <n v="0"/>
    <x v="2"/>
  </r>
  <r>
    <s v="L1035"/>
    <x v="2"/>
    <s v="Warm"/>
    <d v="2025-10-09T00:00:00"/>
    <d v="2025-10-13T00:00:00"/>
    <d v="2025-10-15T00:00:00"/>
    <d v="2025-10-20T00:00:00"/>
    <s v="No"/>
    <m/>
    <d v="2025-11-15T00:00:00"/>
    <n v="4"/>
    <n v="2"/>
    <n v="5"/>
    <n v="9"/>
    <n v="1"/>
    <n v="1"/>
    <n v="1"/>
    <n v="1"/>
    <x v="3"/>
  </r>
  <r>
    <s v="L1036"/>
    <x v="0"/>
    <s v="Warm"/>
    <d v="2025-10-11T00:00:00"/>
    <d v="2025-10-12T00:00:00"/>
    <d v="2025-10-13T00:00:00"/>
    <d v="2025-10-15T00:00:00"/>
    <s v="Yes"/>
    <s v="Financing Issue"/>
    <m/>
    <n v="1"/>
    <n v="1"/>
    <n v="2"/>
    <m/>
    <n v="1"/>
    <n v="1"/>
    <n v="1"/>
    <n v="0"/>
    <x v="2"/>
  </r>
  <r>
    <s v="L1037"/>
    <x v="0"/>
    <s v="Warm"/>
    <d v="2025-10-28T00:00:00"/>
    <d v="2025-10-31T00:00:00"/>
    <d v="2025-11-04T00:00:00"/>
    <d v="2025-11-08T00:00:00"/>
    <s v="No"/>
    <m/>
    <d v="2025-11-29T00:00:00"/>
    <n v="3"/>
    <n v="4"/>
    <n v="4"/>
    <n v="2"/>
    <n v="1"/>
    <n v="1"/>
    <n v="1"/>
    <n v="1"/>
    <x v="0"/>
  </r>
  <r>
    <s v="L1038"/>
    <x v="0"/>
    <s v="Warm"/>
    <d v="2025-10-08T00:00:00"/>
    <d v="2025-10-13T00:00:00"/>
    <d v="2025-10-16T00:00:00"/>
    <d v="2025-10-23T00:00:00"/>
    <s v="No"/>
    <m/>
    <d v="2025-11-04T00:00:00"/>
    <n v="5"/>
    <n v="3"/>
    <n v="7"/>
    <n v="9"/>
    <n v="1"/>
    <n v="1"/>
    <n v="1"/>
    <n v="1"/>
    <x v="3"/>
  </r>
  <r>
    <s v="L1039"/>
    <x v="1"/>
    <s v="Warm"/>
    <d v="2025-10-27T00:00:00"/>
    <d v="2025-10-30T00:00:00"/>
    <d v="2025-11-03T00:00:00"/>
    <d v="2025-11-08T00:00:00"/>
    <s v="Yes"/>
    <s v="Other"/>
    <m/>
    <n v="3"/>
    <n v="4"/>
    <n v="5"/>
    <m/>
    <n v="1"/>
    <n v="1"/>
    <n v="1"/>
    <n v="0"/>
    <x v="2"/>
  </r>
  <r>
    <s v="L1040"/>
    <x v="0"/>
    <s v="Cold"/>
    <d v="2025-10-30T00:00:00"/>
    <m/>
    <m/>
    <m/>
    <s v="Yes"/>
    <s v="Model Unavailable"/>
    <m/>
    <m/>
    <m/>
    <m/>
    <m/>
    <n v="1"/>
    <n v="0"/>
    <n v="0"/>
    <n v="0"/>
    <x v="2"/>
  </r>
  <r>
    <s v="L1041"/>
    <x v="2"/>
    <s v="Warm"/>
    <d v="2025-10-03T00:00:00"/>
    <d v="2025-10-06T00:00:00"/>
    <d v="2025-10-08T00:00:00"/>
    <d v="2025-10-14T00:00:00"/>
    <s v="No"/>
    <m/>
    <d v="2025-11-04T00:00:00"/>
    <n v="3"/>
    <n v="2"/>
    <n v="6"/>
    <n v="6"/>
    <n v="1"/>
    <n v="1"/>
    <n v="1"/>
    <n v="1"/>
    <x v="0"/>
  </r>
  <r>
    <s v="L1042"/>
    <x v="2"/>
    <s v="Warm"/>
    <d v="2025-10-09T00:00:00"/>
    <d v="2025-10-10T00:00:00"/>
    <d v="2025-10-14T00:00:00"/>
    <d v="2025-10-21T00:00:00"/>
    <s v="No"/>
    <m/>
    <d v="2025-11-12T00:00:00"/>
    <n v="1"/>
    <n v="4"/>
    <n v="7"/>
    <n v="7"/>
    <n v="1"/>
    <n v="1"/>
    <n v="1"/>
    <n v="1"/>
    <x v="1"/>
  </r>
  <r>
    <s v="L1043"/>
    <x v="0"/>
    <s v="Cold"/>
    <d v="2025-10-29T00:00:00"/>
    <m/>
    <m/>
    <m/>
    <s v="Yes"/>
    <s v="Changed Mind"/>
    <m/>
    <m/>
    <m/>
    <m/>
    <m/>
    <n v="1"/>
    <n v="0"/>
    <n v="0"/>
    <n v="0"/>
    <x v="2"/>
  </r>
  <r>
    <s v="L1044"/>
    <x v="0"/>
    <s v="Hot"/>
    <d v="2025-10-15T00:00:00"/>
    <d v="2025-10-20T00:00:00"/>
    <d v="2025-10-22T00:00:00"/>
    <d v="2025-10-26T00:00:00"/>
    <s v="No"/>
    <m/>
    <d v="2025-11-23T00:00:00"/>
    <n v="5"/>
    <n v="2"/>
    <n v="4"/>
    <n v="8"/>
    <n v="1"/>
    <n v="1"/>
    <n v="1"/>
    <n v="1"/>
    <x v="1"/>
  </r>
  <r>
    <s v="L1045"/>
    <x v="3"/>
    <s v="Hot"/>
    <d v="2025-10-08T00:00:00"/>
    <d v="2025-10-13T00:00:00"/>
    <d v="2025-10-17T00:00:00"/>
    <d v="2025-10-23T00:00:00"/>
    <s v="No"/>
    <m/>
    <d v="2025-11-05T00:00:00"/>
    <n v="5"/>
    <n v="4"/>
    <n v="6"/>
    <n v="3"/>
    <n v="1"/>
    <n v="1"/>
    <n v="1"/>
    <n v="1"/>
    <x v="0"/>
  </r>
  <r>
    <s v="L1046"/>
    <x v="2"/>
    <s v="Warm"/>
    <d v="2025-10-25T00:00:00"/>
    <d v="2025-10-27T00:00:00"/>
    <d v="2025-11-01T00:00:00"/>
    <d v="2025-11-06T00:00:00"/>
    <s v="No"/>
    <m/>
    <d v="2025-11-26T00:00:00"/>
    <n v="2"/>
    <n v="5"/>
    <n v="5"/>
    <n v="5"/>
    <n v="1"/>
    <n v="1"/>
    <n v="1"/>
    <n v="1"/>
    <x v="0"/>
  </r>
  <r>
    <s v="L1047"/>
    <x v="1"/>
    <s v="Cold"/>
    <d v="2025-10-15T00:00:00"/>
    <m/>
    <m/>
    <m/>
    <s v="Yes"/>
    <s v="Model Unavailable"/>
    <m/>
    <m/>
    <m/>
    <m/>
    <m/>
    <n v="1"/>
    <n v="0"/>
    <n v="0"/>
    <n v="0"/>
    <x v="2"/>
  </r>
  <r>
    <s v="L1048"/>
    <x v="3"/>
    <s v="Hot"/>
    <d v="2025-10-19T00:00:00"/>
    <d v="2025-10-21T00:00:00"/>
    <d v="2025-10-26T00:00:00"/>
    <d v="2025-11-01T00:00:00"/>
    <s v="No"/>
    <m/>
    <d v="2025-11-20T00:00:00"/>
    <n v="2"/>
    <n v="5"/>
    <n v="6"/>
    <n v="0"/>
    <n v="1"/>
    <n v="1"/>
    <n v="1"/>
    <n v="1"/>
    <x v="0"/>
  </r>
  <r>
    <s v="L1049"/>
    <x v="0"/>
    <s v="Hot"/>
    <d v="2025-10-20T00:00:00"/>
    <d v="2025-10-24T00:00:00"/>
    <d v="2025-10-28T00:00:00"/>
    <d v="2025-11-02T00:00:00"/>
    <s v="No"/>
    <m/>
    <d v="2025-11-22T00:00:00"/>
    <n v="4"/>
    <n v="4"/>
    <n v="5"/>
    <n v="6"/>
    <n v="1"/>
    <n v="1"/>
    <n v="1"/>
    <n v="1"/>
    <x v="0"/>
  </r>
  <r>
    <s v="L1050"/>
    <x v="0"/>
    <s v="Hot"/>
    <d v="2025-10-22T00:00:00"/>
    <d v="2025-10-24T00:00:00"/>
    <d v="2025-10-25T00:00:00"/>
    <d v="2025-10-31T00:00:00"/>
    <s v="No"/>
    <m/>
    <d v="2025-11-14T00:00:00"/>
    <n v="2"/>
    <n v="1"/>
    <n v="6"/>
    <n v="6"/>
    <n v="1"/>
    <n v="1"/>
    <n v="1"/>
    <n v="1"/>
    <x v="0"/>
  </r>
  <r>
    <s v="L1051"/>
    <x v="2"/>
    <s v="Hot"/>
    <d v="2025-10-13T00:00:00"/>
    <d v="2025-10-14T00:00:00"/>
    <d v="2025-10-16T00:00:00"/>
    <d v="2025-10-18T00:00:00"/>
    <s v="No"/>
    <m/>
    <d v="2025-11-02T00:00:00"/>
    <n v="1"/>
    <n v="2"/>
    <n v="2"/>
    <n v="6"/>
    <n v="1"/>
    <n v="1"/>
    <n v="1"/>
    <n v="1"/>
    <x v="0"/>
  </r>
  <r>
    <s v="L1052"/>
    <x v="0"/>
    <s v="Hot"/>
    <d v="2025-10-11T00:00:00"/>
    <d v="2025-10-14T00:00:00"/>
    <d v="2025-10-19T00:00:00"/>
    <d v="2025-10-23T00:00:00"/>
    <s v="No"/>
    <m/>
    <d v="2025-11-15T00:00:00"/>
    <n v="3"/>
    <n v="5"/>
    <n v="4"/>
    <n v="4"/>
    <n v="1"/>
    <n v="1"/>
    <n v="1"/>
    <n v="1"/>
    <x v="0"/>
  </r>
  <r>
    <s v="L1053"/>
    <x v="1"/>
    <s v="Warm"/>
    <d v="2025-10-01T00:00:00"/>
    <d v="2025-10-06T00:00:00"/>
    <d v="2025-10-08T00:00:00"/>
    <d v="2025-10-12T00:00:00"/>
    <s v="No"/>
    <m/>
    <d v="2025-11-11T00:00:00"/>
    <n v="5"/>
    <n v="2"/>
    <n v="4"/>
    <n v="4"/>
    <n v="1"/>
    <n v="1"/>
    <n v="1"/>
    <n v="1"/>
    <x v="0"/>
  </r>
  <r>
    <s v="L1054"/>
    <x v="2"/>
    <s v="Warm"/>
    <d v="2025-10-16T00:00:00"/>
    <d v="2025-10-19T00:00:00"/>
    <d v="2025-10-24T00:00:00"/>
    <d v="2025-10-29T00:00:00"/>
    <s v="No"/>
    <m/>
    <d v="2025-11-23T00:00:00"/>
    <n v="3"/>
    <n v="5"/>
    <n v="5"/>
    <n v="8"/>
    <n v="1"/>
    <n v="1"/>
    <n v="1"/>
    <n v="1"/>
    <x v="1"/>
  </r>
  <r>
    <s v="L1055"/>
    <x v="0"/>
    <s v="Hot"/>
    <d v="2025-10-28T00:00:00"/>
    <d v="2025-10-29T00:00:00"/>
    <d v="2025-11-01T00:00:00"/>
    <d v="2025-11-07T00:00:00"/>
    <s v="No"/>
    <m/>
    <d v="2025-12-07T00:00:00"/>
    <n v="1"/>
    <n v="3"/>
    <n v="6"/>
    <n v="3"/>
    <n v="1"/>
    <n v="1"/>
    <n v="1"/>
    <n v="1"/>
    <x v="0"/>
  </r>
  <r>
    <s v="L1056"/>
    <x v="2"/>
    <s v="Warm"/>
    <d v="2025-10-11T00:00:00"/>
    <d v="2025-10-14T00:00:00"/>
    <d v="2025-10-18T00:00:00"/>
    <d v="2025-10-21T00:00:00"/>
    <s v="No"/>
    <m/>
    <d v="2025-11-10T00:00:00"/>
    <n v="3"/>
    <n v="4"/>
    <n v="3"/>
    <n v="6"/>
    <n v="1"/>
    <n v="1"/>
    <n v="1"/>
    <n v="1"/>
    <x v="0"/>
  </r>
  <r>
    <s v="L1057"/>
    <x v="0"/>
    <s v="Hot"/>
    <d v="2025-10-06T00:00:00"/>
    <d v="2025-10-11T00:00:00"/>
    <d v="2025-10-16T00:00:00"/>
    <d v="2025-10-23T00:00:00"/>
    <s v="No"/>
    <m/>
    <d v="2025-11-07T00:00:00"/>
    <n v="5"/>
    <n v="5"/>
    <n v="7"/>
    <n v="1"/>
    <n v="1"/>
    <n v="1"/>
    <n v="1"/>
    <n v="1"/>
    <x v="0"/>
  </r>
  <r>
    <s v="L1058"/>
    <x v="0"/>
    <s v="Warm"/>
    <d v="2025-10-16T00:00:00"/>
    <d v="2025-10-18T00:00:00"/>
    <d v="2025-10-22T00:00:00"/>
    <d v="2025-10-29T00:00:00"/>
    <s v="Yes"/>
    <s v="Financing Issue"/>
    <m/>
    <n v="2"/>
    <n v="4"/>
    <n v="7"/>
    <m/>
    <n v="1"/>
    <n v="1"/>
    <n v="1"/>
    <n v="0"/>
    <x v="2"/>
  </r>
  <r>
    <s v="L1059"/>
    <x v="0"/>
    <s v="Warm"/>
    <d v="2025-10-07T00:00:00"/>
    <d v="2025-10-11T00:00:00"/>
    <d v="2025-10-14T00:00:00"/>
    <d v="2025-10-18T00:00:00"/>
    <s v="No"/>
    <m/>
    <d v="2025-11-14T00:00:00"/>
    <n v="4"/>
    <n v="3"/>
    <n v="4"/>
    <n v="2"/>
    <n v="1"/>
    <n v="1"/>
    <n v="1"/>
    <n v="1"/>
    <x v="0"/>
  </r>
  <r>
    <s v="L1060"/>
    <x v="1"/>
    <s v="Warm"/>
    <d v="2025-10-12T00:00:00"/>
    <d v="2025-10-17T00:00:00"/>
    <d v="2025-10-19T00:00:00"/>
    <d v="2025-10-25T00:00:00"/>
    <s v="No"/>
    <m/>
    <d v="2025-11-23T00:00:00"/>
    <n v="5"/>
    <n v="2"/>
    <n v="6"/>
    <n v="7"/>
    <n v="1"/>
    <n v="1"/>
    <n v="1"/>
    <n v="1"/>
    <x v="1"/>
  </r>
  <r>
    <s v="L1061"/>
    <x v="1"/>
    <s v="Hot"/>
    <d v="2025-10-26T00:00:00"/>
    <d v="2025-10-31T00:00:00"/>
    <d v="2025-11-04T00:00:00"/>
    <d v="2025-11-10T00:00:00"/>
    <s v="No"/>
    <m/>
    <d v="2025-12-01T00:00:00"/>
    <n v="5"/>
    <n v="4"/>
    <n v="6"/>
    <n v="9"/>
    <n v="1"/>
    <n v="1"/>
    <n v="1"/>
    <n v="1"/>
    <x v="3"/>
  </r>
  <r>
    <s v="L1062"/>
    <x v="2"/>
    <s v="Warm"/>
    <d v="2025-10-09T00:00:00"/>
    <d v="2025-10-14T00:00:00"/>
    <d v="2025-10-19T00:00:00"/>
    <d v="2025-10-21T00:00:00"/>
    <s v="No"/>
    <m/>
    <d v="2025-11-07T00:00:00"/>
    <n v="5"/>
    <n v="5"/>
    <n v="2"/>
    <n v="3"/>
    <n v="1"/>
    <n v="1"/>
    <n v="1"/>
    <n v="1"/>
    <x v="0"/>
  </r>
  <r>
    <s v="L1063"/>
    <x v="0"/>
    <s v="Hot"/>
    <d v="2025-10-11T00:00:00"/>
    <d v="2025-10-16T00:00:00"/>
    <d v="2025-10-19T00:00:00"/>
    <d v="2025-10-26T00:00:00"/>
    <s v="No"/>
    <m/>
    <d v="2025-11-23T00:00:00"/>
    <n v="5"/>
    <n v="3"/>
    <n v="7"/>
    <n v="3"/>
    <n v="1"/>
    <n v="1"/>
    <n v="1"/>
    <n v="1"/>
    <x v="0"/>
  </r>
  <r>
    <s v="L1064"/>
    <x v="0"/>
    <s v="Cold"/>
    <d v="2025-10-09T00:00:00"/>
    <m/>
    <m/>
    <m/>
    <s v="Yes"/>
    <s v="Other"/>
    <m/>
    <m/>
    <m/>
    <m/>
    <m/>
    <n v="1"/>
    <n v="0"/>
    <n v="0"/>
    <n v="0"/>
    <x v="2"/>
  </r>
  <r>
    <s v="L1065"/>
    <x v="1"/>
    <s v="Warm"/>
    <d v="2025-10-29T00:00:00"/>
    <d v="2025-10-30T00:00:00"/>
    <d v="2025-11-04T00:00:00"/>
    <d v="2025-11-07T00:00:00"/>
    <s v="No"/>
    <m/>
    <d v="2025-11-22T00:00:00"/>
    <n v="1"/>
    <n v="5"/>
    <n v="3"/>
    <n v="10"/>
    <n v="1"/>
    <n v="1"/>
    <n v="1"/>
    <n v="1"/>
    <x v="3"/>
  </r>
  <r>
    <s v="L1066"/>
    <x v="0"/>
    <s v="Warm"/>
    <d v="2025-10-20T00:00:00"/>
    <d v="2025-10-25T00:00:00"/>
    <d v="2025-10-28T00:00:00"/>
    <d v="2025-11-01T00:00:00"/>
    <s v="No"/>
    <m/>
    <d v="2025-11-23T00:00:00"/>
    <n v="5"/>
    <n v="3"/>
    <n v="4"/>
    <n v="4"/>
    <n v="1"/>
    <n v="1"/>
    <n v="1"/>
    <n v="1"/>
    <x v="0"/>
  </r>
  <r>
    <s v="L1067"/>
    <x v="1"/>
    <s v="Hot"/>
    <d v="2025-10-23T00:00:00"/>
    <d v="2025-10-26T00:00:00"/>
    <d v="2025-10-29T00:00:00"/>
    <d v="2025-10-31T00:00:00"/>
    <s v="No"/>
    <m/>
    <d v="2025-11-19T00:00:00"/>
    <n v="3"/>
    <n v="3"/>
    <n v="2"/>
    <n v="5"/>
    <n v="1"/>
    <n v="1"/>
    <n v="1"/>
    <n v="1"/>
    <x v="0"/>
  </r>
  <r>
    <s v="L1068"/>
    <x v="0"/>
    <s v="Cold"/>
    <d v="2025-10-29T00:00:00"/>
    <m/>
    <m/>
    <m/>
    <s v="Yes"/>
    <s v="Financing Issue"/>
    <m/>
    <m/>
    <m/>
    <m/>
    <m/>
    <n v="1"/>
    <n v="0"/>
    <n v="0"/>
    <n v="0"/>
    <x v="2"/>
  </r>
  <r>
    <s v="L1069"/>
    <x v="2"/>
    <s v="Hot"/>
    <d v="2025-10-09T00:00:00"/>
    <d v="2025-10-10T00:00:00"/>
    <d v="2025-10-15T00:00:00"/>
    <d v="2025-10-18T00:00:00"/>
    <s v="No"/>
    <m/>
    <d v="2025-11-06T00:00:00"/>
    <n v="1"/>
    <n v="5"/>
    <n v="3"/>
    <n v="1"/>
    <n v="1"/>
    <n v="1"/>
    <n v="1"/>
    <n v="1"/>
    <x v="0"/>
  </r>
  <r>
    <s v="L1070"/>
    <x v="0"/>
    <s v="Hot"/>
    <d v="2025-10-18T00:00:00"/>
    <d v="2025-10-20T00:00:00"/>
    <d v="2025-10-24T00:00:00"/>
    <d v="2025-10-28T00:00:00"/>
    <s v="No"/>
    <m/>
    <d v="2025-11-11T00:00:00"/>
    <n v="2"/>
    <n v="4"/>
    <n v="4"/>
    <n v="10"/>
    <n v="1"/>
    <n v="1"/>
    <n v="1"/>
    <n v="1"/>
    <x v="3"/>
  </r>
  <r>
    <s v="L1071"/>
    <x v="0"/>
    <s v="Warm"/>
    <d v="2025-10-01T00:00:00"/>
    <d v="2025-10-04T00:00:00"/>
    <d v="2025-10-06T00:00:00"/>
    <d v="2025-10-08T00:00:00"/>
    <s v="No"/>
    <m/>
    <d v="2025-10-23T00:00:00"/>
    <n v="3"/>
    <n v="2"/>
    <n v="2"/>
    <n v="7"/>
    <n v="1"/>
    <n v="1"/>
    <n v="1"/>
    <n v="1"/>
    <x v="1"/>
  </r>
  <r>
    <s v="L1072"/>
    <x v="3"/>
    <s v="Hot"/>
    <d v="2025-10-17T00:00:00"/>
    <d v="2025-10-20T00:00:00"/>
    <d v="2025-10-22T00:00:00"/>
    <d v="2025-10-25T00:00:00"/>
    <s v="No"/>
    <m/>
    <d v="2025-11-04T00:00:00"/>
    <n v="3"/>
    <n v="2"/>
    <n v="3"/>
    <n v="6"/>
    <n v="1"/>
    <n v="1"/>
    <n v="1"/>
    <n v="1"/>
    <x v="0"/>
  </r>
  <r>
    <s v="L1073"/>
    <x v="1"/>
    <s v="Cold"/>
    <d v="2025-10-31T00:00:00"/>
    <m/>
    <m/>
    <m/>
    <s v="Yes"/>
    <s v="Price"/>
    <m/>
    <m/>
    <m/>
    <m/>
    <m/>
    <n v="1"/>
    <n v="0"/>
    <n v="0"/>
    <n v="0"/>
    <x v="2"/>
  </r>
  <r>
    <s v="L1074"/>
    <x v="0"/>
    <s v="Warm"/>
    <d v="2025-10-07T00:00:00"/>
    <d v="2025-10-10T00:00:00"/>
    <d v="2025-10-13T00:00:00"/>
    <d v="2025-10-17T00:00:00"/>
    <s v="No"/>
    <m/>
    <d v="2025-11-14T00:00:00"/>
    <n v="3"/>
    <n v="3"/>
    <n v="4"/>
    <n v="0"/>
    <n v="1"/>
    <n v="1"/>
    <n v="1"/>
    <n v="1"/>
    <x v="0"/>
  </r>
  <r>
    <s v="L1075"/>
    <x v="0"/>
    <s v="Hot"/>
    <d v="2025-10-03T00:00:00"/>
    <d v="2025-10-06T00:00:00"/>
    <d v="2025-10-11T00:00:00"/>
    <d v="2025-10-18T00:00:00"/>
    <s v="No"/>
    <m/>
    <d v="2025-11-09T00:00:00"/>
    <n v="3"/>
    <n v="5"/>
    <n v="7"/>
    <n v="1"/>
    <n v="1"/>
    <n v="1"/>
    <n v="1"/>
    <n v="1"/>
    <x v="0"/>
  </r>
  <r>
    <s v="L1076"/>
    <x v="3"/>
    <s v="Warm"/>
    <d v="2025-10-08T00:00:00"/>
    <d v="2025-10-09T00:00:00"/>
    <d v="2025-10-12T00:00:00"/>
    <d v="2025-10-15T00:00:00"/>
    <s v="No"/>
    <m/>
    <d v="2025-11-12T00:00:00"/>
    <n v="1"/>
    <n v="3"/>
    <n v="3"/>
    <n v="8"/>
    <n v="1"/>
    <n v="1"/>
    <n v="1"/>
    <n v="1"/>
    <x v="1"/>
  </r>
  <r>
    <s v="L1077"/>
    <x v="3"/>
    <s v="Cold"/>
    <d v="2025-10-24T00:00:00"/>
    <m/>
    <m/>
    <m/>
    <s v="Yes"/>
    <s v="Other"/>
    <m/>
    <m/>
    <m/>
    <m/>
    <m/>
    <n v="1"/>
    <n v="0"/>
    <n v="0"/>
    <n v="0"/>
    <x v="2"/>
  </r>
  <r>
    <s v="L1078"/>
    <x v="1"/>
    <s v="Cold"/>
    <d v="2025-10-14T00:00:00"/>
    <m/>
    <m/>
    <m/>
    <s v="Yes"/>
    <s v="Financing Issue"/>
    <m/>
    <m/>
    <m/>
    <m/>
    <m/>
    <n v="1"/>
    <n v="0"/>
    <n v="0"/>
    <n v="0"/>
    <x v="2"/>
  </r>
  <r>
    <s v="L1079"/>
    <x v="3"/>
    <s v="Warm"/>
    <d v="2025-10-16T00:00:00"/>
    <d v="2025-10-18T00:00:00"/>
    <d v="2025-10-20T00:00:00"/>
    <d v="2025-10-26T00:00:00"/>
    <s v="Yes"/>
    <s v="Changed Mind"/>
    <m/>
    <n v="2"/>
    <n v="2"/>
    <n v="6"/>
    <m/>
    <n v="1"/>
    <n v="1"/>
    <n v="1"/>
    <n v="0"/>
    <x v="2"/>
  </r>
  <r>
    <s v="L1080"/>
    <x v="2"/>
    <s v="Cold"/>
    <d v="2025-10-18T00:00:00"/>
    <m/>
    <m/>
    <m/>
    <s v="Yes"/>
    <s v="Other"/>
    <m/>
    <m/>
    <m/>
    <m/>
    <m/>
    <n v="1"/>
    <n v="0"/>
    <n v="0"/>
    <n v="0"/>
    <x v="2"/>
  </r>
  <r>
    <s v="L1081"/>
    <x v="3"/>
    <s v="Cold"/>
    <d v="2025-10-25T00:00:00"/>
    <m/>
    <m/>
    <m/>
    <s v="Yes"/>
    <s v="Other"/>
    <m/>
    <m/>
    <m/>
    <m/>
    <m/>
    <n v="1"/>
    <n v="0"/>
    <n v="0"/>
    <n v="0"/>
    <x v="2"/>
  </r>
  <r>
    <s v="L1082"/>
    <x v="2"/>
    <s v="Warm"/>
    <d v="2025-10-08T00:00:00"/>
    <d v="2025-10-10T00:00:00"/>
    <d v="2025-10-13T00:00:00"/>
    <d v="2025-10-18T00:00:00"/>
    <s v="No"/>
    <m/>
    <d v="2025-10-29T00:00:00"/>
    <n v="2"/>
    <n v="3"/>
    <n v="5"/>
    <n v="5"/>
    <n v="1"/>
    <n v="1"/>
    <n v="1"/>
    <n v="1"/>
    <x v="0"/>
  </r>
  <r>
    <s v="L1083"/>
    <x v="1"/>
    <s v="Hot"/>
    <d v="2025-10-23T00:00:00"/>
    <d v="2025-10-28T00:00:00"/>
    <d v="2025-10-31T00:00:00"/>
    <d v="2025-11-05T00:00:00"/>
    <s v="No"/>
    <m/>
    <d v="2025-11-20T00:00:00"/>
    <n v="5"/>
    <n v="3"/>
    <n v="5"/>
    <n v="5"/>
    <n v="1"/>
    <n v="1"/>
    <n v="1"/>
    <n v="1"/>
    <x v="0"/>
  </r>
  <r>
    <s v="L1084"/>
    <x v="1"/>
    <s v="Warm"/>
    <d v="2025-10-16T00:00:00"/>
    <d v="2025-10-20T00:00:00"/>
    <d v="2025-10-22T00:00:00"/>
    <d v="2025-10-28T00:00:00"/>
    <s v="No"/>
    <m/>
    <d v="2025-11-26T00:00:00"/>
    <n v="4"/>
    <n v="2"/>
    <n v="6"/>
    <n v="4"/>
    <n v="1"/>
    <n v="1"/>
    <n v="1"/>
    <n v="1"/>
    <x v="0"/>
  </r>
  <r>
    <s v="L1085"/>
    <x v="1"/>
    <s v="Cold"/>
    <d v="2025-10-21T00:00:00"/>
    <m/>
    <m/>
    <m/>
    <s v="Yes"/>
    <s v="Model Unavailable"/>
    <m/>
    <m/>
    <m/>
    <m/>
    <m/>
    <n v="1"/>
    <n v="0"/>
    <n v="0"/>
    <n v="0"/>
    <x v="2"/>
  </r>
  <r>
    <s v="L1086"/>
    <x v="1"/>
    <s v="Hot"/>
    <d v="2025-10-23T00:00:00"/>
    <d v="2025-10-24T00:00:00"/>
    <d v="2025-10-28T00:00:00"/>
    <d v="2025-10-31T00:00:00"/>
    <s v="No"/>
    <m/>
    <d v="2025-11-20T00:00:00"/>
    <n v="1"/>
    <n v="4"/>
    <n v="3"/>
    <n v="7"/>
    <n v="1"/>
    <n v="1"/>
    <n v="1"/>
    <n v="1"/>
    <x v="1"/>
  </r>
  <r>
    <s v="L1087"/>
    <x v="1"/>
    <s v="Cold"/>
    <d v="2025-10-16T00:00:00"/>
    <m/>
    <m/>
    <m/>
    <s v="Yes"/>
    <s v="Changed Mind"/>
    <m/>
    <m/>
    <m/>
    <m/>
    <m/>
    <n v="1"/>
    <n v="0"/>
    <n v="0"/>
    <n v="0"/>
    <x v="2"/>
  </r>
  <r>
    <s v="L1088"/>
    <x v="2"/>
    <s v="Hot"/>
    <d v="2025-10-15T00:00:00"/>
    <d v="2025-10-17T00:00:00"/>
    <d v="2025-10-20T00:00:00"/>
    <d v="2025-10-26T00:00:00"/>
    <s v="No"/>
    <m/>
    <d v="2025-11-24T00:00:00"/>
    <n v="2"/>
    <n v="3"/>
    <n v="6"/>
    <n v="5"/>
    <n v="1"/>
    <n v="1"/>
    <n v="1"/>
    <n v="1"/>
    <x v="0"/>
  </r>
  <r>
    <s v="L1089"/>
    <x v="2"/>
    <s v="Hot"/>
    <d v="2025-10-26T00:00:00"/>
    <d v="2025-10-27T00:00:00"/>
    <d v="2025-10-31T00:00:00"/>
    <d v="2025-11-05T00:00:00"/>
    <s v="No"/>
    <m/>
    <d v="2025-11-22T00:00:00"/>
    <n v="1"/>
    <n v="4"/>
    <n v="5"/>
    <n v="8"/>
    <n v="1"/>
    <n v="1"/>
    <n v="1"/>
    <n v="1"/>
    <x v="1"/>
  </r>
  <r>
    <s v="L1090"/>
    <x v="1"/>
    <s v="Warm"/>
    <d v="2025-10-01T00:00:00"/>
    <d v="2025-10-02T00:00:00"/>
    <d v="2025-10-05T00:00:00"/>
    <d v="2025-10-10T00:00:00"/>
    <s v="No"/>
    <m/>
    <d v="2025-11-09T00:00:00"/>
    <n v="1"/>
    <n v="3"/>
    <n v="5"/>
    <n v="0"/>
    <n v="1"/>
    <n v="1"/>
    <n v="1"/>
    <n v="1"/>
    <x v="0"/>
  </r>
  <r>
    <s v="L1091"/>
    <x v="3"/>
    <s v="Hot"/>
    <d v="2025-10-03T00:00:00"/>
    <d v="2025-10-08T00:00:00"/>
    <d v="2025-10-13T00:00:00"/>
    <d v="2025-10-16T00:00:00"/>
    <s v="No"/>
    <m/>
    <d v="2025-11-13T00:00:00"/>
    <n v="5"/>
    <n v="5"/>
    <n v="3"/>
    <n v="9"/>
    <n v="1"/>
    <n v="1"/>
    <n v="1"/>
    <n v="1"/>
    <x v="3"/>
  </r>
  <r>
    <s v="L1092"/>
    <x v="0"/>
    <s v="Cold"/>
    <d v="2025-10-10T00:00:00"/>
    <m/>
    <m/>
    <m/>
    <s v="Yes"/>
    <s v="Price"/>
    <m/>
    <m/>
    <m/>
    <m/>
    <m/>
    <n v="1"/>
    <n v="0"/>
    <n v="0"/>
    <n v="0"/>
    <x v="2"/>
  </r>
  <r>
    <s v="L1093"/>
    <x v="1"/>
    <s v="Cold"/>
    <d v="2025-10-08T00:00:00"/>
    <m/>
    <m/>
    <m/>
    <s v="Yes"/>
    <s v="Financing Issue"/>
    <m/>
    <m/>
    <m/>
    <m/>
    <m/>
    <n v="1"/>
    <n v="0"/>
    <n v="0"/>
    <n v="0"/>
    <x v="2"/>
  </r>
  <r>
    <s v="L1094"/>
    <x v="3"/>
    <s v="Cold"/>
    <d v="2025-10-13T00:00:00"/>
    <m/>
    <m/>
    <m/>
    <s v="Yes"/>
    <s v="Model Unavailable"/>
    <m/>
    <m/>
    <m/>
    <m/>
    <m/>
    <n v="1"/>
    <n v="0"/>
    <n v="0"/>
    <n v="0"/>
    <x v="2"/>
  </r>
  <r>
    <s v="L1095"/>
    <x v="0"/>
    <s v="Warm"/>
    <d v="2025-10-23T00:00:00"/>
    <d v="2025-10-25T00:00:00"/>
    <d v="2025-10-28T00:00:00"/>
    <d v="2025-11-02T00:00:00"/>
    <s v="No"/>
    <m/>
    <d v="2025-11-15T00:00:00"/>
    <n v="2"/>
    <n v="3"/>
    <n v="5"/>
    <n v="9"/>
    <n v="1"/>
    <n v="1"/>
    <n v="1"/>
    <n v="1"/>
    <x v="3"/>
  </r>
  <r>
    <s v="L1096"/>
    <x v="1"/>
    <s v="Hot"/>
    <d v="2025-10-08T00:00:00"/>
    <d v="2025-10-12T00:00:00"/>
    <d v="2025-10-15T00:00:00"/>
    <d v="2025-10-22T00:00:00"/>
    <s v="Yes"/>
    <s v="Financing Issue"/>
    <m/>
    <n v="4"/>
    <n v="3"/>
    <n v="7"/>
    <m/>
    <n v="1"/>
    <n v="1"/>
    <n v="1"/>
    <n v="0"/>
    <x v="2"/>
  </r>
  <r>
    <s v="L1097"/>
    <x v="1"/>
    <s v="Warm"/>
    <d v="2025-10-10T00:00:00"/>
    <d v="2025-10-14T00:00:00"/>
    <d v="2025-10-15T00:00:00"/>
    <d v="2025-10-21T00:00:00"/>
    <s v="No"/>
    <m/>
    <d v="2025-11-15T00:00:00"/>
    <n v="4"/>
    <n v="1"/>
    <n v="6"/>
    <n v="6"/>
    <n v="1"/>
    <n v="1"/>
    <n v="1"/>
    <n v="1"/>
    <x v="0"/>
  </r>
  <r>
    <s v="L1098"/>
    <x v="2"/>
    <s v="Warm"/>
    <d v="2025-10-22T00:00:00"/>
    <d v="2025-10-26T00:00:00"/>
    <d v="2025-10-31T00:00:00"/>
    <d v="2025-11-07T00:00:00"/>
    <s v="No"/>
    <m/>
    <d v="2025-11-21T00:00:00"/>
    <n v="4"/>
    <n v="5"/>
    <n v="7"/>
    <n v="0"/>
    <n v="1"/>
    <n v="1"/>
    <n v="1"/>
    <n v="1"/>
    <x v="0"/>
  </r>
  <r>
    <s v="L1099"/>
    <x v="0"/>
    <s v="Warm"/>
    <d v="2025-10-19T00:00:00"/>
    <d v="2025-10-22T00:00:00"/>
    <d v="2025-10-27T00:00:00"/>
    <d v="2025-11-03T00:00:00"/>
    <s v="No"/>
    <m/>
    <d v="2025-11-23T00:00:00"/>
    <n v="3"/>
    <n v="5"/>
    <n v="7"/>
    <n v="10"/>
    <n v="1"/>
    <n v="1"/>
    <n v="1"/>
    <n v="1"/>
    <x v="3"/>
  </r>
  <r>
    <s v="L1100"/>
    <x v="0"/>
    <s v="Hot"/>
    <d v="2025-10-12T00:00:00"/>
    <d v="2025-10-14T00:00:00"/>
    <d v="2025-10-18T00:00:00"/>
    <d v="2025-10-21T00:00:00"/>
    <s v="No"/>
    <m/>
    <d v="2025-11-02T00:00:00"/>
    <n v="2"/>
    <n v="4"/>
    <n v="3"/>
    <n v="1"/>
    <n v="1"/>
    <n v="1"/>
    <n v="1"/>
    <n v="1"/>
    <x v="0"/>
  </r>
  <r>
    <s v="L1101"/>
    <x v="3"/>
    <s v="Warm"/>
    <d v="2025-10-16T00:00:00"/>
    <d v="2025-10-19T00:00:00"/>
    <d v="2025-10-23T00:00:00"/>
    <d v="2025-10-29T00:00:00"/>
    <s v="No"/>
    <m/>
    <d v="2025-11-15T00:00:00"/>
    <n v="3"/>
    <n v="4"/>
    <n v="6"/>
    <n v="1"/>
    <n v="1"/>
    <n v="1"/>
    <n v="1"/>
    <n v="1"/>
    <x v="0"/>
  </r>
  <r>
    <s v="L1102"/>
    <x v="2"/>
    <s v="Warm"/>
    <d v="2025-10-18T00:00:00"/>
    <d v="2025-10-21T00:00:00"/>
    <d v="2025-10-24T00:00:00"/>
    <d v="2025-10-27T00:00:00"/>
    <s v="No"/>
    <m/>
    <d v="2025-11-17T00:00:00"/>
    <n v="3"/>
    <n v="3"/>
    <n v="3"/>
    <n v="0"/>
    <n v="1"/>
    <n v="1"/>
    <n v="1"/>
    <n v="1"/>
    <x v="0"/>
  </r>
  <r>
    <s v="L1103"/>
    <x v="2"/>
    <s v="Cold"/>
    <d v="2025-10-17T00:00:00"/>
    <m/>
    <m/>
    <m/>
    <s v="Yes"/>
    <s v="Price"/>
    <m/>
    <m/>
    <m/>
    <m/>
    <m/>
    <n v="1"/>
    <n v="0"/>
    <n v="0"/>
    <n v="0"/>
    <x v="2"/>
  </r>
  <r>
    <s v="L1104"/>
    <x v="2"/>
    <s v="Cold"/>
    <d v="2025-10-12T00:00:00"/>
    <m/>
    <m/>
    <m/>
    <s v="Yes"/>
    <s v="Price"/>
    <m/>
    <m/>
    <m/>
    <m/>
    <m/>
    <n v="1"/>
    <n v="0"/>
    <n v="0"/>
    <n v="0"/>
    <x v="2"/>
  </r>
  <r>
    <s v="L1105"/>
    <x v="2"/>
    <s v="Warm"/>
    <d v="2025-10-14T00:00:00"/>
    <d v="2025-10-17T00:00:00"/>
    <d v="2025-10-19T00:00:00"/>
    <d v="2025-10-24T00:00:00"/>
    <s v="No"/>
    <m/>
    <d v="2025-11-13T00:00:00"/>
    <n v="3"/>
    <n v="2"/>
    <n v="5"/>
    <n v="2"/>
    <n v="1"/>
    <n v="1"/>
    <n v="1"/>
    <n v="1"/>
    <x v="0"/>
  </r>
  <r>
    <s v="L1106"/>
    <x v="0"/>
    <s v="Warm"/>
    <d v="2025-10-24T00:00:00"/>
    <d v="2025-10-29T00:00:00"/>
    <d v="2025-11-01T00:00:00"/>
    <d v="2025-11-05T00:00:00"/>
    <s v="Yes"/>
    <s v="Other"/>
    <m/>
    <n v="5"/>
    <n v="3"/>
    <n v="4"/>
    <m/>
    <n v="1"/>
    <n v="1"/>
    <n v="1"/>
    <n v="0"/>
    <x v="2"/>
  </r>
  <r>
    <s v="L1107"/>
    <x v="0"/>
    <s v="Warm"/>
    <d v="2025-10-18T00:00:00"/>
    <d v="2025-10-23T00:00:00"/>
    <d v="2025-10-24T00:00:00"/>
    <d v="2025-10-27T00:00:00"/>
    <s v="No"/>
    <m/>
    <d v="2025-11-11T00:00:00"/>
    <n v="5"/>
    <n v="1"/>
    <n v="3"/>
    <n v="10"/>
    <n v="1"/>
    <n v="1"/>
    <n v="1"/>
    <n v="1"/>
    <x v="3"/>
  </r>
  <r>
    <s v="L1108"/>
    <x v="1"/>
    <s v="Hot"/>
    <d v="2025-10-11T00:00:00"/>
    <d v="2025-10-12T00:00:00"/>
    <d v="2025-10-15T00:00:00"/>
    <d v="2025-10-18T00:00:00"/>
    <s v="No"/>
    <m/>
    <d v="2025-11-17T00:00:00"/>
    <n v="1"/>
    <n v="3"/>
    <n v="3"/>
    <n v="4"/>
    <n v="1"/>
    <n v="1"/>
    <n v="1"/>
    <n v="1"/>
    <x v="0"/>
  </r>
  <r>
    <s v="L1109"/>
    <x v="1"/>
    <s v="Cold"/>
    <d v="2025-10-12T00:00:00"/>
    <m/>
    <m/>
    <m/>
    <s v="Yes"/>
    <s v="Price"/>
    <m/>
    <m/>
    <m/>
    <m/>
    <m/>
    <n v="1"/>
    <n v="0"/>
    <n v="0"/>
    <n v="0"/>
    <x v="2"/>
  </r>
  <r>
    <s v="L1110"/>
    <x v="2"/>
    <s v="Cold"/>
    <d v="2025-10-23T00:00:00"/>
    <m/>
    <m/>
    <m/>
    <s v="Yes"/>
    <s v="Financing Issue"/>
    <m/>
    <m/>
    <m/>
    <m/>
    <m/>
    <n v="1"/>
    <n v="0"/>
    <n v="0"/>
    <n v="0"/>
    <x v="2"/>
  </r>
  <r>
    <s v="L1111"/>
    <x v="2"/>
    <s v="Warm"/>
    <d v="2025-10-15T00:00:00"/>
    <d v="2025-10-16T00:00:00"/>
    <d v="2025-10-17T00:00:00"/>
    <d v="2025-10-21T00:00:00"/>
    <s v="No"/>
    <m/>
    <d v="2025-11-02T00:00:00"/>
    <n v="1"/>
    <n v="1"/>
    <n v="4"/>
    <n v="2"/>
    <n v="1"/>
    <n v="1"/>
    <n v="1"/>
    <n v="1"/>
    <x v="0"/>
  </r>
  <r>
    <s v="L1112"/>
    <x v="2"/>
    <s v="Warm"/>
    <d v="2025-10-09T00:00:00"/>
    <d v="2025-10-11T00:00:00"/>
    <d v="2025-10-14T00:00:00"/>
    <d v="2025-10-19T00:00:00"/>
    <s v="Yes"/>
    <s v="Changed Mind"/>
    <m/>
    <n v="2"/>
    <n v="3"/>
    <n v="5"/>
    <m/>
    <n v="1"/>
    <n v="1"/>
    <n v="1"/>
    <n v="0"/>
    <x v="2"/>
  </r>
  <r>
    <s v="L1113"/>
    <x v="1"/>
    <s v="Hot"/>
    <d v="2025-10-10T00:00:00"/>
    <d v="2025-10-12T00:00:00"/>
    <d v="2025-10-16T00:00:00"/>
    <d v="2025-10-22T00:00:00"/>
    <s v="No"/>
    <m/>
    <d v="2025-11-21T00:00:00"/>
    <n v="2"/>
    <n v="4"/>
    <n v="6"/>
    <n v="6"/>
    <n v="1"/>
    <n v="1"/>
    <n v="1"/>
    <n v="1"/>
    <x v="0"/>
  </r>
  <r>
    <s v="L1114"/>
    <x v="3"/>
    <s v="Warm"/>
    <d v="2025-10-09T00:00:00"/>
    <d v="2025-10-14T00:00:00"/>
    <d v="2025-10-17T00:00:00"/>
    <d v="2025-10-19T00:00:00"/>
    <s v="No"/>
    <m/>
    <d v="2025-11-08T00:00:00"/>
    <n v="5"/>
    <n v="3"/>
    <n v="2"/>
    <n v="10"/>
    <n v="1"/>
    <n v="1"/>
    <n v="1"/>
    <n v="1"/>
    <x v="3"/>
  </r>
  <r>
    <s v="L1115"/>
    <x v="3"/>
    <s v="Hot"/>
    <d v="2025-10-08T00:00:00"/>
    <d v="2025-10-09T00:00:00"/>
    <d v="2025-10-13T00:00:00"/>
    <d v="2025-10-17T00:00:00"/>
    <s v="No"/>
    <m/>
    <d v="2025-11-10T00:00:00"/>
    <n v="1"/>
    <n v="4"/>
    <n v="4"/>
    <n v="8"/>
    <n v="1"/>
    <n v="1"/>
    <n v="1"/>
    <n v="1"/>
    <x v="1"/>
  </r>
  <r>
    <s v="L1116"/>
    <x v="1"/>
    <s v="Cold"/>
    <d v="2025-10-04T00:00:00"/>
    <m/>
    <m/>
    <m/>
    <s v="Yes"/>
    <s v="Changed Mind"/>
    <m/>
    <m/>
    <m/>
    <m/>
    <m/>
    <n v="1"/>
    <n v="0"/>
    <n v="0"/>
    <n v="0"/>
    <x v="2"/>
  </r>
  <r>
    <s v="L1117"/>
    <x v="1"/>
    <s v="Hot"/>
    <d v="2025-10-24T00:00:00"/>
    <d v="2025-10-25T00:00:00"/>
    <d v="2025-10-27T00:00:00"/>
    <d v="2025-10-29T00:00:00"/>
    <s v="No"/>
    <m/>
    <d v="2025-11-08T00:00:00"/>
    <n v="1"/>
    <n v="2"/>
    <n v="2"/>
    <n v="1"/>
    <n v="1"/>
    <n v="1"/>
    <n v="1"/>
    <n v="1"/>
    <x v="0"/>
  </r>
  <r>
    <s v="L1118"/>
    <x v="1"/>
    <s v="Warm"/>
    <d v="2025-10-07T00:00:00"/>
    <d v="2025-10-10T00:00:00"/>
    <d v="2025-10-12T00:00:00"/>
    <d v="2025-10-17T00:00:00"/>
    <s v="No"/>
    <m/>
    <d v="2025-11-04T00:00:00"/>
    <n v="3"/>
    <n v="2"/>
    <n v="5"/>
    <n v="5"/>
    <n v="1"/>
    <n v="1"/>
    <n v="1"/>
    <n v="1"/>
    <x v="0"/>
  </r>
  <r>
    <s v="L1119"/>
    <x v="1"/>
    <s v="Cold"/>
    <d v="2025-10-11T00:00:00"/>
    <m/>
    <m/>
    <m/>
    <s v="Yes"/>
    <s v="Other"/>
    <m/>
    <m/>
    <m/>
    <m/>
    <m/>
    <n v="1"/>
    <n v="0"/>
    <n v="0"/>
    <n v="0"/>
    <x v="2"/>
  </r>
  <r>
    <s v="L1120"/>
    <x v="1"/>
    <s v="Warm"/>
    <d v="2025-10-04T00:00:00"/>
    <d v="2025-10-08T00:00:00"/>
    <d v="2025-10-13T00:00:00"/>
    <d v="2025-10-16T00:00:00"/>
    <s v="No"/>
    <m/>
    <d v="2025-11-01T00:00:00"/>
    <n v="4"/>
    <n v="5"/>
    <n v="3"/>
    <n v="1"/>
    <n v="1"/>
    <n v="1"/>
    <n v="1"/>
    <n v="1"/>
    <x v="0"/>
  </r>
  <r>
    <s v="L1121"/>
    <x v="1"/>
    <s v="Hot"/>
    <d v="2025-10-24T00:00:00"/>
    <d v="2025-10-28T00:00:00"/>
    <d v="2025-10-31T00:00:00"/>
    <d v="2025-11-03T00:00:00"/>
    <s v="No"/>
    <m/>
    <d v="2025-11-20T00:00:00"/>
    <n v="4"/>
    <n v="3"/>
    <n v="3"/>
    <n v="2"/>
    <n v="1"/>
    <n v="1"/>
    <n v="1"/>
    <n v="1"/>
    <x v="0"/>
  </r>
  <r>
    <s v="L1122"/>
    <x v="2"/>
    <s v="Hot"/>
    <d v="2025-10-18T00:00:00"/>
    <d v="2025-10-22T00:00:00"/>
    <d v="2025-10-27T00:00:00"/>
    <d v="2025-11-01T00:00:00"/>
    <s v="No"/>
    <m/>
    <d v="2025-11-13T00:00:00"/>
    <n v="4"/>
    <n v="5"/>
    <n v="5"/>
    <n v="6"/>
    <n v="1"/>
    <n v="1"/>
    <n v="1"/>
    <n v="1"/>
    <x v="0"/>
  </r>
  <r>
    <s v="L1123"/>
    <x v="2"/>
    <s v="Hot"/>
    <d v="2025-10-31T00:00:00"/>
    <d v="2025-11-05T00:00:00"/>
    <d v="2025-11-08T00:00:00"/>
    <d v="2025-11-14T00:00:00"/>
    <s v="No"/>
    <m/>
    <d v="2025-12-05T00:00:00"/>
    <n v="5"/>
    <n v="3"/>
    <n v="6"/>
    <n v="5"/>
    <n v="1"/>
    <n v="1"/>
    <n v="1"/>
    <n v="1"/>
    <x v="0"/>
  </r>
  <r>
    <s v="L1124"/>
    <x v="2"/>
    <s v="Warm"/>
    <d v="2025-10-25T00:00:00"/>
    <d v="2025-10-29T00:00:00"/>
    <d v="2025-10-31T00:00:00"/>
    <d v="2025-11-06T00:00:00"/>
    <s v="No"/>
    <m/>
    <d v="2025-11-24T00:00:00"/>
    <n v="4"/>
    <n v="2"/>
    <n v="6"/>
    <n v="4"/>
    <n v="1"/>
    <n v="1"/>
    <n v="1"/>
    <n v="1"/>
    <x v="0"/>
  </r>
  <r>
    <s v="L1125"/>
    <x v="2"/>
    <s v="Hot"/>
    <d v="2025-10-23T00:00:00"/>
    <d v="2025-10-27T00:00:00"/>
    <d v="2025-10-28T00:00:00"/>
    <d v="2025-11-04T00:00:00"/>
    <s v="No"/>
    <m/>
    <d v="2025-11-17T00:00:00"/>
    <n v="4"/>
    <n v="1"/>
    <n v="7"/>
    <n v="0"/>
    <n v="1"/>
    <n v="1"/>
    <n v="1"/>
    <n v="1"/>
    <x v="0"/>
  </r>
  <r>
    <s v="L1126"/>
    <x v="1"/>
    <s v="Warm"/>
    <d v="2025-10-06T00:00:00"/>
    <d v="2025-10-09T00:00:00"/>
    <d v="2025-10-14T00:00:00"/>
    <d v="2025-10-19T00:00:00"/>
    <s v="No"/>
    <m/>
    <d v="2025-10-29T00:00:00"/>
    <n v="3"/>
    <n v="5"/>
    <n v="5"/>
    <n v="4"/>
    <n v="1"/>
    <n v="1"/>
    <n v="1"/>
    <n v="1"/>
    <x v="0"/>
  </r>
  <r>
    <s v="L1127"/>
    <x v="3"/>
    <s v="Cold"/>
    <d v="2025-10-07T00:00:00"/>
    <m/>
    <m/>
    <m/>
    <s v="Yes"/>
    <s v="Financing Issue"/>
    <m/>
    <m/>
    <m/>
    <m/>
    <m/>
    <n v="1"/>
    <n v="0"/>
    <n v="0"/>
    <n v="0"/>
    <x v="2"/>
  </r>
  <r>
    <s v="L1128"/>
    <x v="0"/>
    <s v="Hot"/>
    <d v="2025-10-07T00:00:00"/>
    <d v="2025-10-09T00:00:00"/>
    <d v="2025-10-14T00:00:00"/>
    <d v="2025-10-19T00:00:00"/>
    <s v="No"/>
    <m/>
    <d v="2025-10-30T00:00:00"/>
    <n v="2"/>
    <n v="5"/>
    <n v="5"/>
    <n v="4"/>
    <n v="1"/>
    <n v="1"/>
    <n v="1"/>
    <n v="1"/>
    <x v="0"/>
  </r>
  <r>
    <s v="L1129"/>
    <x v="1"/>
    <s v="Cold"/>
    <d v="2025-10-24T00:00:00"/>
    <m/>
    <m/>
    <m/>
    <s v="Yes"/>
    <s v="Financing Issue"/>
    <m/>
    <m/>
    <m/>
    <m/>
    <m/>
    <n v="1"/>
    <n v="0"/>
    <n v="0"/>
    <n v="0"/>
    <x v="2"/>
  </r>
  <r>
    <s v="L1130"/>
    <x v="0"/>
    <s v="Cold"/>
    <d v="2025-10-16T00:00:00"/>
    <m/>
    <m/>
    <m/>
    <s v="Yes"/>
    <s v="Price"/>
    <m/>
    <m/>
    <m/>
    <m/>
    <m/>
    <n v="1"/>
    <n v="0"/>
    <n v="0"/>
    <n v="0"/>
    <x v="2"/>
  </r>
  <r>
    <s v="L1131"/>
    <x v="3"/>
    <s v="Hot"/>
    <d v="2025-10-09T00:00:00"/>
    <d v="2025-10-14T00:00:00"/>
    <d v="2025-10-16T00:00:00"/>
    <d v="2025-10-23T00:00:00"/>
    <s v="No"/>
    <m/>
    <d v="2025-11-14T00:00:00"/>
    <n v="5"/>
    <n v="2"/>
    <n v="7"/>
    <n v="4"/>
    <n v="1"/>
    <n v="1"/>
    <n v="1"/>
    <n v="1"/>
    <x v="0"/>
  </r>
  <r>
    <s v="L1132"/>
    <x v="2"/>
    <s v="Cold"/>
    <d v="2025-10-24T00:00:00"/>
    <m/>
    <m/>
    <m/>
    <s v="Yes"/>
    <s v="Financing Issue"/>
    <m/>
    <m/>
    <m/>
    <m/>
    <m/>
    <n v="1"/>
    <n v="0"/>
    <n v="0"/>
    <n v="0"/>
    <x v="2"/>
  </r>
  <r>
    <s v="L1133"/>
    <x v="3"/>
    <s v="Warm"/>
    <d v="2025-10-19T00:00:00"/>
    <d v="2025-10-20T00:00:00"/>
    <d v="2025-10-22T00:00:00"/>
    <d v="2025-10-27T00:00:00"/>
    <s v="No"/>
    <m/>
    <d v="2025-11-20T00:00:00"/>
    <n v="1"/>
    <n v="2"/>
    <n v="5"/>
    <n v="2"/>
    <n v="1"/>
    <n v="1"/>
    <n v="1"/>
    <n v="1"/>
    <x v="0"/>
  </r>
  <r>
    <s v="L1134"/>
    <x v="1"/>
    <s v="Cold"/>
    <d v="2025-10-25T00:00:00"/>
    <m/>
    <m/>
    <m/>
    <s v="Yes"/>
    <s v="Model Unavailable"/>
    <m/>
    <m/>
    <m/>
    <m/>
    <m/>
    <n v="1"/>
    <n v="0"/>
    <n v="0"/>
    <n v="0"/>
    <x v="2"/>
  </r>
  <r>
    <s v="L1135"/>
    <x v="2"/>
    <s v="Warm"/>
    <d v="2025-10-17T00:00:00"/>
    <d v="2025-10-20T00:00:00"/>
    <d v="2025-10-21T00:00:00"/>
    <d v="2025-10-26T00:00:00"/>
    <s v="No"/>
    <m/>
    <d v="2025-11-18T00:00:00"/>
    <n v="3"/>
    <n v="1"/>
    <n v="5"/>
    <n v="3"/>
    <n v="1"/>
    <n v="1"/>
    <n v="1"/>
    <n v="1"/>
    <x v="0"/>
  </r>
  <r>
    <s v="L1136"/>
    <x v="1"/>
    <s v="Warm"/>
    <d v="2025-10-20T00:00:00"/>
    <d v="2025-10-24T00:00:00"/>
    <d v="2025-10-29T00:00:00"/>
    <d v="2025-11-05T00:00:00"/>
    <s v="No"/>
    <m/>
    <d v="2025-11-20T00:00:00"/>
    <n v="4"/>
    <n v="5"/>
    <n v="7"/>
    <n v="0"/>
    <n v="1"/>
    <n v="1"/>
    <n v="1"/>
    <n v="1"/>
    <x v="0"/>
  </r>
  <r>
    <s v="L1137"/>
    <x v="2"/>
    <s v="Warm"/>
    <d v="2025-10-10T00:00:00"/>
    <d v="2025-10-11T00:00:00"/>
    <d v="2025-10-13T00:00:00"/>
    <d v="2025-10-18T00:00:00"/>
    <s v="Yes"/>
    <s v="Price"/>
    <m/>
    <n v="1"/>
    <n v="2"/>
    <n v="5"/>
    <m/>
    <n v="1"/>
    <n v="1"/>
    <n v="1"/>
    <n v="0"/>
    <x v="2"/>
  </r>
  <r>
    <s v="L1138"/>
    <x v="0"/>
    <s v="Cold"/>
    <d v="2025-10-04T00:00:00"/>
    <m/>
    <m/>
    <m/>
    <s v="Yes"/>
    <s v="Model Unavailable"/>
    <m/>
    <m/>
    <m/>
    <m/>
    <m/>
    <n v="1"/>
    <n v="0"/>
    <n v="0"/>
    <n v="0"/>
    <x v="2"/>
  </r>
  <r>
    <s v="L1139"/>
    <x v="0"/>
    <s v="Warm"/>
    <d v="2025-10-27T00:00:00"/>
    <d v="2025-10-30T00:00:00"/>
    <d v="2025-11-01T00:00:00"/>
    <d v="2025-11-06T00:00:00"/>
    <s v="No"/>
    <m/>
    <d v="2025-11-29T00:00:00"/>
    <n v="3"/>
    <n v="2"/>
    <n v="5"/>
    <n v="5"/>
    <n v="1"/>
    <n v="1"/>
    <n v="1"/>
    <n v="1"/>
    <x v="0"/>
  </r>
  <r>
    <s v="L1140"/>
    <x v="0"/>
    <s v="Warm"/>
    <d v="2025-10-07T00:00:00"/>
    <d v="2025-10-12T00:00:00"/>
    <d v="2025-10-13T00:00:00"/>
    <d v="2025-10-16T00:00:00"/>
    <s v="No"/>
    <m/>
    <d v="2025-11-10T00:00:00"/>
    <n v="5"/>
    <n v="1"/>
    <n v="3"/>
    <n v="0"/>
    <n v="1"/>
    <n v="1"/>
    <n v="1"/>
    <n v="1"/>
    <x v="0"/>
  </r>
  <r>
    <s v="L1141"/>
    <x v="3"/>
    <s v="Cold"/>
    <d v="2025-10-10T00:00:00"/>
    <m/>
    <m/>
    <m/>
    <s v="Yes"/>
    <s v="Other"/>
    <m/>
    <m/>
    <m/>
    <m/>
    <m/>
    <n v="1"/>
    <n v="0"/>
    <n v="0"/>
    <n v="0"/>
    <x v="2"/>
  </r>
  <r>
    <s v="L1142"/>
    <x v="1"/>
    <s v="Hot"/>
    <d v="2025-10-08T00:00:00"/>
    <d v="2025-10-12T00:00:00"/>
    <d v="2025-10-13T00:00:00"/>
    <d v="2025-10-15T00:00:00"/>
    <s v="No"/>
    <m/>
    <d v="2025-11-06T00:00:00"/>
    <n v="4"/>
    <n v="1"/>
    <n v="2"/>
    <n v="4"/>
    <n v="1"/>
    <n v="1"/>
    <n v="1"/>
    <n v="1"/>
    <x v="0"/>
  </r>
  <r>
    <s v="L1143"/>
    <x v="3"/>
    <s v="Hot"/>
    <d v="2025-10-12T00:00:00"/>
    <d v="2025-10-17T00:00:00"/>
    <d v="2025-10-21T00:00:00"/>
    <d v="2025-10-27T00:00:00"/>
    <s v="No"/>
    <m/>
    <d v="2025-11-17T00:00:00"/>
    <n v="5"/>
    <n v="4"/>
    <n v="6"/>
    <n v="1"/>
    <n v="1"/>
    <n v="1"/>
    <n v="1"/>
    <n v="1"/>
    <x v="0"/>
  </r>
  <r>
    <s v="L1144"/>
    <x v="0"/>
    <s v="Hot"/>
    <d v="2025-10-06T00:00:00"/>
    <d v="2025-10-09T00:00:00"/>
    <d v="2025-10-12T00:00:00"/>
    <d v="2025-10-14T00:00:00"/>
    <s v="No"/>
    <m/>
    <d v="2025-11-10T00:00:00"/>
    <n v="3"/>
    <n v="3"/>
    <n v="2"/>
    <n v="6"/>
    <n v="1"/>
    <n v="1"/>
    <n v="1"/>
    <n v="1"/>
    <x v="0"/>
  </r>
  <r>
    <s v="L1145"/>
    <x v="1"/>
    <s v="Warm"/>
    <d v="2025-10-10T00:00:00"/>
    <d v="2025-10-11T00:00:00"/>
    <d v="2025-10-15T00:00:00"/>
    <d v="2025-10-18T00:00:00"/>
    <s v="No"/>
    <m/>
    <d v="2025-11-09T00:00:00"/>
    <n v="1"/>
    <n v="4"/>
    <n v="3"/>
    <n v="1"/>
    <n v="1"/>
    <n v="1"/>
    <n v="1"/>
    <n v="1"/>
    <x v="0"/>
  </r>
  <r>
    <s v="L1146"/>
    <x v="0"/>
    <s v="Hot"/>
    <d v="2025-10-01T00:00:00"/>
    <d v="2025-10-03T00:00:00"/>
    <d v="2025-10-04T00:00:00"/>
    <d v="2025-10-08T00:00:00"/>
    <s v="No"/>
    <m/>
    <d v="2025-10-21T00:00:00"/>
    <n v="2"/>
    <n v="1"/>
    <n v="4"/>
    <n v="6"/>
    <n v="1"/>
    <n v="1"/>
    <n v="1"/>
    <n v="1"/>
    <x v="0"/>
  </r>
  <r>
    <s v="L1147"/>
    <x v="3"/>
    <s v="Cold"/>
    <d v="2025-10-23T00:00:00"/>
    <m/>
    <m/>
    <m/>
    <s v="Yes"/>
    <s v="Changed Mind"/>
    <m/>
    <m/>
    <m/>
    <m/>
    <m/>
    <n v="1"/>
    <n v="0"/>
    <n v="0"/>
    <n v="0"/>
    <x v="2"/>
  </r>
  <r>
    <s v="L1148"/>
    <x v="3"/>
    <s v="Hot"/>
    <d v="2025-10-18T00:00:00"/>
    <d v="2025-10-22T00:00:00"/>
    <d v="2025-10-24T00:00:00"/>
    <d v="2025-10-26T00:00:00"/>
    <s v="No"/>
    <m/>
    <d v="2025-11-20T00:00:00"/>
    <n v="4"/>
    <n v="2"/>
    <n v="2"/>
    <n v="5"/>
    <n v="1"/>
    <n v="1"/>
    <n v="1"/>
    <n v="1"/>
    <x v="0"/>
  </r>
  <r>
    <s v="L1149"/>
    <x v="3"/>
    <s v="Warm"/>
    <d v="2025-10-05T00:00:00"/>
    <d v="2025-10-10T00:00:00"/>
    <d v="2025-10-11T00:00:00"/>
    <d v="2025-10-15T00:00:00"/>
    <s v="No"/>
    <m/>
    <d v="2025-11-12T00:00:00"/>
    <n v="5"/>
    <n v="1"/>
    <n v="4"/>
    <n v="4"/>
    <n v="1"/>
    <n v="1"/>
    <n v="1"/>
    <n v="1"/>
    <x v="0"/>
  </r>
  <r>
    <s v="L1150"/>
    <x v="0"/>
    <s v="Hot"/>
    <d v="2025-10-09T00:00:00"/>
    <d v="2025-10-10T00:00:00"/>
    <d v="2025-10-15T00:00:00"/>
    <d v="2025-10-18T00:00:00"/>
    <s v="No"/>
    <m/>
    <d v="2025-11-17T00:00:00"/>
    <n v="1"/>
    <n v="5"/>
    <n v="3"/>
    <n v="2"/>
    <n v="1"/>
    <n v="1"/>
    <n v="1"/>
    <n v="1"/>
    <x v="0"/>
  </r>
  <r>
    <s v="L1151"/>
    <x v="1"/>
    <s v="Cold"/>
    <d v="2025-10-02T00:00:00"/>
    <m/>
    <m/>
    <m/>
    <s v="Yes"/>
    <s v="Other"/>
    <m/>
    <m/>
    <m/>
    <m/>
    <m/>
    <n v="1"/>
    <n v="0"/>
    <n v="0"/>
    <n v="0"/>
    <x v="2"/>
  </r>
  <r>
    <s v="L1152"/>
    <x v="1"/>
    <s v="Cold"/>
    <d v="2025-10-02T00:00:00"/>
    <m/>
    <m/>
    <m/>
    <s v="Yes"/>
    <s v="Changed Mind"/>
    <m/>
    <m/>
    <m/>
    <m/>
    <m/>
    <n v="1"/>
    <n v="0"/>
    <n v="0"/>
    <n v="0"/>
    <x v="2"/>
  </r>
  <r>
    <s v="L1153"/>
    <x v="0"/>
    <s v="Warm"/>
    <d v="2025-10-18T00:00:00"/>
    <d v="2025-10-19T00:00:00"/>
    <d v="2025-10-21T00:00:00"/>
    <d v="2025-10-27T00:00:00"/>
    <s v="No"/>
    <m/>
    <d v="2025-11-13T00:00:00"/>
    <n v="1"/>
    <n v="2"/>
    <n v="6"/>
    <n v="7"/>
    <n v="1"/>
    <n v="1"/>
    <n v="1"/>
    <n v="1"/>
    <x v="1"/>
  </r>
  <r>
    <s v="L1154"/>
    <x v="1"/>
    <s v="Cold"/>
    <d v="2025-10-10T00:00:00"/>
    <m/>
    <m/>
    <m/>
    <s v="Yes"/>
    <s v="Other"/>
    <m/>
    <m/>
    <m/>
    <m/>
    <m/>
    <n v="1"/>
    <n v="0"/>
    <n v="0"/>
    <n v="0"/>
    <x v="2"/>
  </r>
  <r>
    <s v="L1155"/>
    <x v="0"/>
    <s v="Hot"/>
    <d v="2025-10-23T00:00:00"/>
    <d v="2025-10-25T00:00:00"/>
    <d v="2025-10-29T00:00:00"/>
    <d v="2025-11-02T00:00:00"/>
    <s v="No"/>
    <m/>
    <d v="2025-11-17T00:00:00"/>
    <n v="2"/>
    <n v="4"/>
    <n v="4"/>
    <n v="4"/>
    <n v="1"/>
    <n v="1"/>
    <n v="1"/>
    <n v="1"/>
    <x v="0"/>
  </r>
  <r>
    <s v="L1156"/>
    <x v="1"/>
    <s v="Cold"/>
    <d v="2025-10-31T00:00:00"/>
    <m/>
    <m/>
    <m/>
    <s v="Yes"/>
    <s v="Financing Issue"/>
    <m/>
    <m/>
    <m/>
    <m/>
    <m/>
    <n v="1"/>
    <n v="0"/>
    <n v="0"/>
    <n v="0"/>
    <x v="2"/>
  </r>
  <r>
    <s v="L1157"/>
    <x v="2"/>
    <s v="Hot"/>
    <d v="2025-10-05T00:00:00"/>
    <d v="2025-10-08T00:00:00"/>
    <d v="2025-10-12T00:00:00"/>
    <d v="2025-10-15T00:00:00"/>
    <s v="No"/>
    <m/>
    <d v="2025-11-08T00:00:00"/>
    <n v="3"/>
    <n v="4"/>
    <n v="3"/>
    <n v="8"/>
    <n v="1"/>
    <n v="1"/>
    <n v="1"/>
    <n v="1"/>
    <x v="1"/>
  </r>
  <r>
    <s v="L1158"/>
    <x v="2"/>
    <s v="Cold"/>
    <d v="2025-10-21T00:00:00"/>
    <m/>
    <m/>
    <m/>
    <s v="Yes"/>
    <s v="Model Unavailable"/>
    <m/>
    <m/>
    <m/>
    <m/>
    <m/>
    <n v="1"/>
    <n v="0"/>
    <n v="0"/>
    <n v="0"/>
    <x v="2"/>
  </r>
  <r>
    <s v="L1159"/>
    <x v="3"/>
    <s v="Hot"/>
    <d v="2025-10-28T00:00:00"/>
    <d v="2025-10-30T00:00:00"/>
    <d v="2025-11-03T00:00:00"/>
    <d v="2025-11-08T00:00:00"/>
    <s v="No"/>
    <m/>
    <d v="2025-11-20T00:00:00"/>
    <n v="2"/>
    <n v="4"/>
    <n v="5"/>
    <n v="5"/>
    <n v="1"/>
    <n v="1"/>
    <n v="1"/>
    <n v="1"/>
    <x v="0"/>
  </r>
  <r>
    <s v="L1160"/>
    <x v="2"/>
    <s v="Warm"/>
    <d v="2025-10-25T00:00:00"/>
    <d v="2025-10-27T00:00:00"/>
    <d v="2025-10-29T00:00:00"/>
    <d v="2025-11-04T00:00:00"/>
    <s v="No"/>
    <m/>
    <d v="2025-11-15T00:00:00"/>
    <n v="2"/>
    <n v="2"/>
    <n v="6"/>
    <n v="3"/>
    <n v="1"/>
    <n v="1"/>
    <n v="1"/>
    <n v="1"/>
    <x v="0"/>
  </r>
  <r>
    <s v="L1161"/>
    <x v="2"/>
    <s v="Warm"/>
    <d v="2025-10-16T00:00:00"/>
    <d v="2025-10-19T00:00:00"/>
    <d v="2025-10-22T00:00:00"/>
    <d v="2025-10-29T00:00:00"/>
    <s v="No"/>
    <m/>
    <d v="2025-11-17T00:00:00"/>
    <n v="3"/>
    <n v="3"/>
    <n v="7"/>
    <n v="2"/>
    <n v="1"/>
    <n v="1"/>
    <n v="1"/>
    <n v="1"/>
    <x v="0"/>
  </r>
  <r>
    <s v="L1162"/>
    <x v="2"/>
    <s v="Hot"/>
    <d v="2025-10-04T00:00:00"/>
    <d v="2025-10-07T00:00:00"/>
    <d v="2025-10-10T00:00:00"/>
    <d v="2025-10-15T00:00:00"/>
    <s v="No"/>
    <m/>
    <d v="2025-10-25T00:00:00"/>
    <n v="3"/>
    <n v="3"/>
    <n v="5"/>
    <n v="7"/>
    <n v="1"/>
    <n v="1"/>
    <n v="1"/>
    <n v="1"/>
    <x v="1"/>
  </r>
  <r>
    <s v="L1163"/>
    <x v="0"/>
    <s v="Hot"/>
    <d v="2025-10-28T00:00:00"/>
    <d v="2025-10-31T00:00:00"/>
    <d v="2025-11-03T00:00:00"/>
    <d v="2025-11-09T00:00:00"/>
    <s v="No"/>
    <m/>
    <d v="2025-11-29T00:00:00"/>
    <n v="3"/>
    <n v="3"/>
    <n v="6"/>
    <n v="5"/>
    <n v="1"/>
    <n v="1"/>
    <n v="1"/>
    <n v="1"/>
    <x v="0"/>
  </r>
  <r>
    <s v="L1164"/>
    <x v="2"/>
    <s v="Hot"/>
    <d v="2025-10-01T00:00:00"/>
    <d v="2025-10-02T00:00:00"/>
    <d v="2025-10-03T00:00:00"/>
    <d v="2025-10-09T00:00:00"/>
    <s v="No"/>
    <m/>
    <d v="2025-10-27T00:00:00"/>
    <n v="1"/>
    <n v="1"/>
    <n v="6"/>
    <n v="6"/>
    <n v="1"/>
    <n v="1"/>
    <n v="1"/>
    <n v="1"/>
    <x v="0"/>
  </r>
  <r>
    <s v="L1165"/>
    <x v="2"/>
    <s v="Warm"/>
    <d v="2025-10-19T00:00:00"/>
    <d v="2025-10-20T00:00:00"/>
    <d v="2025-10-21T00:00:00"/>
    <d v="2025-10-23T00:00:00"/>
    <s v="No"/>
    <m/>
    <d v="2025-11-05T00:00:00"/>
    <n v="1"/>
    <n v="1"/>
    <n v="2"/>
    <n v="2"/>
    <n v="1"/>
    <n v="1"/>
    <n v="1"/>
    <n v="1"/>
    <x v="0"/>
  </r>
  <r>
    <s v="L1166"/>
    <x v="3"/>
    <s v="Warm"/>
    <d v="2025-10-10T00:00:00"/>
    <d v="2025-10-14T00:00:00"/>
    <d v="2025-10-19T00:00:00"/>
    <d v="2025-10-25T00:00:00"/>
    <s v="Yes"/>
    <s v="Changed Mind"/>
    <m/>
    <n v="4"/>
    <n v="5"/>
    <n v="6"/>
    <m/>
    <n v="1"/>
    <n v="1"/>
    <n v="1"/>
    <n v="0"/>
    <x v="2"/>
  </r>
  <r>
    <s v="L1167"/>
    <x v="2"/>
    <s v="Hot"/>
    <d v="2025-10-16T00:00:00"/>
    <d v="2025-10-20T00:00:00"/>
    <d v="2025-10-22T00:00:00"/>
    <d v="2025-10-24T00:00:00"/>
    <s v="Yes"/>
    <s v="Price"/>
    <m/>
    <n v="4"/>
    <n v="2"/>
    <n v="2"/>
    <m/>
    <n v="1"/>
    <n v="1"/>
    <n v="1"/>
    <n v="0"/>
    <x v="2"/>
  </r>
  <r>
    <s v="L1168"/>
    <x v="2"/>
    <s v="Warm"/>
    <d v="2025-10-16T00:00:00"/>
    <d v="2025-10-18T00:00:00"/>
    <d v="2025-10-23T00:00:00"/>
    <d v="2025-10-27T00:00:00"/>
    <s v="No"/>
    <m/>
    <d v="2025-11-08T00:00:00"/>
    <n v="2"/>
    <n v="5"/>
    <n v="4"/>
    <n v="5"/>
    <n v="1"/>
    <n v="1"/>
    <n v="1"/>
    <n v="1"/>
    <x v="0"/>
  </r>
  <r>
    <s v="L1169"/>
    <x v="1"/>
    <s v="Hot"/>
    <d v="2025-10-15T00:00:00"/>
    <d v="2025-10-17T00:00:00"/>
    <d v="2025-10-18T00:00:00"/>
    <d v="2025-10-24T00:00:00"/>
    <s v="No"/>
    <m/>
    <d v="2025-11-13T00:00:00"/>
    <n v="2"/>
    <n v="1"/>
    <n v="6"/>
    <n v="2"/>
    <n v="1"/>
    <n v="1"/>
    <n v="1"/>
    <n v="1"/>
    <x v="0"/>
  </r>
  <r>
    <s v="L1170"/>
    <x v="3"/>
    <s v="Cold"/>
    <d v="2025-10-11T00:00:00"/>
    <m/>
    <m/>
    <m/>
    <s v="Yes"/>
    <s v="Model Unavailable"/>
    <m/>
    <m/>
    <m/>
    <m/>
    <m/>
    <n v="1"/>
    <n v="0"/>
    <n v="0"/>
    <n v="0"/>
    <x v="2"/>
  </r>
  <r>
    <s v="L1171"/>
    <x v="3"/>
    <s v="Hot"/>
    <d v="2025-10-06T00:00:00"/>
    <d v="2025-10-10T00:00:00"/>
    <d v="2025-10-12T00:00:00"/>
    <d v="2025-10-16T00:00:00"/>
    <s v="No"/>
    <m/>
    <d v="2025-10-31T00:00:00"/>
    <n v="4"/>
    <n v="2"/>
    <n v="4"/>
    <n v="1"/>
    <n v="1"/>
    <n v="1"/>
    <n v="1"/>
    <n v="1"/>
    <x v="0"/>
  </r>
  <r>
    <s v="L1172"/>
    <x v="3"/>
    <s v="Hot"/>
    <d v="2025-10-31T00:00:00"/>
    <d v="2025-11-05T00:00:00"/>
    <d v="2025-11-09T00:00:00"/>
    <d v="2025-11-15T00:00:00"/>
    <s v="No"/>
    <m/>
    <d v="2025-12-07T00:00:00"/>
    <n v="5"/>
    <n v="4"/>
    <n v="6"/>
    <n v="8"/>
    <n v="1"/>
    <n v="1"/>
    <n v="1"/>
    <n v="1"/>
    <x v="1"/>
  </r>
  <r>
    <s v="L1173"/>
    <x v="3"/>
    <s v="Hot"/>
    <d v="2025-10-02T00:00:00"/>
    <d v="2025-10-04T00:00:00"/>
    <d v="2025-10-06T00:00:00"/>
    <d v="2025-10-08T00:00:00"/>
    <s v="No"/>
    <m/>
    <d v="2025-10-23T00:00:00"/>
    <n v="2"/>
    <n v="2"/>
    <n v="2"/>
    <n v="6"/>
    <n v="1"/>
    <n v="1"/>
    <n v="1"/>
    <n v="1"/>
    <x v="0"/>
  </r>
  <r>
    <s v="L1174"/>
    <x v="3"/>
    <s v="Warm"/>
    <d v="2025-10-09T00:00:00"/>
    <d v="2025-10-14T00:00:00"/>
    <d v="2025-10-15T00:00:00"/>
    <d v="2025-10-22T00:00:00"/>
    <s v="No"/>
    <m/>
    <d v="2025-11-03T00:00:00"/>
    <n v="5"/>
    <n v="1"/>
    <n v="7"/>
    <n v="6"/>
    <n v="1"/>
    <n v="1"/>
    <n v="1"/>
    <n v="1"/>
    <x v="0"/>
  </r>
  <r>
    <s v="L1175"/>
    <x v="3"/>
    <s v="Cold"/>
    <d v="2025-10-31T00:00:00"/>
    <m/>
    <m/>
    <m/>
    <s v="Yes"/>
    <s v="Price"/>
    <m/>
    <m/>
    <m/>
    <m/>
    <m/>
    <n v="1"/>
    <n v="0"/>
    <n v="0"/>
    <n v="0"/>
    <x v="2"/>
  </r>
  <r>
    <s v="L1176"/>
    <x v="0"/>
    <s v="Warm"/>
    <d v="2025-10-28T00:00:00"/>
    <d v="2025-11-02T00:00:00"/>
    <d v="2025-11-06T00:00:00"/>
    <d v="2025-11-11T00:00:00"/>
    <s v="No"/>
    <m/>
    <d v="2025-12-08T00:00:00"/>
    <n v="5"/>
    <n v="4"/>
    <n v="5"/>
    <n v="3"/>
    <n v="1"/>
    <n v="1"/>
    <n v="1"/>
    <n v="1"/>
    <x v="0"/>
  </r>
  <r>
    <s v="L1177"/>
    <x v="2"/>
    <s v="Hot"/>
    <d v="2025-10-16T00:00:00"/>
    <d v="2025-10-19T00:00:00"/>
    <d v="2025-10-23T00:00:00"/>
    <d v="2025-10-29T00:00:00"/>
    <s v="No"/>
    <m/>
    <d v="2025-11-10T00:00:00"/>
    <n v="3"/>
    <n v="4"/>
    <n v="6"/>
    <n v="5"/>
    <n v="1"/>
    <n v="1"/>
    <n v="1"/>
    <n v="1"/>
    <x v="0"/>
  </r>
  <r>
    <s v="L1178"/>
    <x v="3"/>
    <s v="Warm"/>
    <d v="2025-10-04T00:00:00"/>
    <d v="2025-10-05T00:00:00"/>
    <d v="2025-10-07T00:00:00"/>
    <d v="2025-10-10T00:00:00"/>
    <s v="No"/>
    <m/>
    <d v="2025-10-30T00:00:00"/>
    <n v="1"/>
    <n v="2"/>
    <n v="3"/>
    <n v="9"/>
    <n v="1"/>
    <n v="1"/>
    <n v="1"/>
    <n v="1"/>
    <x v="3"/>
  </r>
  <r>
    <s v="L1179"/>
    <x v="2"/>
    <s v="Warm"/>
    <d v="2025-10-27T00:00:00"/>
    <d v="2025-10-31T00:00:00"/>
    <d v="2025-11-03T00:00:00"/>
    <d v="2025-11-08T00:00:00"/>
    <s v="No"/>
    <m/>
    <d v="2025-12-07T00:00:00"/>
    <n v="4"/>
    <n v="3"/>
    <n v="5"/>
    <n v="4"/>
    <n v="1"/>
    <n v="1"/>
    <n v="1"/>
    <n v="1"/>
    <x v="0"/>
  </r>
  <r>
    <s v="L1180"/>
    <x v="2"/>
    <s v="Hot"/>
    <d v="2025-10-03T00:00:00"/>
    <d v="2025-10-04T00:00:00"/>
    <d v="2025-10-05T00:00:00"/>
    <d v="2025-10-07T00:00:00"/>
    <s v="No"/>
    <m/>
    <d v="2025-11-05T00:00:00"/>
    <n v="1"/>
    <n v="1"/>
    <n v="2"/>
    <n v="1"/>
    <n v="1"/>
    <n v="1"/>
    <n v="1"/>
    <n v="1"/>
    <x v="0"/>
  </r>
  <r>
    <s v="L1181"/>
    <x v="0"/>
    <s v="Warm"/>
    <d v="2025-10-13T00:00:00"/>
    <d v="2025-10-17T00:00:00"/>
    <d v="2025-10-18T00:00:00"/>
    <d v="2025-10-25T00:00:00"/>
    <s v="No"/>
    <m/>
    <d v="2025-11-19T00:00:00"/>
    <n v="4"/>
    <n v="1"/>
    <n v="7"/>
    <n v="4"/>
    <n v="1"/>
    <n v="1"/>
    <n v="1"/>
    <n v="1"/>
    <x v="0"/>
  </r>
  <r>
    <s v="L1182"/>
    <x v="3"/>
    <s v="Cold"/>
    <d v="2025-10-16T00:00:00"/>
    <m/>
    <m/>
    <m/>
    <s v="Yes"/>
    <s v="Model Unavailable"/>
    <m/>
    <m/>
    <m/>
    <m/>
    <m/>
    <n v="1"/>
    <n v="0"/>
    <n v="0"/>
    <n v="0"/>
    <x v="2"/>
  </r>
  <r>
    <s v="L1183"/>
    <x v="1"/>
    <s v="Hot"/>
    <d v="2025-10-03T00:00:00"/>
    <d v="2025-10-04T00:00:00"/>
    <d v="2025-10-07T00:00:00"/>
    <d v="2025-10-14T00:00:00"/>
    <s v="No"/>
    <m/>
    <d v="2025-10-24T00:00:00"/>
    <n v="1"/>
    <n v="3"/>
    <n v="7"/>
    <n v="6"/>
    <n v="1"/>
    <n v="1"/>
    <n v="1"/>
    <n v="1"/>
    <x v="0"/>
  </r>
  <r>
    <s v="L1184"/>
    <x v="0"/>
    <s v="Warm"/>
    <d v="2025-10-19T00:00:00"/>
    <d v="2025-10-23T00:00:00"/>
    <d v="2025-10-28T00:00:00"/>
    <d v="2025-10-31T00:00:00"/>
    <s v="No"/>
    <m/>
    <d v="2025-11-23T00:00:00"/>
    <n v="4"/>
    <n v="5"/>
    <n v="3"/>
    <n v="3"/>
    <n v="1"/>
    <n v="1"/>
    <n v="1"/>
    <n v="1"/>
    <x v="0"/>
  </r>
  <r>
    <s v="L1185"/>
    <x v="1"/>
    <s v="Warm"/>
    <d v="2025-10-21T00:00:00"/>
    <d v="2025-10-22T00:00:00"/>
    <d v="2025-10-27T00:00:00"/>
    <d v="2025-10-31T00:00:00"/>
    <s v="No"/>
    <m/>
    <d v="2025-11-30T00:00:00"/>
    <n v="1"/>
    <n v="5"/>
    <n v="4"/>
    <n v="2"/>
    <n v="1"/>
    <n v="1"/>
    <n v="1"/>
    <n v="1"/>
    <x v="0"/>
  </r>
  <r>
    <s v="L1186"/>
    <x v="2"/>
    <s v="Warm"/>
    <d v="2025-10-22T00:00:00"/>
    <d v="2025-10-25T00:00:00"/>
    <d v="2025-10-26T00:00:00"/>
    <d v="2025-10-28T00:00:00"/>
    <s v="No"/>
    <m/>
    <d v="2025-11-12T00:00:00"/>
    <n v="3"/>
    <n v="1"/>
    <n v="2"/>
    <n v="3"/>
    <n v="1"/>
    <n v="1"/>
    <n v="1"/>
    <n v="1"/>
    <x v="0"/>
  </r>
  <r>
    <s v="L1187"/>
    <x v="2"/>
    <s v="Hot"/>
    <d v="2025-10-02T00:00:00"/>
    <d v="2025-10-07T00:00:00"/>
    <d v="2025-10-10T00:00:00"/>
    <d v="2025-10-15T00:00:00"/>
    <s v="No"/>
    <m/>
    <d v="2025-11-13T00:00:00"/>
    <n v="5"/>
    <n v="3"/>
    <n v="5"/>
    <n v="7"/>
    <n v="1"/>
    <n v="1"/>
    <n v="1"/>
    <n v="1"/>
    <x v="1"/>
  </r>
  <r>
    <s v="L1188"/>
    <x v="0"/>
    <s v="Hot"/>
    <d v="2025-10-05T00:00:00"/>
    <d v="2025-10-09T00:00:00"/>
    <d v="2025-10-12T00:00:00"/>
    <d v="2025-10-16T00:00:00"/>
    <s v="No"/>
    <m/>
    <d v="2025-11-08T00:00:00"/>
    <n v="4"/>
    <n v="3"/>
    <n v="4"/>
    <n v="9"/>
    <n v="1"/>
    <n v="1"/>
    <n v="1"/>
    <n v="1"/>
    <x v="3"/>
  </r>
  <r>
    <s v="L1189"/>
    <x v="0"/>
    <s v="Cold"/>
    <d v="2025-10-05T00:00:00"/>
    <m/>
    <m/>
    <m/>
    <s v="Yes"/>
    <s v="Model Unavailable"/>
    <m/>
    <m/>
    <m/>
    <m/>
    <m/>
    <n v="1"/>
    <n v="0"/>
    <n v="0"/>
    <n v="0"/>
    <x v="2"/>
  </r>
  <r>
    <s v="L1190"/>
    <x v="1"/>
    <s v="Cold"/>
    <d v="2025-10-26T00:00:00"/>
    <m/>
    <m/>
    <m/>
    <s v="Yes"/>
    <s v="Other"/>
    <m/>
    <m/>
    <m/>
    <m/>
    <m/>
    <n v="1"/>
    <n v="0"/>
    <n v="0"/>
    <n v="0"/>
    <x v="2"/>
  </r>
  <r>
    <s v="L1191"/>
    <x v="3"/>
    <s v="Warm"/>
    <d v="2025-10-19T00:00:00"/>
    <d v="2025-10-24T00:00:00"/>
    <d v="2025-10-28T00:00:00"/>
    <d v="2025-11-01T00:00:00"/>
    <s v="No"/>
    <m/>
    <d v="2025-11-16T00:00:00"/>
    <n v="5"/>
    <n v="4"/>
    <n v="4"/>
    <n v="10"/>
    <n v="1"/>
    <n v="1"/>
    <n v="1"/>
    <n v="1"/>
    <x v="3"/>
  </r>
  <r>
    <s v="L1192"/>
    <x v="1"/>
    <s v="Warm"/>
    <d v="2025-10-31T00:00:00"/>
    <d v="2025-11-04T00:00:00"/>
    <d v="2025-11-09T00:00:00"/>
    <d v="2025-11-11T00:00:00"/>
    <s v="Yes"/>
    <s v="Changed Mind"/>
    <m/>
    <n v="4"/>
    <n v="5"/>
    <n v="2"/>
    <m/>
    <n v="1"/>
    <n v="1"/>
    <n v="1"/>
    <n v="0"/>
    <x v="2"/>
  </r>
  <r>
    <s v="L1193"/>
    <x v="0"/>
    <s v="Warm"/>
    <d v="2025-10-10T00:00:00"/>
    <d v="2025-10-14T00:00:00"/>
    <d v="2025-10-19T00:00:00"/>
    <d v="2025-10-24T00:00:00"/>
    <s v="No"/>
    <m/>
    <d v="2025-11-04T00:00:00"/>
    <n v="4"/>
    <n v="5"/>
    <n v="5"/>
    <n v="5"/>
    <n v="1"/>
    <n v="1"/>
    <n v="1"/>
    <n v="1"/>
    <x v="0"/>
  </r>
  <r>
    <s v="L1194"/>
    <x v="1"/>
    <s v="Warm"/>
    <d v="2025-10-03T00:00:00"/>
    <d v="2025-10-06T00:00:00"/>
    <d v="2025-10-10T00:00:00"/>
    <d v="2025-10-12T00:00:00"/>
    <s v="No"/>
    <m/>
    <d v="2025-10-25T00:00:00"/>
    <n v="3"/>
    <n v="4"/>
    <n v="2"/>
    <n v="3"/>
    <n v="1"/>
    <n v="1"/>
    <n v="1"/>
    <n v="1"/>
    <x v="0"/>
  </r>
  <r>
    <s v="L1195"/>
    <x v="0"/>
    <s v="Warm"/>
    <d v="2025-10-08T00:00:00"/>
    <d v="2025-10-09T00:00:00"/>
    <d v="2025-10-11T00:00:00"/>
    <d v="2025-10-14T00:00:00"/>
    <s v="No"/>
    <m/>
    <d v="2025-11-03T00:00:00"/>
    <n v="1"/>
    <n v="2"/>
    <n v="3"/>
    <n v="9"/>
    <n v="1"/>
    <n v="1"/>
    <n v="1"/>
    <n v="1"/>
    <x v="3"/>
  </r>
  <r>
    <s v="L1196"/>
    <x v="1"/>
    <s v="Hot"/>
    <d v="2025-10-04T00:00:00"/>
    <d v="2025-10-08T00:00:00"/>
    <d v="2025-10-13T00:00:00"/>
    <d v="2025-10-16T00:00:00"/>
    <s v="No"/>
    <m/>
    <d v="2025-11-01T00:00:00"/>
    <n v="4"/>
    <n v="5"/>
    <n v="3"/>
    <n v="10"/>
    <n v="1"/>
    <n v="1"/>
    <n v="1"/>
    <n v="1"/>
    <x v="3"/>
  </r>
  <r>
    <s v="L1197"/>
    <x v="0"/>
    <s v="Cold"/>
    <d v="2025-10-18T00:00:00"/>
    <m/>
    <m/>
    <m/>
    <s v="Yes"/>
    <s v="Changed Mind"/>
    <m/>
    <m/>
    <m/>
    <m/>
    <m/>
    <n v="1"/>
    <n v="0"/>
    <n v="0"/>
    <n v="0"/>
    <x v="2"/>
  </r>
  <r>
    <s v="L1198"/>
    <x v="0"/>
    <s v="Warm"/>
    <d v="2025-10-25T00:00:00"/>
    <d v="2025-10-26T00:00:00"/>
    <d v="2025-10-30T00:00:00"/>
    <d v="2025-11-06T00:00:00"/>
    <s v="No"/>
    <m/>
    <d v="2025-11-22T00:00:00"/>
    <n v="1"/>
    <n v="4"/>
    <n v="7"/>
    <n v="8"/>
    <n v="1"/>
    <n v="1"/>
    <n v="1"/>
    <n v="1"/>
    <x v="1"/>
  </r>
  <r>
    <s v="L1199"/>
    <x v="0"/>
    <s v="Cold"/>
    <d v="2025-10-14T00:00:00"/>
    <m/>
    <m/>
    <m/>
    <s v="Yes"/>
    <s v="Model Unavailable"/>
    <m/>
    <m/>
    <m/>
    <m/>
    <m/>
    <n v="1"/>
    <n v="0"/>
    <n v="0"/>
    <n v="0"/>
    <x v="2"/>
  </r>
  <r>
    <s v="L1200"/>
    <x v="3"/>
    <s v="Hot"/>
    <d v="2025-10-20T00:00:00"/>
    <d v="2025-10-23T00:00:00"/>
    <d v="2025-10-26T00:00:00"/>
    <d v="2025-11-01T00:00:00"/>
    <s v="No"/>
    <m/>
    <d v="2025-11-24T00:00:00"/>
    <n v="3"/>
    <n v="3"/>
    <n v="6"/>
    <n v="6"/>
    <n v="1"/>
    <n v="1"/>
    <n v="1"/>
    <n v="1"/>
    <x v="0"/>
  </r>
  <r>
    <s v="L1201"/>
    <x v="1"/>
    <s v="Hot"/>
    <d v="2025-10-20T00:00:00"/>
    <d v="2025-10-22T00:00:00"/>
    <d v="2025-10-24T00:00:00"/>
    <d v="2025-10-31T00:00:00"/>
    <s v="No"/>
    <m/>
    <d v="2025-11-27T00:00:00"/>
    <n v="2"/>
    <n v="2"/>
    <n v="7"/>
    <n v="2"/>
    <n v="1"/>
    <n v="1"/>
    <n v="1"/>
    <n v="1"/>
    <x v="0"/>
  </r>
  <r>
    <s v="L1202"/>
    <x v="1"/>
    <s v="Hot"/>
    <d v="2025-10-26T00:00:00"/>
    <d v="2025-10-31T00:00:00"/>
    <d v="2025-11-01T00:00:00"/>
    <d v="2025-11-05T00:00:00"/>
    <s v="No"/>
    <m/>
    <d v="2025-12-02T00:00:00"/>
    <n v="5"/>
    <n v="1"/>
    <n v="4"/>
    <n v="2"/>
    <n v="1"/>
    <n v="1"/>
    <n v="1"/>
    <n v="1"/>
    <x v="0"/>
  </r>
  <r>
    <s v="L1203"/>
    <x v="1"/>
    <s v="Warm"/>
    <d v="2025-10-20T00:00:00"/>
    <d v="2025-10-24T00:00:00"/>
    <d v="2025-10-27T00:00:00"/>
    <d v="2025-11-03T00:00:00"/>
    <s v="No"/>
    <m/>
    <d v="2025-11-21T00:00:00"/>
    <n v="4"/>
    <n v="3"/>
    <n v="7"/>
    <n v="9"/>
    <n v="1"/>
    <n v="1"/>
    <n v="1"/>
    <n v="1"/>
    <x v="3"/>
  </r>
  <r>
    <s v="L1204"/>
    <x v="0"/>
    <s v="Cold"/>
    <d v="2025-10-08T00:00:00"/>
    <m/>
    <m/>
    <m/>
    <s v="Yes"/>
    <s v="Financing Issue"/>
    <m/>
    <m/>
    <m/>
    <m/>
    <m/>
    <n v="1"/>
    <n v="0"/>
    <n v="0"/>
    <n v="0"/>
    <x v="2"/>
  </r>
  <r>
    <s v="L1205"/>
    <x v="1"/>
    <s v="Hot"/>
    <d v="2025-10-25T00:00:00"/>
    <d v="2025-10-28T00:00:00"/>
    <d v="2025-10-30T00:00:00"/>
    <d v="2025-11-05T00:00:00"/>
    <s v="No"/>
    <m/>
    <d v="2025-11-24T00:00:00"/>
    <n v="3"/>
    <n v="2"/>
    <n v="6"/>
    <n v="2"/>
    <n v="1"/>
    <n v="1"/>
    <n v="1"/>
    <n v="1"/>
    <x v="0"/>
  </r>
  <r>
    <s v="L1206"/>
    <x v="1"/>
    <s v="Cold"/>
    <d v="2025-10-17T00:00:00"/>
    <m/>
    <m/>
    <m/>
    <s v="Yes"/>
    <s v="Financing Issue"/>
    <m/>
    <m/>
    <m/>
    <m/>
    <m/>
    <n v="1"/>
    <n v="0"/>
    <n v="0"/>
    <n v="0"/>
    <x v="2"/>
  </r>
  <r>
    <s v="L1207"/>
    <x v="0"/>
    <s v="Warm"/>
    <d v="2025-10-13T00:00:00"/>
    <d v="2025-10-14T00:00:00"/>
    <d v="2025-10-18T00:00:00"/>
    <d v="2025-10-25T00:00:00"/>
    <s v="No"/>
    <m/>
    <d v="2025-11-13T00:00:00"/>
    <n v="1"/>
    <n v="4"/>
    <n v="7"/>
    <n v="7"/>
    <n v="1"/>
    <n v="1"/>
    <n v="1"/>
    <n v="1"/>
    <x v="1"/>
  </r>
  <r>
    <s v="L1208"/>
    <x v="2"/>
    <s v="Cold"/>
    <d v="2025-10-15T00:00:00"/>
    <m/>
    <m/>
    <m/>
    <s v="Yes"/>
    <s v="Price"/>
    <m/>
    <m/>
    <m/>
    <m/>
    <m/>
    <n v="1"/>
    <n v="0"/>
    <n v="0"/>
    <n v="0"/>
    <x v="2"/>
  </r>
  <r>
    <s v="L1209"/>
    <x v="0"/>
    <s v="Hot"/>
    <d v="2025-10-30T00:00:00"/>
    <d v="2025-11-03T00:00:00"/>
    <d v="2025-11-06T00:00:00"/>
    <d v="2025-11-11T00:00:00"/>
    <s v="No"/>
    <m/>
    <d v="2025-11-28T00:00:00"/>
    <n v="4"/>
    <n v="3"/>
    <n v="5"/>
    <n v="9"/>
    <n v="1"/>
    <n v="1"/>
    <n v="1"/>
    <n v="1"/>
    <x v="3"/>
  </r>
  <r>
    <s v="L1210"/>
    <x v="1"/>
    <s v="Cold"/>
    <d v="2025-10-15T00:00:00"/>
    <m/>
    <m/>
    <m/>
    <s v="Yes"/>
    <s v="Price"/>
    <m/>
    <m/>
    <m/>
    <m/>
    <m/>
    <n v="1"/>
    <n v="0"/>
    <n v="0"/>
    <n v="0"/>
    <x v="2"/>
  </r>
  <r>
    <s v="L1211"/>
    <x v="0"/>
    <s v="Warm"/>
    <d v="2025-10-10T00:00:00"/>
    <d v="2025-10-11T00:00:00"/>
    <d v="2025-10-13T00:00:00"/>
    <d v="2025-10-16T00:00:00"/>
    <s v="Yes"/>
    <s v="Other"/>
    <m/>
    <n v="1"/>
    <n v="2"/>
    <n v="3"/>
    <m/>
    <n v="1"/>
    <n v="1"/>
    <n v="1"/>
    <n v="0"/>
    <x v="2"/>
  </r>
  <r>
    <s v="L1212"/>
    <x v="2"/>
    <s v="Hot"/>
    <d v="2025-10-28T00:00:00"/>
    <d v="2025-10-30T00:00:00"/>
    <d v="2025-10-31T00:00:00"/>
    <d v="2025-11-06T00:00:00"/>
    <s v="No"/>
    <m/>
    <d v="2025-11-19T00:00:00"/>
    <n v="2"/>
    <n v="1"/>
    <n v="6"/>
    <n v="4"/>
    <n v="1"/>
    <n v="1"/>
    <n v="1"/>
    <n v="1"/>
    <x v="0"/>
  </r>
  <r>
    <s v="L1213"/>
    <x v="0"/>
    <s v="Hot"/>
    <d v="2025-10-19T00:00:00"/>
    <d v="2025-10-23T00:00:00"/>
    <d v="2025-10-26T00:00:00"/>
    <d v="2025-10-29T00:00:00"/>
    <s v="No"/>
    <m/>
    <d v="2025-11-09T00:00:00"/>
    <n v="4"/>
    <n v="3"/>
    <n v="3"/>
    <n v="2"/>
    <n v="1"/>
    <n v="1"/>
    <n v="1"/>
    <n v="1"/>
    <x v="0"/>
  </r>
  <r>
    <s v="L1214"/>
    <x v="1"/>
    <s v="Cold"/>
    <d v="2025-10-14T00:00:00"/>
    <m/>
    <m/>
    <m/>
    <s v="Yes"/>
    <s v="Model Unavailable"/>
    <m/>
    <m/>
    <m/>
    <m/>
    <m/>
    <n v="1"/>
    <n v="0"/>
    <n v="0"/>
    <n v="0"/>
    <x v="2"/>
  </r>
  <r>
    <s v="L1215"/>
    <x v="2"/>
    <s v="Cold"/>
    <d v="2025-10-10T00:00:00"/>
    <m/>
    <m/>
    <m/>
    <s v="Yes"/>
    <s v="Price"/>
    <m/>
    <m/>
    <m/>
    <m/>
    <m/>
    <n v="1"/>
    <n v="0"/>
    <n v="0"/>
    <n v="0"/>
    <x v="2"/>
  </r>
  <r>
    <s v="L1216"/>
    <x v="3"/>
    <s v="Hot"/>
    <d v="2025-10-19T00:00:00"/>
    <d v="2025-10-24T00:00:00"/>
    <d v="2025-10-27T00:00:00"/>
    <d v="2025-10-30T00:00:00"/>
    <s v="No"/>
    <m/>
    <d v="2025-11-21T00:00:00"/>
    <n v="5"/>
    <n v="3"/>
    <n v="3"/>
    <n v="0"/>
    <n v="1"/>
    <n v="1"/>
    <n v="1"/>
    <n v="1"/>
    <x v="0"/>
  </r>
  <r>
    <s v="L1217"/>
    <x v="1"/>
    <s v="Warm"/>
    <d v="2025-10-20T00:00:00"/>
    <d v="2025-10-24T00:00:00"/>
    <d v="2025-10-29T00:00:00"/>
    <d v="2025-11-01T00:00:00"/>
    <s v="Yes"/>
    <s v="Price"/>
    <m/>
    <n v="4"/>
    <n v="5"/>
    <n v="3"/>
    <m/>
    <n v="1"/>
    <n v="1"/>
    <n v="1"/>
    <n v="0"/>
    <x v="2"/>
  </r>
  <r>
    <s v="L1218"/>
    <x v="2"/>
    <s v="Cold"/>
    <d v="2025-10-02T00:00:00"/>
    <m/>
    <m/>
    <m/>
    <s v="Yes"/>
    <s v="Model Unavailable"/>
    <m/>
    <m/>
    <m/>
    <m/>
    <m/>
    <n v="1"/>
    <n v="0"/>
    <n v="0"/>
    <n v="0"/>
    <x v="2"/>
  </r>
  <r>
    <s v="L1219"/>
    <x v="2"/>
    <s v="Cold"/>
    <d v="2025-10-20T00:00:00"/>
    <m/>
    <m/>
    <m/>
    <s v="Yes"/>
    <s v="Other"/>
    <m/>
    <m/>
    <m/>
    <m/>
    <m/>
    <n v="1"/>
    <n v="0"/>
    <n v="0"/>
    <n v="0"/>
    <x v="2"/>
  </r>
  <r>
    <s v="L1220"/>
    <x v="3"/>
    <s v="Cold"/>
    <d v="2025-10-31T00:00:00"/>
    <m/>
    <m/>
    <m/>
    <s v="Yes"/>
    <s v="Price"/>
    <m/>
    <m/>
    <m/>
    <m/>
    <m/>
    <n v="1"/>
    <n v="0"/>
    <n v="0"/>
    <n v="0"/>
    <x v="2"/>
  </r>
  <r>
    <s v="L1221"/>
    <x v="0"/>
    <s v="Warm"/>
    <d v="2025-10-24T00:00:00"/>
    <d v="2025-10-29T00:00:00"/>
    <d v="2025-10-31T00:00:00"/>
    <d v="2025-11-02T00:00:00"/>
    <s v="No"/>
    <m/>
    <d v="2025-11-30T00:00:00"/>
    <n v="5"/>
    <n v="2"/>
    <n v="2"/>
    <n v="3"/>
    <n v="1"/>
    <n v="1"/>
    <n v="1"/>
    <n v="1"/>
    <x v="0"/>
  </r>
  <r>
    <s v="L1222"/>
    <x v="0"/>
    <s v="Warm"/>
    <d v="2025-10-04T00:00:00"/>
    <d v="2025-10-05T00:00:00"/>
    <d v="2025-10-07T00:00:00"/>
    <d v="2025-10-13T00:00:00"/>
    <s v="No"/>
    <m/>
    <d v="2025-11-09T00:00:00"/>
    <n v="1"/>
    <n v="2"/>
    <n v="6"/>
    <n v="1"/>
    <n v="1"/>
    <n v="1"/>
    <n v="1"/>
    <n v="1"/>
    <x v="0"/>
  </r>
  <r>
    <s v="L1223"/>
    <x v="1"/>
    <s v="Warm"/>
    <d v="2025-10-31T00:00:00"/>
    <d v="2025-11-04T00:00:00"/>
    <d v="2025-11-09T00:00:00"/>
    <d v="2025-11-13T00:00:00"/>
    <s v="No"/>
    <m/>
    <d v="2025-12-08T00:00:00"/>
    <n v="4"/>
    <n v="5"/>
    <n v="4"/>
    <n v="7"/>
    <n v="1"/>
    <n v="1"/>
    <n v="1"/>
    <n v="1"/>
    <x v="1"/>
  </r>
  <r>
    <s v="L1224"/>
    <x v="3"/>
    <s v="Warm"/>
    <d v="2025-10-25T00:00:00"/>
    <d v="2025-10-28T00:00:00"/>
    <d v="2025-11-01T00:00:00"/>
    <d v="2025-11-07T00:00:00"/>
    <s v="No"/>
    <m/>
    <d v="2025-11-21T00:00:00"/>
    <n v="3"/>
    <n v="4"/>
    <n v="6"/>
    <n v="3"/>
    <n v="1"/>
    <n v="1"/>
    <n v="1"/>
    <n v="1"/>
    <x v="0"/>
  </r>
  <r>
    <s v="L1225"/>
    <x v="0"/>
    <s v="Warm"/>
    <d v="2025-10-07T00:00:00"/>
    <d v="2025-10-10T00:00:00"/>
    <d v="2025-10-14T00:00:00"/>
    <d v="2025-10-18T00:00:00"/>
    <s v="Yes"/>
    <s v="Other"/>
    <m/>
    <n v="3"/>
    <n v="4"/>
    <n v="4"/>
    <m/>
    <n v="1"/>
    <n v="1"/>
    <n v="1"/>
    <n v="0"/>
    <x v="2"/>
  </r>
  <r>
    <s v="L1226"/>
    <x v="3"/>
    <s v="Warm"/>
    <d v="2025-10-21T00:00:00"/>
    <d v="2025-10-23T00:00:00"/>
    <d v="2025-10-28T00:00:00"/>
    <d v="2025-11-03T00:00:00"/>
    <s v="Yes"/>
    <s v="Changed Mind"/>
    <m/>
    <n v="2"/>
    <n v="5"/>
    <n v="6"/>
    <m/>
    <n v="1"/>
    <n v="1"/>
    <n v="1"/>
    <n v="0"/>
    <x v="2"/>
  </r>
  <r>
    <s v="L1227"/>
    <x v="0"/>
    <s v="Hot"/>
    <d v="2025-10-07T00:00:00"/>
    <d v="2025-10-10T00:00:00"/>
    <d v="2025-10-13T00:00:00"/>
    <d v="2025-10-19T00:00:00"/>
    <s v="No"/>
    <m/>
    <d v="2025-10-30T00:00:00"/>
    <n v="3"/>
    <n v="3"/>
    <n v="6"/>
    <n v="4"/>
    <n v="1"/>
    <n v="1"/>
    <n v="1"/>
    <n v="1"/>
    <x v="0"/>
  </r>
  <r>
    <s v="L1228"/>
    <x v="2"/>
    <s v="Cold"/>
    <d v="2025-10-09T00:00:00"/>
    <m/>
    <m/>
    <m/>
    <s v="Yes"/>
    <s v="Other"/>
    <m/>
    <m/>
    <m/>
    <m/>
    <m/>
    <n v="1"/>
    <n v="0"/>
    <n v="0"/>
    <n v="0"/>
    <x v="2"/>
  </r>
  <r>
    <s v="L1229"/>
    <x v="0"/>
    <s v="Warm"/>
    <d v="2025-10-22T00:00:00"/>
    <d v="2025-10-24T00:00:00"/>
    <d v="2025-10-25T00:00:00"/>
    <d v="2025-10-28T00:00:00"/>
    <s v="No"/>
    <m/>
    <d v="2025-11-18T00:00:00"/>
    <n v="2"/>
    <n v="1"/>
    <n v="3"/>
    <n v="2"/>
    <n v="1"/>
    <n v="1"/>
    <n v="1"/>
    <n v="1"/>
    <x v="0"/>
  </r>
  <r>
    <s v="L1230"/>
    <x v="3"/>
    <s v="Warm"/>
    <d v="2025-10-03T00:00:00"/>
    <d v="2025-10-04T00:00:00"/>
    <d v="2025-10-08T00:00:00"/>
    <d v="2025-10-12T00:00:00"/>
    <s v="No"/>
    <m/>
    <d v="2025-10-22T00:00:00"/>
    <n v="1"/>
    <n v="4"/>
    <n v="4"/>
    <n v="2"/>
    <n v="1"/>
    <n v="1"/>
    <n v="1"/>
    <n v="1"/>
    <x v="0"/>
  </r>
  <r>
    <s v="L1231"/>
    <x v="2"/>
    <s v="Warm"/>
    <d v="2025-10-06T00:00:00"/>
    <d v="2025-10-11T00:00:00"/>
    <d v="2025-10-12T00:00:00"/>
    <d v="2025-10-19T00:00:00"/>
    <s v="No"/>
    <m/>
    <d v="2025-11-11T00:00:00"/>
    <n v="5"/>
    <n v="1"/>
    <n v="7"/>
    <n v="8"/>
    <n v="1"/>
    <n v="1"/>
    <n v="1"/>
    <n v="1"/>
    <x v="1"/>
  </r>
  <r>
    <s v="L1232"/>
    <x v="2"/>
    <s v="Warm"/>
    <d v="2025-10-08T00:00:00"/>
    <d v="2025-10-09T00:00:00"/>
    <d v="2025-10-11T00:00:00"/>
    <d v="2025-10-15T00:00:00"/>
    <s v="Yes"/>
    <s v="Financing Issue"/>
    <m/>
    <n v="1"/>
    <n v="2"/>
    <n v="4"/>
    <m/>
    <n v="1"/>
    <n v="1"/>
    <n v="1"/>
    <n v="0"/>
    <x v="2"/>
  </r>
  <r>
    <s v="L1233"/>
    <x v="2"/>
    <s v="Hot"/>
    <d v="2025-10-06T00:00:00"/>
    <d v="2025-10-11T00:00:00"/>
    <d v="2025-10-13T00:00:00"/>
    <d v="2025-10-17T00:00:00"/>
    <s v="No"/>
    <m/>
    <d v="2025-10-29T00:00:00"/>
    <n v="5"/>
    <n v="2"/>
    <n v="4"/>
    <n v="9"/>
    <n v="1"/>
    <n v="1"/>
    <n v="1"/>
    <n v="1"/>
    <x v="3"/>
  </r>
  <r>
    <s v="L1234"/>
    <x v="3"/>
    <s v="Hot"/>
    <d v="2025-10-18T00:00:00"/>
    <d v="2025-10-23T00:00:00"/>
    <d v="2025-10-27T00:00:00"/>
    <d v="2025-11-02T00:00:00"/>
    <s v="No"/>
    <m/>
    <d v="2025-11-21T00:00:00"/>
    <n v="5"/>
    <n v="4"/>
    <n v="6"/>
    <n v="4"/>
    <n v="1"/>
    <n v="1"/>
    <n v="1"/>
    <n v="1"/>
    <x v="0"/>
  </r>
  <r>
    <s v="L1235"/>
    <x v="1"/>
    <s v="Hot"/>
    <d v="2025-10-03T00:00:00"/>
    <d v="2025-10-05T00:00:00"/>
    <d v="2025-10-08T00:00:00"/>
    <d v="2025-10-12T00:00:00"/>
    <s v="No"/>
    <m/>
    <d v="2025-11-11T00:00:00"/>
    <n v="2"/>
    <n v="3"/>
    <n v="4"/>
    <n v="7"/>
    <n v="1"/>
    <n v="1"/>
    <n v="1"/>
    <n v="1"/>
    <x v="1"/>
  </r>
  <r>
    <s v="L1236"/>
    <x v="1"/>
    <s v="Hot"/>
    <d v="2025-10-06T00:00:00"/>
    <d v="2025-10-09T00:00:00"/>
    <d v="2025-10-11T00:00:00"/>
    <d v="2025-10-17T00:00:00"/>
    <s v="No"/>
    <m/>
    <d v="2025-11-15T00:00:00"/>
    <n v="3"/>
    <n v="2"/>
    <n v="6"/>
    <n v="7"/>
    <n v="1"/>
    <n v="1"/>
    <n v="1"/>
    <n v="1"/>
    <x v="1"/>
  </r>
  <r>
    <s v="L1237"/>
    <x v="1"/>
    <s v="Warm"/>
    <d v="2025-10-01T00:00:00"/>
    <d v="2025-10-04T00:00:00"/>
    <d v="2025-10-05T00:00:00"/>
    <d v="2025-10-12T00:00:00"/>
    <s v="No"/>
    <m/>
    <d v="2025-11-06T00:00:00"/>
    <n v="3"/>
    <n v="1"/>
    <n v="7"/>
    <n v="0"/>
    <n v="1"/>
    <n v="1"/>
    <n v="1"/>
    <n v="1"/>
    <x v="0"/>
  </r>
  <r>
    <s v="L1238"/>
    <x v="3"/>
    <s v="Warm"/>
    <d v="2025-10-14T00:00:00"/>
    <d v="2025-10-16T00:00:00"/>
    <d v="2025-10-19T00:00:00"/>
    <d v="2025-10-21T00:00:00"/>
    <s v="No"/>
    <m/>
    <d v="2025-11-06T00:00:00"/>
    <n v="2"/>
    <n v="3"/>
    <n v="2"/>
    <n v="1"/>
    <n v="1"/>
    <n v="1"/>
    <n v="1"/>
    <n v="1"/>
    <x v="0"/>
  </r>
  <r>
    <s v="L1239"/>
    <x v="2"/>
    <s v="Hot"/>
    <d v="2025-10-15T00:00:00"/>
    <d v="2025-10-17T00:00:00"/>
    <d v="2025-10-21T00:00:00"/>
    <d v="2025-10-24T00:00:00"/>
    <s v="Yes"/>
    <s v="Financing Issue"/>
    <m/>
    <n v="2"/>
    <n v="4"/>
    <n v="3"/>
    <m/>
    <n v="1"/>
    <n v="1"/>
    <n v="1"/>
    <n v="0"/>
    <x v="2"/>
  </r>
  <r>
    <s v="L1240"/>
    <x v="1"/>
    <s v="Warm"/>
    <d v="2025-10-23T00:00:00"/>
    <d v="2025-10-24T00:00:00"/>
    <d v="2025-10-26T00:00:00"/>
    <d v="2025-10-31T00:00:00"/>
    <s v="No"/>
    <m/>
    <d v="2025-11-13T00:00:00"/>
    <n v="1"/>
    <n v="2"/>
    <n v="5"/>
    <n v="9"/>
    <n v="1"/>
    <n v="1"/>
    <n v="1"/>
    <n v="1"/>
    <x v="3"/>
  </r>
  <r>
    <s v="L1241"/>
    <x v="3"/>
    <s v="Hot"/>
    <d v="2025-10-20T00:00:00"/>
    <d v="2025-10-22T00:00:00"/>
    <d v="2025-10-26T00:00:00"/>
    <d v="2025-10-28T00:00:00"/>
    <s v="No"/>
    <m/>
    <d v="2025-11-07T00:00:00"/>
    <n v="2"/>
    <n v="4"/>
    <n v="2"/>
    <n v="1"/>
    <n v="1"/>
    <n v="1"/>
    <n v="1"/>
    <n v="1"/>
    <x v="0"/>
  </r>
  <r>
    <s v="L1242"/>
    <x v="1"/>
    <s v="Cold"/>
    <d v="2025-10-16T00:00:00"/>
    <m/>
    <m/>
    <m/>
    <s v="Yes"/>
    <s v="Other"/>
    <m/>
    <m/>
    <m/>
    <m/>
    <m/>
    <n v="1"/>
    <n v="0"/>
    <n v="0"/>
    <n v="0"/>
    <x v="2"/>
  </r>
  <r>
    <s v="L1243"/>
    <x v="0"/>
    <s v="Cold"/>
    <d v="2025-10-10T00:00:00"/>
    <m/>
    <m/>
    <m/>
    <s v="Yes"/>
    <s v="Financing Issue"/>
    <m/>
    <m/>
    <m/>
    <m/>
    <m/>
    <n v="1"/>
    <n v="0"/>
    <n v="0"/>
    <n v="0"/>
    <x v="2"/>
  </r>
  <r>
    <s v="L1244"/>
    <x v="1"/>
    <s v="Hot"/>
    <d v="2025-10-02T00:00:00"/>
    <d v="2025-10-05T00:00:00"/>
    <d v="2025-10-08T00:00:00"/>
    <d v="2025-10-12T00:00:00"/>
    <s v="No"/>
    <m/>
    <d v="2025-10-28T00:00:00"/>
    <n v="3"/>
    <n v="3"/>
    <n v="4"/>
    <n v="6"/>
    <n v="1"/>
    <n v="1"/>
    <n v="1"/>
    <n v="1"/>
    <x v="0"/>
  </r>
  <r>
    <s v="L1245"/>
    <x v="1"/>
    <s v="Warm"/>
    <d v="2025-10-08T00:00:00"/>
    <d v="2025-10-10T00:00:00"/>
    <d v="2025-10-13T00:00:00"/>
    <d v="2025-10-20T00:00:00"/>
    <s v="Yes"/>
    <s v="Changed Mind"/>
    <m/>
    <n v="2"/>
    <n v="3"/>
    <n v="7"/>
    <m/>
    <n v="1"/>
    <n v="1"/>
    <n v="1"/>
    <n v="0"/>
    <x v="2"/>
  </r>
  <r>
    <s v="L1246"/>
    <x v="2"/>
    <s v="Hot"/>
    <d v="2025-10-10T00:00:00"/>
    <d v="2025-10-12T00:00:00"/>
    <d v="2025-10-15T00:00:00"/>
    <d v="2025-10-18T00:00:00"/>
    <s v="No"/>
    <m/>
    <d v="2025-11-02T00:00:00"/>
    <n v="2"/>
    <n v="3"/>
    <n v="3"/>
    <n v="6"/>
    <n v="1"/>
    <n v="1"/>
    <n v="1"/>
    <n v="1"/>
    <x v="0"/>
  </r>
  <r>
    <s v="L1247"/>
    <x v="3"/>
    <s v="Warm"/>
    <d v="2025-10-23T00:00:00"/>
    <d v="2025-10-28T00:00:00"/>
    <d v="2025-11-02T00:00:00"/>
    <d v="2025-11-09T00:00:00"/>
    <s v="No"/>
    <m/>
    <d v="2025-12-09T00:00:00"/>
    <n v="5"/>
    <n v="5"/>
    <n v="7"/>
    <n v="4"/>
    <n v="1"/>
    <n v="1"/>
    <n v="1"/>
    <n v="1"/>
    <x v="0"/>
  </r>
  <r>
    <s v="L1248"/>
    <x v="2"/>
    <s v="Warm"/>
    <d v="2025-10-10T00:00:00"/>
    <d v="2025-10-12T00:00:00"/>
    <d v="2025-10-17T00:00:00"/>
    <d v="2025-10-20T00:00:00"/>
    <s v="No"/>
    <m/>
    <d v="2025-11-08T00:00:00"/>
    <n v="2"/>
    <n v="5"/>
    <n v="3"/>
    <n v="7"/>
    <n v="1"/>
    <n v="1"/>
    <n v="1"/>
    <n v="1"/>
    <x v="1"/>
  </r>
  <r>
    <s v="L1249"/>
    <x v="2"/>
    <s v="Hot"/>
    <d v="2025-10-23T00:00:00"/>
    <d v="2025-10-24T00:00:00"/>
    <d v="2025-10-25T00:00:00"/>
    <d v="2025-10-28T00:00:00"/>
    <s v="No"/>
    <m/>
    <d v="2025-11-09T00:00:00"/>
    <n v="1"/>
    <n v="1"/>
    <n v="3"/>
    <n v="3"/>
    <n v="1"/>
    <n v="1"/>
    <n v="1"/>
    <n v="1"/>
    <x v="0"/>
  </r>
  <r>
    <s v="L1250"/>
    <x v="2"/>
    <s v="Warm"/>
    <d v="2025-10-28T00:00:00"/>
    <d v="2025-10-30T00:00:00"/>
    <d v="2025-11-02T00:00:00"/>
    <d v="2025-11-05T00:00:00"/>
    <s v="No"/>
    <m/>
    <d v="2025-11-30T00:00:00"/>
    <n v="2"/>
    <n v="3"/>
    <n v="3"/>
    <n v="2"/>
    <n v="1"/>
    <n v="1"/>
    <n v="1"/>
    <n v="1"/>
    <x v="0"/>
  </r>
  <r>
    <s v="L1251"/>
    <x v="2"/>
    <s v="Hot"/>
    <d v="2025-10-15T00:00:00"/>
    <d v="2025-10-19T00:00:00"/>
    <d v="2025-10-22T00:00:00"/>
    <d v="2025-10-29T00:00:00"/>
    <s v="No"/>
    <m/>
    <d v="2025-11-11T00:00:00"/>
    <n v="4"/>
    <n v="3"/>
    <n v="7"/>
    <n v="6"/>
    <n v="1"/>
    <n v="1"/>
    <n v="1"/>
    <n v="1"/>
    <x v="0"/>
  </r>
  <r>
    <s v="L1252"/>
    <x v="2"/>
    <s v="Hot"/>
    <d v="2025-10-03T00:00:00"/>
    <d v="2025-10-07T00:00:00"/>
    <d v="2025-10-09T00:00:00"/>
    <d v="2025-10-13T00:00:00"/>
    <s v="No"/>
    <m/>
    <d v="2025-11-01T00:00:00"/>
    <n v="4"/>
    <n v="2"/>
    <n v="4"/>
    <n v="10"/>
    <n v="1"/>
    <n v="1"/>
    <n v="1"/>
    <n v="1"/>
    <x v="3"/>
  </r>
  <r>
    <s v="L1253"/>
    <x v="1"/>
    <s v="Warm"/>
    <d v="2025-10-22T00:00:00"/>
    <d v="2025-10-27T00:00:00"/>
    <d v="2025-10-28T00:00:00"/>
    <d v="2025-10-31T00:00:00"/>
    <s v="No"/>
    <m/>
    <d v="2025-11-22T00:00:00"/>
    <n v="5"/>
    <n v="1"/>
    <n v="3"/>
    <n v="4"/>
    <n v="1"/>
    <n v="1"/>
    <n v="1"/>
    <n v="1"/>
    <x v="0"/>
  </r>
  <r>
    <s v="L1254"/>
    <x v="2"/>
    <s v="Warm"/>
    <d v="2025-10-08T00:00:00"/>
    <d v="2025-10-13T00:00:00"/>
    <d v="2025-10-14T00:00:00"/>
    <d v="2025-10-21T00:00:00"/>
    <s v="No"/>
    <m/>
    <d v="2025-11-15T00:00:00"/>
    <n v="5"/>
    <n v="1"/>
    <n v="7"/>
    <n v="5"/>
    <n v="1"/>
    <n v="1"/>
    <n v="1"/>
    <n v="1"/>
    <x v="0"/>
  </r>
  <r>
    <s v="L1255"/>
    <x v="2"/>
    <s v="Warm"/>
    <d v="2025-10-30T00:00:00"/>
    <d v="2025-11-03T00:00:00"/>
    <d v="2025-11-07T00:00:00"/>
    <d v="2025-11-12T00:00:00"/>
    <s v="Yes"/>
    <s v="Model Unavailable"/>
    <m/>
    <n v="4"/>
    <n v="4"/>
    <n v="5"/>
    <m/>
    <n v="1"/>
    <n v="1"/>
    <n v="1"/>
    <n v="0"/>
    <x v="2"/>
  </r>
  <r>
    <s v="L1256"/>
    <x v="3"/>
    <s v="Warm"/>
    <d v="2025-10-09T00:00:00"/>
    <d v="2025-10-14T00:00:00"/>
    <d v="2025-10-17T00:00:00"/>
    <d v="2025-10-22T00:00:00"/>
    <s v="No"/>
    <m/>
    <d v="2025-11-16T00:00:00"/>
    <n v="5"/>
    <n v="3"/>
    <n v="5"/>
    <n v="3"/>
    <n v="1"/>
    <n v="1"/>
    <n v="1"/>
    <n v="1"/>
    <x v="0"/>
  </r>
  <r>
    <s v="L1257"/>
    <x v="0"/>
    <s v="Cold"/>
    <d v="2025-10-26T00:00:00"/>
    <m/>
    <m/>
    <m/>
    <s v="Yes"/>
    <s v="Financing Issue"/>
    <m/>
    <m/>
    <m/>
    <m/>
    <m/>
    <n v="1"/>
    <n v="0"/>
    <n v="0"/>
    <n v="0"/>
    <x v="2"/>
  </r>
  <r>
    <s v="L1258"/>
    <x v="1"/>
    <s v="Hot"/>
    <d v="2025-10-26T00:00:00"/>
    <d v="2025-10-31T00:00:00"/>
    <d v="2025-11-02T00:00:00"/>
    <d v="2025-11-05T00:00:00"/>
    <s v="Yes"/>
    <s v="Financing Issue"/>
    <m/>
    <n v="5"/>
    <n v="2"/>
    <n v="3"/>
    <m/>
    <n v="1"/>
    <n v="1"/>
    <n v="1"/>
    <n v="0"/>
    <x v="2"/>
  </r>
  <r>
    <s v="L1259"/>
    <x v="1"/>
    <s v="Warm"/>
    <d v="2025-10-21T00:00:00"/>
    <d v="2025-10-24T00:00:00"/>
    <d v="2025-10-28T00:00:00"/>
    <d v="2025-11-03T00:00:00"/>
    <s v="No"/>
    <m/>
    <d v="2025-11-21T00:00:00"/>
    <n v="3"/>
    <n v="4"/>
    <n v="6"/>
    <n v="4"/>
    <n v="1"/>
    <n v="1"/>
    <n v="1"/>
    <n v="1"/>
    <x v="0"/>
  </r>
  <r>
    <s v="L1260"/>
    <x v="1"/>
    <s v="Warm"/>
    <d v="2025-10-19T00:00:00"/>
    <d v="2025-10-22T00:00:00"/>
    <d v="2025-10-27T00:00:00"/>
    <d v="2025-11-03T00:00:00"/>
    <s v="No"/>
    <m/>
    <d v="2025-11-15T00:00:00"/>
    <n v="3"/>
    <n v="5"/>
    <n v="7"/>
    <n v="2"/>
    <n v="1"/>
    <n v="1"/>
    <n v="1"/>
    <n v="1"/>
    <x v="0"/>
  </r>
  <r>
    <s v="L1261"/>
    <x v="2"/>
    <s v="Warm"/>
    <d v="2025-10-22T00:00:00"/>
    <d v="2025-10-24T00:00:00"/>
    <d v="2025-10-27T00:00:00"/>
    <d v="2025-10-31T00:00:00"/>
    <s v="No"/>
    <m/>
    <d v="2025-11-30T00:00:00"/>
    <n v="2"/>
    <n v="3"/>
    <n v="4"/>
    <n v="9"/>
    <n v="1"/>
    <n v="1"/>
    <n v="1"/>
    <n v="1"/>
    <x v="3"/>
  </r>
  <r>
    <s v="L1262"/>
    <x v="2"/>
    <s v="Cold"/>
    <d v="2025-10-26T00:00:00"/>
    <m/>
    <m/>
    <m/>
    <s v="Yes"/>
    <s v="Other"/>
    <m/>
    <m/>
    <m/>
    <m/>
    <m/>
    <n v="1"/>
    <n v="0"/>
    <n v="0"/>
    <n v="0"/>
    <x v="2"/>
  </r>
  <r>
    <s v="L1263"/>
    <x v="2"/>
    <s v="Warm"/>
    <d v="2025-10-30T00:00:00"/>
    <d v="2025-11-03T00:00:00"/>
    <d v="2025-11-04T00:00:00"/>
    <d v="2025-11-11T00:00:00"/>
    <s v="No"/>
    <m/>
    <d v="2025-12-08T00:00:00"/>
    <n v="4"/>
    <n v="1"/>
    <n v="7"/>
    <n v="5"/>
    <n v="1"/>
    <n v="1"/>
    <n v="1"/>
    <n v="1"/>
    <x v="0"/>
  </r>
  <r>
    <s v="L1264"/>
    <x v="3"/>
    <s v="Warm"/>
    <d v="2025-10-07T00:00:00"/>
    <d v="2025-10-08T00:00:00"/>
    <d v="2025-10-11T00:00:00"/>
    <d v="2025-10-16T00:00:00"/>
    <s v="No"/>
    <m/>
    <d v="2025-11-07T00:00:00"/>
    <n v="1"/>
    <n v="3"/>
    <n v="5"/>
    <n v="7"/>
    <n v="1"/>
    <n v="1"/>
    <n v="1"/>
    <n v="1"/>
    <x v="1"/>
  </r>
  <r>
    <s v="L1265"/>
    <x v="0"/>
    <s v="Warm"/>
    <d v="2025-10-14T00:00:00"/>
    <d v="2025-10-18T00:00:00"/>
    <d v="2025-10-21T00:00:00"/>
    <d v="2025-10-26T00:00:00"/>
    <s v="No"/>
    <m/>
    <d v="2025-11-10T00:00:00"/>
    <n v="4"/>
    <n v="3"/>
    <n v="5"/>
    <n v="5"/>
    <n v="1"/>
    <n v="1"/>
    <n v="1"/>
    <n v="1"/>
    <x v="0"/>
  </r>
  <r>
    <s v="L1266"/>
    <x v="2"/>
    <s v="Cold"/>
    <d v="2025-10-04T00:00:00"/>
    <m/>
    <m/>
    <m/>
    <s v="Yes"/>
    <s v="Changed Mind"/>
    <m/>
    <m/>
    <m/>
    <m/>
    <m/>
    <n v="1"/>
    <n v="0"/>
    <n v="0"/>
    <n v="0"/>
    <x v="2"/>
  </r>
  <r>
    <s v="L1267"/>
    <x v="0"/>
    <s v="Cold"/>
    <d v="2025-10-18T00:00:00"/>
    <m/>
    <m/>
    <m/>
    <s v="Yes"/>
    <s v="Model Unavailable"/>
    <m/>
    <m/>
    <m/>
    <m/>
    <m/>
    <n v="1"/>
    <n v="0"/>
    <n v="0"/>
    <n v="0"/>
    <x v="2"/>
  </r>
  <r>
    <s v="L1268"/>
    <x v="3"/>
    <s v="Warm"/>
    <d v="2025-10-08T00:00:00"/>
    <d v="2025-10-12T00:00:00"/>
    <d v="2025-10-17T00:00:00"/>
    <d v="2025-10-22T00:00:00"/>
    <s v="No"/>
    <m/>
    <d v="2025-11-12T00:00:00"/>
    <n v="4"/>
    <n v="5"/>
    <n v="5"/>
    <n v="6"/>
    <n v="1"/>
    <n v="1"/>
    <n v="1"/>
    <n v="1"/>
    <x v="0"/>
  </r>
  <r>
    <s v="L1269"/>
    <x v="1"/>
    <s v="Warm"/>
    <d v="2025-10-21T00:00:00"/>
    <d v="2025-10-24T00:00:00"/>
    <d v="2025-10-26T00:00:00"/>
    <d v="2025-10-28T00:00:00"/>
    <s v="No"/>
    <m/>
    <d v="2025-11-19T00:00:00"/>
    <n v="3"/>
    <n v="2"/>
    <n v="2"/>
    <n v="1"/>
    <n v="1"/>
    <n v="1"/>
    <n v="1"/>
    <n v="1"/>
    <x v="0"/>
  </r>
  <r>
    <s v="L1270"/>
    <x v="2"/>
    <s v="Hot"/>
    <d v="2025-10-05T00:00:00"/>
    <d v="2025-10-08T00:00:00"/>
    <d v="2025-10-10T00:00:00"/>
    <d v="2025-10-17T00:00:00"/>
    <s v="No"/>
    <m/>
    <d v="2025-11-07T00:00:00"/>
    <n v="3"/>
    <n v="2"/>
    <n v="7"/>
    <n v="5"/>
    <n v="1"/>
    <n v="1"/>
    <n v="1"/>
    <n v="1"/>
    <x v="0"/>
  </r>
  <r>
    <s v="L1271"/>
    <x v="0"/>
    <s v="Hot"/>
    <d v="2025-10-30T00:00:00"/>
    <d v="2025-11-04T00:00:00"/>
    <d v="2025-11-06T00:00:00"/>
    <d v="2025-11-08T00:00:00"/>
    <s v="No"/>
    <m/>
    <d v="2025-11-23T00:00:00"/>
    <n v="5"/>
    <n v="2"/>
    <n v="2"/>
    <n v="6"/>
    <n v="1"/>
    <n v="1"/>
    <n v="1"/>
    <n v="1"/>
    <x v="0"/>
  </r>
  <r>
    <s v="L1272"/>
    <x v="0"/>
    <s v="Warm"/>
    <d v="2025-10-09T00:00:00"/>
    <d v="2025-10-10T00:00:00"/>
    <d v="2025-10-14T00:00:00"/>
    <d v="2025-10-19T00:00:00"/>
    <s v="No"/>
    <m/>
    <d v="2025-11-12T00:00:00"/>
    <n v="1"/>
    <n v="4"/>
    <n v="5"/>
    <n v="9"/>
    <n v="1"/>
    <n v="1"/>
    <n v="1"/>
    <n v="1"/>
    <x v="3"/>
  </r>
  <r>
    <s v="L1273"/>
    <x v="2"/>
    <s v="Hot"/>
    <d v="2025-10-27T00:00:00"/>
    <d v="2025-10-30T00:00:00"/>
    <d v="2025-11-01T00:00:00"/>
    <d v="2025-11-07T00:00:00"/>
    <s v="No"/>
    <m/>
    <d v="2025-11-18T00:00:00"/>
    <n v="3"/>
    <n v="2"/>
    <n v="6"/>
    <n v="2"/>
    <n v="1"/>
    <n v="1"/>
    <n v="1"/>
    <n v="1"/>
    <x v="0"/>
  </r>
  <r>
    <s v="L1274"/>
    <x v="1"/>
    <s v="Warm"/>
    <d v="2025-10-05T00:00:00"/>
    <d v="2025-10-10T00:00:00"/>
    <d v="2025-10-14T00:00:00"/>
    <d v="2025-10-21T00:00:00"/>
    <s v="No"/>
    <m/>
    <d v="2025-11-08T00:00:00"/>
    <n v="5"/>
    <n v="4"/>
    <n v="7"/>
    <n v="3"/>
    <n v="1"/>
    <n v="1"/>
    <n v="1"/>
    <n v="1"/>
    <x v="0"/>
  </r>
  <r>
    <s v="L1275"/>
    <x v="1"/>
    <s v="Hot"/>
    <d v="2025-10-03T00:00:00"/>
    <d v="2025-10-04T00:00:00"/>
    <d v="2025-10-09T00:00:00"/>
    <d v="2025-10-13T00:00:00"/>
    <s v="No"/>
    <m/>
    <d v="2025-11-06T00:00:00"/>
    <n v="1"/>
    <n v="5"/>
    <n v="4"/>
    <n v="10"/>
    <n v="1"/>
    <n v="1"/>
    <n v="1"/>
    <n v="1"/>
    <x v="3"/>
  </r>
  <r>
    <s v="L1276"/>
    <x v="1"/>
    <s v="Warm"/>
    <d v="2025-10-02T00:00:00"/>
    <d v="2025-10-05T00:00:00"/>
    <d v="2025-10-08T00:00:00"/>
    <d v="2025-10-15T00:00:00"/>
    <s v="No"/>
    <m/>
    <d v="2025-11-08T00:00:00"/>
    <n v="3"/>
    <n v="3"/>
    <n v="7"/>
    <n v="8"/>
    <n v="1"/>
    <n v="1"/>
    <n v="1"/>
    <n v="1"/>
    <x v="1"/>
  </r>
  <r>
    <s v="L1277"/>
    <x v="3"/>
    <s v="Warm"/>
    <d v="2025-10-06T00:00:00"/>
    <d v="2025-10-10T00:00:00"/>
    <d v="2025-10-14T00:00:00"/>
    <d v="2025-10-18T00:00:00"/>
    <s v="No"/>
    <m/>
    <d v="2025-11-05T00:00:00"/>
    <n v="4"/>
    <n v="4"/>
    <n v="4"/>
    <n v="1"/>
    <n v="1"/>
    <n v="1"/>
    <n v="1"/>
    <n v="1"/>
    <x v="0"/>
  </r>
  <r>
    <s v="L1278"/>
    <x v="0"/>
    <s v="Cold"/>
    <d v="2025-10-26T00:00:00"/>
    <m/>
    <m/>
    <m/>
    <s v="Yes"/>
    <s v="Other"/>
    <m/>
    <m/>
    <m/>
    <m/>
    <m/>
    <n v="1"/>
    <n v="0"/>
    <n v="0"/>
    <n v="0"/>
    <x v="2"/>
  </r>
  <r>
    <s v="L1279"/>
    <x v="0"/>
    <s v="Hot"/>
    <d v="2025-10-10T00:00:00"/>
    <d v="2025-10-14T00:00:00"/>
    <d v="2025-10-19T00:00:00"/>
    <d v="2025-10-24T00:00:00"/>
    <s v="Yes"/>
    <s v="Other"/>
    <m/>
    <n v="4"/>
    <n v="5"/>
    <n v="5"/>
    <m/>
    <n v="1"/>
    <n v="1"/>
    <n v="1"/>
    <n v="0"/>
    <x v="2"/>
  </r>
  <r>
    <s v="L1280"/>
    <x v="0"/>
    <s v="Warm"/>
    <d v="2025-10-20T00:00:00"/>
    <d v="2025-10-21T00:00:00"/>
    <d v="2025-10-25T00:00:00"/>
    <d v="2025-10-30T00:00:00"/>
    <s v="No"/>
    <m/>
    <d v="2025-11-16T00:00:00"/>
    <n v="1"/>
    <n v="4"/>
    <n v="5"/>
    <n v="8"/>
    <n v="1"/>
    <n v="1"/>
    <n v="1"/>
    <n v="1"/>
    <x v="1"/>
  </r>
  <r>
    <s v="L1281"/>
    <x v="3"/>
    <s v="Cold"/>
    <d v="2025-10-24T00:00:00"/>
    <m/>
    <m/>
    <m/>
    <s v="Yes"/>
    <s v="Changed Mind"/>
    <m/>
    <m/>
    <m/>
    <m/>
    <m/>
    <n v="1"/>
    <n v="0"/>
    <n v="0"/>
    <n v="0"/>
    <x v="2"/>
  </r>
  <r>
    <s v="L1282"/>
    <x v="0"/>
    <s v="Hot"/>
    <d v="2025-10-27T00:00:00"/>
    <d v="2025-10-28T00:00:00"/>
    <d v="2025-11-02T00:00:00"/>
    <d v="2025-11-06T00:00:00"/>
    <s v="Yes"/>
    <s v="Model Unavailable"/>
    <m/>
    <n v="1"/>
    <n v="5"/>
    <n v="4"/>
    <m/>
    <n v="1"/>
    <n v="1"/>
    <n v="1"/>
    <n v="0"/>
    <x v="2"/>
  </r>
  <r>
    <s v="L1283"/>
    <x v="3"/>
    <s v="Cold"/>
    <d v="2025-10-19T00:00:00"/>
    <m/>
    <m/>
    <m/>
    <s v="Yes"/>
    <s v="Changed Mind"/>
    <m/>
    <m/>
    <m/>
    <m/>
    <m/>
    <n v="1"/>
    <n v="0"/>
    <n v="0"/>
    <n v="0"/>
    <x v="2"/>
  </r>
  <r>
    <s v="L1284"/>
    <x v="1"/>
    <s v="Warm"/>
    <d v="2025-10-30T00:00:00"/>
    <d v="2025-11-02T00:00:00"/>
    <d v="2025-11-04T00:00:00"/>
    <d v="2025-11-10T00:00:00"/>
    <s v="No"/>
    <m/>
    <d v="2025-11-28T00:00:00"/>
    <n v="3"/>
    <n v="2"/>
    <n v="6"/>
    <n v="4"/>
    <n v="1"/>
    <n v="1"/>
    <n v="1"/>
    <n v="1"/>
    <x v="0"/>
  </r>
  <r>
    <s v="L1285"/>
    <x v="2"/>
    <s v="Warm"/>
    <d v="2025-10-10T00:00:00"/>
    <d v="2025-10-13T00:00:00"/>
    <d v="2025-10-15T00:00:00"/>
    <d v="2025-10-17T00:00:00"/>
    <s v="No"/>
    <m/>
    <d v="2025-11-14T00:00:00"/>
    <n v="3"/>
    <n v="2"/>
    <n v="2"/>
    <n v="9"/>
    <n v="1"/>
    <n v="1"/>
    <n v="1"/>
    <n v="1"/>
    <x v="3"/>
  </r>
  <r>
    <s v="L1286"/>
    <x v="0"/>
    <s v="Cold"/>
    <d v="2025-10-15T00:00:00"/>
    <m/>
    <m/>
    <m/>
    <s v="Yes"/>
    <s v="Model Unavailable"/>
    <m/>
    <m/>
    <m/>
    <m/>
    <m/>
    <n v="1"/>
    <n v="0"/>
    <n v="0"/>
    <n v="0"/>
    <x v="2"/>
  </r>
  <r>
    <s v="L1287"/>
    <x v="0"/>
    <s v="Hot"/>
    <d v="2025-10-04T00:00:00"/>
    <d v="2025-10-05T00:00:00"/>
    <d v="2025-10-10T00:00:00"/>
    <d v="2025-10-17T00:00:00"/>
    <s v="No"/>
    <m/>
    <d v="2025-10-28T00:00:00"/>
    <n v="1"/>
    <n v="5"/>
    <n v="7"/>
    <n v="2"/>
    <n v="1"/>
    <n v="1"/>
    <n v="1"/>
    <n v="1"/>
    <x v="0"/>
  </r>
  <r>
    <s v="L1288"/>
    <x v="1"/>
    <s v="Warm"/>
    <d v="2025-10-15T00:00:00"/>
    <d v="2025-10-16T00:00:00"/>
    <d v="2025-10-17T00:00:00"/>
    <d v="2025-10-19T00:00:00"/>
    <s v="Yes"/>
    <s v="Changed Mind"/>
    <m/>
    <n v="1"/>
    <n v="1"/>
    <n v="2"/>
    <m/>
    <n v="1"/>
    <n v="1"/>
    <n v="1"/>
    <n v="0"/>
    <x v="2"/>
  </r>
  <r>
    <s v="L1289"/>
    <x v="2"/>
    <s v="Cold"/>
    <d v="2025-10-23T00:00:00"/>
    <m/>
    <m/>
    <m/>
    <s v="Yes"/>
    <s v="Other"/>
    <m/>
    <m/>
    <m/>
    <m/>
    <m/>
    <n v="1"/>
    <n v="0"/>
    <n v="0"/>
    <n v="0"/>
    <x v="2"/>
  </r>
  <r>
    <s v="L1290"/>
    <x v="3"/>
    <s v="Hot"/>
    <d v="2025-10-10T00:00:00"/>
    <d v="2025-10-15T00:00:00"/>
    <d v="2025-10-20T00:00:00"/>
    <d v="2025-10-27T00:00:00"/>
    <s v="No"/>
    <m/>
    <d v="2025-11-10T00:00:00"/>
    <n v="5"/>
    <n v="5"/>
    <n v="7"/>
    <n v="4"/>
    <n v="1"/>
    <n v="1"/>
    <n v="1"/>
    <n v="1"/>
    <x v="0"/>
  </r>
  <r>
    <s v="L1291"/>
    <x v="2"/>
    <s v="Warm"/>
    <d v="2025-10-23T00:00:00"/>
    <d v="2025-10-28T00:00:00"/>
    <d v="2025-11-01T00:00:00"/>
    <d v="2025-11-06T00:00:00"/>
    <s v="No"/>
    <m/>
    <d v="2025-11-19T00:00:00"/>
    <n v="5"/>
    <n v="4"/>
    <n v="5"/>
    <n v="1"/>
    <n v="1"/>
    <n v="1"/>
    <n v="1"/>
    <n v="1"/>
    <x v="0"/>
  </r>
  <r>
    <s v="L1292"/>
    <x v="1"/>
    <s v="Cold"/>
    <d v="2025-10-13T00:00:00"/>
    <m/>
    <m/>
    <m/>
    <s v="Yes"/>
    <s v="Other"/>
    <m/>
    <m/>
    <m/>
    <m/>
    <m/>
    <n v="1"/>
    <n v="0"/>
    <n v="0"/>
    <n v="0"/>
    <x v="2"/>
  </r>
  <r>
    <s v="L1293"/>
    <x v="1"/>
    <s v="Hot"/>
    <d v="2025-10-31T00:00:00"/>
    <d v="2025-11-05T00:00:00"/>
    <d v="2025-11-10T00:00:00"/>
    <d v="2025-11-17T00:00:00"/>
    <s v="No"/>
    <m/>
    <d v="2025-11-29T00:00:00"/>
    <n v="5"/>
    <n v="5"/>
    <n v="7"/>
    <n v="6"/>
    <n v="1"/>
    <n v="1"/>
    <n v="1"/>
    <n v="1"/>
    <x v="0"/>
  </r>
  <r>
    <s v="L1294"/>
    <x v="2"/>
    <s v="Cold"/>
    <d v="2025-10-09T00:00:00"/>
    <m/>
    <m/>
    <m/>
    <s v="Yes"/>
    <s v="Price"/>
    <m/>
    <m/>
    <m/>
    <m/>
    <m/>
    <n v="1"/>
    <n v="0"/>
    <n v="0"/>
    <n v="0"/>
    <x v="2"/>
  </r>
  <r>
    <s v="L1295"/>
    <x v="3"/>
    <s v="Warm"/>
    <d v="2025-10-17T00:00:00"/>
    <d v="2025-10-21T00:00:00"/>
    <d v="2025-10-24T00:00:00"/>
    <d v="2025-10-31T00:00:00"/>
    <s v="Yes"/>
    <s v="Financing Issue"/>
    <m/>
    <n v="4"/>
    <n v="3"/>
    <n v="7"/>
    <m/>
    <n v="1"/>
    <n v="1"/>
    <n v="1"/>
    <n v="0"/>
    <x v="2"/>
  </r>
  <r>
    <s v="L1296"/>
    <x v="3"/>
    <s v="Warm"/>
    <d v="2025-10-18T00:00:00"/>
    <d v="2025-10-22T00:00:00"/>
    <d v="2025-10-23T00:00:00"/>
    <d v="2025-10-30T00:00:00"/>
    <s v="No"/>
    <m/>
    <d v="2025-11-20T00:00:00"/>
    <n v="4"/>
    <n v="1"/>
    <n v="7"/>
    <n v="6"/>
    <n v="1"/>
    <n v="1"/>
    <n v="1"/>
    <n v="1"/>
    <x v="0"/>
  </r>
  <r>
    <s v="L1297"/>
    <x v="0"/>
    <s v="Warm"/>
    <d v="2025-10-16T00:00:00"/>
    <d v="2025-10-21T00:00:00"/>
    <d v="2025-10-26T00:00:00"/>
    <d v="2025-10-30T00:00:00"/>
    <s v="No"/>
    <m/>
    <d v="2025-11-26T00:00:00"/>
    <n v="5"/>
    <n v="5"/>
    <n v="4"/>
    <n v="10"/>
    <n v="1"/>
    <n v="1"/>
    <n v="1"/>
    <n v="1"/>
    <x v="3"/>
  </r>
  <r>
    <s v="L1298"/>
    <x v="3"/>
    <s v="Hot"/>
    <d v="2025-10-15T00:00:00"/>
    <d v="2025-10-20T00:00:00"/>
    <d v="2025-10-21T00:00:00"/>
    <d v="2025-10-23T00:00:00"/>
    <s v="No"/>
    <m/>
    <d v="2025-11-15T00:00:00"/>
    <n v="5"/>
    <n v="1"/>
    <n v="2"/>
    <n v="10"/>
    <n v="1"/>
    <n v="1"/>
    <n v="1"/>
    <n v="1"/>
    <x v="3"/>
  </r>
  <r>
    <s v="L1299"/>
    <x v="2"/>
    <s v="Cold"/>
    <d v="2025-10-03T00:00:00"/>
    <m/>
    <m/>
    <m/>
    <s v="Yes"/>
    <s v="Changed Mind"/>
    <m/>
    <m/>
    <m/>
    <m/>
    <m/>
    <n v="1"/>
    <n v="0"/>
    <n v="0"/>
    <n v="0"/>
    <x v="2"/>
  </r>
  <r>
    <s v="L1300"/>
    <x v="1"/>
    <s v="Cold"/>
    <d v="2025-10-20T00:00:00"/>
    <m/>
    <m/>
    <m/>
    <s v="Yes"/>
    <s v="Price"/>
    <m/>
    <m/>
    <m/>
    <m/>
    <m/>
    <n v="1"/>
    <n v="0"/>
    <n v="0"/>
    <n v="0"/>
    <x v="2"/>
  </r>
  <r>
    <s v="L1301"/>
    <x v="0"/>
    <s v="Warm"/>
    <d v="2025-10-02T00:00:00"/>
    <d v="2025-10-03T00:00:00"/>
    <d v="2025-10-04T00:00:00"/>
    <d v="2025-10-10T00:00:00"/>
    <s v="No"/>
    <m/>
    <d v="2025-11-07T00:00:00"/>
    <n v="1"/>
    <n v="1"/>
    <n v="6"/>
    <n v="8"/>
    <n v="1"/>
    <n v="1"/>
    <n v="1"/>
    <n v="1"/>
    <x v="1"/>
  </r>
  <r>
    <s v="L1302"/>
    <x v="0"/>
    <s v="Warm"/>
    <d v="2025-10-29T00:00:00"/>
    <d v="2025-11-02T00:00:00"/>
    <d v="2025-11-07T00:00:00"/>
    <d v="2025-11-12T00:00:00"/>
    <s v="No"/>
    <m/>
    <d v="2025-11-29T00:00:00"/>
    <n v="4"/>
    <n v="5"/>
    <n v="5"/>
    <n v="5"/>
    <n v="1"/>
    <n v="1"/>
    <n v="1"/>
    <n v="1"/>
    <x v="0"/>
  </r>
  <r>
    <s v="L1303"/>
    <x v="1"/>
    <s v="Warm"/>
    <d v="2025-10-14T00:00:00"/>
    <d v="2025-10-19T00:00:00"/>
    <d v="2025-10-24T00:00:00"/>
    <d v="2025-10-27T00:00:00"/>
    <s v="No"/>
    <m/>
    <d v="2025-11-23T00:00:00"/>
    <n v="5"/>
    <n v="5"/>
    <n v="3"/>
    <n v="6"/>
    <n v="1"/>
    <n v="1"/>
    <n v="1"/>
    <n v="1"/>
    <x v="0"/>
  </r>
  <r>
    <s v="L1304"/>
    <x v="3"/>
    <s v="Warm"/>
    <d v="2025-10-24T00:00:00"/>
    <d v="2025-10-26T00:00:00"/>
    <d v="2025-10-28T00:00:00"/>
    <d v="2025-11-02T00:00:00"/>
    <s v="No"/>
    <m/>
    <d v="2025-11-13T00:00:00"/>
    <n v="2"/>
    <n v="2"/>
    <n v="5"/>
    <n v="1"/>
    <n v="1"/>
    <n v="1"/>
    <n v="1"/>
    <n v="1"/>
    <x v="0"/>
  </r>
  <r>
    <s v="L1305"/>
    <x v="1"/>
    <s v="Warm"/>
    <d v="2025-10-11T00:00:00"/>
    <d v="2025-10-14T00:00:00"/>
    <d v="2025-10-19T00:00:00"/>
    <d v="2025-10-22T00:00:00"/>
    <s v="No"/>
    <m/>
    <d v="2025-11-13T00:00:00"/>
    <n v="3"/>
    <n v="5"/>
    <n v="3"/>
    <n v="1"/>
    <n v="1"/>
    <n v="1"/>
    <n v="1"/>
    <n v="1"/>
    <x v="0"/>
  </r>
  <r>
    <s v="L1306"/>
    <x v="3"/>
    <s v="Warm"/>
    <d v="2025-10-20T00:00:00"/>
    <d v="2025-10-25T00:00:00"/>
    <d v="2025-10-30T00:00:00"/>
    <d v="2025-11-04T00:00:00"/>
    <s v="No"/>
    <m/>
    <d v="2025-11-30T00:00:00"/>
    <n v="5"/>
    <n v="5"/>
    <n v="5"/>
    <n v="8"/>
    <n v="1"/>
    <n v="1"/>
    <n v="1"/>
    <n v="1"/>
    <x v="1"/>
  </r>
  <r>
    <s v="L1307"/>
    <x v="1"/>
    <s v="Warm"/>
    <d v="2025-10-09T00:00:00"/>
    <d v="2025-10-13T00:00:00"/>
    <d v="2025-10-15T00:00:00"/>
    <d v="2025-10-19T00:00:00"/>
    <s v="No"/>
    <m/>
    <d v="2025-11-11T00:00:00"/>
    <n v="4"/>
    <n v="2"/>
    <n v="4"/>
    <n v="9"/>
    <n v="1"/>
    <n v="1"/>
    <n v="1"/>
    <n v="1"/>
    <x v="3"/>
  </r>
  <r>
    <s v="L1308"/>
    <x v="2"/>
    <s v="Warm"/>
    <d v="2025-10-01T00:00:00"/>
    <d v="2025-10-06T00:00:00"/>
    <d v="2025-10-08T00:00:00"/>
    <d v="2025-10-12T00:00:00"/>
    <s v="No"/>
    <m/>
    <d v="2025-11-08T00:00:00"/>
    <n v="5"/>
    <n v="2"/>
    <n v="4"/>
    <n v="6"/>
    <n v="1"/>
    <n v="1"/>
    <n v="1"/>
    <n v="1"/>
    <x v="0"/>
  </r>
  <r>
    <s v="L1309"/>
    <x v="3"/>
    <s v="Warm"/>
    <d v="2025-10-03T00:00:00"/>
    <d v="2025-10-05T00:00:00"/>
    <d v="2025-10-08T00:00:00"/>
    <d v="2025-10-12T00:00:00"/>
    <s v="No"/>
    <m/>
    <d v="2025-11-06T00:00:00"/>
    <n v="2"/>
    <n v="3"/>
    <n v="4"/>
    <n v="5"/>
    <n v="1"/>
    <n v="1"/>
    <n v="1"/>
    <n v="1"/>
    <x v="0"/>
  </r>
  <r>
    <s v="L1310"/>
    <x v="2"/>
    <s v="Hot"/>
    <d v="2025-10-08T00:00:00"/>
    <d v="2025-10-09T00:00:00"/>
    <d v="2025-10-14T00:00:00"/>
    <d v="2025-10-18T00:00:00"/>
    <s v="No"/>
    <m/>
    <d v="2025-11-15T00:00:00"/>
    <n v="1"/>
    <n v="5"/>
    <n v="4"/>
    <n v="3"/>
    <n v="1"/>
    <n v="1"/>
    <n v="1"/>
    <n v="1"/>
    <x v="0"/>
  </r>
  <r>
    <s v="L1311"/>
    <x v="0"/>
    <s v="Hot"/>
    <d v="2025-10-31T00:00:00"/>
    <d v="2025-11-04T00:00:00"/>
    <d v="2025-11-08T00:00:00"/>
    <d v="2025-11-14T00:00:00"/>
    <s v="No"/>
    <m/>
    <d v="2025-12-01T00:00:00"/>
    <n v="4"/>
    <n v="4"/>
    <n v="6"/>
    <n v="6"/>
    <n v="1"/>
    <n v="1"/>
    <n v="1"/>
    <n v="1"/>
    <x v="0"/>
  </r>
  <r>
    <s v="L1312"/>
    <x v="1"/>
    <s v="Warm"/>
    <d v="2025-10-22T00:00:00"/>
    <d v="2025-10-23T00:00:00"/>
    <d v="2025-10-24T00:00:00"/>
    <d v="2025-10-30T00:00:00"/>
    <s v="No"/>
    <m/>
    <d v="2025-11-24T00:00:00"/>
    <n v="1"/>
    <n v="1"/>
    <n v="6"/>
    <n v="6"/>
    <n v="1"/>
    <n v="1"/>
    <n v="1"/>
    <n v="1"/>
    <x v="0"/>
  </r>
  <r>
    <s v="L1313"/>
    <x v="0"/>
    <s v="Warm"/>
    <d v="2025-10-27T00:00:00"/>
    <d v="2025-10-30T00:00:00"/>
    <d v="2025-11-01T00:00:00"/>
    <d v="2025-11-04T00:00:00"/>
    <s v="No"/>
    <m/>
    <d v="2025-11-23T00:00:00"/>
    <n v="3"/>
    <n v="2"/>
    <n v="3"/>
    <n v="6"/>
    <n v="1"/>
    <n v="1"/>
    <n v="1"/>
    <n v="1"/>
    <x v="0"/>
  </r>
  <r>
    <s v="L1314"/>
    <x v="0"/>
    <s v="Warm"/>
    <d v="2025-10-28T00:00:00"/>
    <d v="2025-10-29T00:00:00"/>
    <d v="2025-11-03T00:00:00"/>
    <d v="2025-11-09T00:00:00"/>
    <s v="No"/>
    <m/>
    <d v="2025-11-21T00:00:00"/>
    <n v="1"/>
    <n v="5"/>
    <n v="6"/>
    <n v="4"/>
    <n v="1"/>
    <n v="1"/>
    <n v="1"/>
    <n v="1"/>
    <x v="0"/>
  </r>
  <r>
    <s v="L1315"/>
    <x v="0"/>
    <s v="Warm"/>
    <d v="2025-10-19T00:00:00"/>
    <d v="2025-10-24T00:00:00"/>
    <d v="2025-10-28T00:00:00"/>
    <d v="2025-11-02T00:00:00"/>
    <s v="No"/>
    <m/>
    <d v="2025-11-24T00:00:00"/>
    <n v="5"/>
    <n v="4"/>
    <n v="5"/>
    <n v="5"/>
    <n v="1"/>
    <n v="1"/>
    <n v="1"/>
    <n v="1"/>
    <x v="0"/>
  </r>
  <r>
    <s v="L1316"/>
    <x v="0"/>
    <s v="Warm"/>
    <d v="2025-10-19T00:00:00"/>
    <d v="2025-10-21T00:00:00"/>
    <d v="2025-10-22T00:00:00"/>
    <d v="2025-10-26T00:00:00"/>
    <s v="No"/>
    <m/>
    <d v="2025-11-06T00:00:00"/>
    <n v="2"/>
    <n v="1"/>
    <n v="4"/>
    <n v="9"/>
    <n v="1"/>
    <n v="1"/>
    <n v="1"/>
    <n v="1"/>
    <x v="3"/>
  </r>
  <r>
    <s v="L1317"/>
    <x v="1"/>
    <s v="Warm"/>
    <d v="2025-10-31T00:00:00"/>
    <d v="2025-11-01T00:00:00"/>
    <d v="2025-11-06T00:00:00"/>
    <d v="2025-11-13T00:00:00"/>
    <s v="Yes"/>
    <s v="Financing Issue"/>
    <m/>
    <n v="1"/>
    <n v="5"/>
    <n v="7"/>
    <m/>
    <n v="1"/>
    <n v="1"/>
    <n v="1"/>
    <n v="0"/>
    <x v="2"/>
  </r>
  <r>
    <s v="L1318"/>
    <x v="0"/>
    <s v="Warm"/>
    <d v="2025-10-01T00:00:00"/>
    <d v="2025-10-03T00:00:00"/>
    <d v="2025-10-07T00:00:00"/>
    <d v="2025-10-09T00:00:00"/>
    <s v="No"/>
    <m/>
    <d v="2025-11-04T00:00:00"/>
    <n v="2"/>
    <n v="4"/>
    <n v="2"/>
    <n v="6"/>
    <n v="1"/>
    <n v="1"/>
    <n v="1"/>
    <n v="1"/>
    <x v="0"/>
  </r>
  <r>
    <s v="L1319"/>
    <x v="1"/>
    <s v="Warm"/>
    <d v="2025-10-25T00:00:00"/>
    <d v="2025-10-29T00:00:00"/>
    <d v="2025-10-30T00:00:00"/>
    <d v="2025-11-01T00:00:00"/>
    <s v="Yes"/>
    <s v="Changed Mind"/>
    <m/>
    <n v="4"/>
    <n v="1"/>
    <n v="2"/>
    <m/>
    <n v="1"/>
    <n v="1"/>
    <n v="1"/>
    <n v="0"/>
    <x v="2"/>
  </r>
  <r>
    <s v="L1320"/>
    <x v="1"/>
    <s v="Warm"/>
    <d v="2025-10-22T00:00:00"/>
    <d v="2025-10-26T00:00:00"/>
    <d v="2025-10-30T00:00:00"/>
    <d v="2025-11-01T00:00:00"/>
    <s v="No"/>
    <m/>
    <d v="2025-11-29T00:00:00"/>
    <n v="4"/>
    <n v="4"/>
    <n v="2"/>
    <n v="4"/>
    <n v="1"/>
    <n v="1"/>
    <n v="1"/>
    <n v="1"/>
    <x v="0"/>
  </r>
  <r>
    <s v="L1321"/>
    <x v="2"/>
    <s v="Cold"/>
    <d v="2025-10-27T00:00:00"/>
    <m/>
    <m/>
    <m/>
    <s v="Yes"/>
    <s v="Model Unavailable"/>
    <m/>
    <m/>
    <m/>
    <m/>
    <m/>
    <n v="1"/>
    <n v="0"/>
    <n v="0"/>
    <n v="0"/>
    <x v="2"/>
  </r>
  <r>
    <s v="L1322"/>
    <x v="3"/>
    <s v="Warm"/>
    <d v="2025-10-09T00:00:00"/>
    <d v="2025-10-14T00:00:00"/>
    <d v="2025-10-16T00:00:00"/>
    <d v="2025-10-23T00:00:00"/>
    <s v="Yes"/>
    <s v="Financing Issue"/>
    <m/>
    <n v="5"/>
    <n v="2"/>
    <n v="7"/>
    <m/>
    <n v="1"/>
    <n v="1"/>
    <n v="1"/>
    <n v="0"/>
    <x v="2"/>
  </r>
  <r>
    <s v="L1323"/>
    <x v="3"/>
    <s v="Hot"/>
    <d v="2025-10-19T00:00:00"/>
    <d v="2025-10-24T00:00:00"/>
    <d v="2025-10-29T00:00:00"/>
    <d v="2025-11-03T00:00:00"/>
    <s v="No"/>
    <m/>
    <d v="2025-11-29T00:00:00"/>
    <n v="5"/>
    <n v="5"/>
    <n v="5"/>
    <n v="2"/>
    <n v="1"/>
    <n v="1"/>
    <n v="1"/>
    <n v="1"/>
    <x v="0"/>
  </r>
  <r>
    <s v="L1324"/>
    <x v="1"/>
    <s v="Hot"/>
    <d v="2025-10-02T00:00:00"/>
    <d v="2025-10-07T00:00:00"/>
    <d v="2025-10-11T00:00:00"/>
    <d v="2025-10-13T00:00:00"/>
    <s v="Yes"/>
    <s v="Other"/>
    <m/>
    <n v="5"/>
    <n v="4"/>
    <n v="2"/>
    <m/>
    <n v="1"/>
    <n v="1"/>
    <n v="1"/>
    <n v="0"/>
    <x v="2"/>
  </r>
  <r>
    <s v="L1325"/>
    <x v="2"/>
    <s v="Hot"/>
    <d v="2025-10-25T00:00:00"/>
    <d v="2025-10-27T00:00:00"/>
    <d v="2025-10-31T00:00:00"/>
    <d v="2025-11-02T00:00:00"/>
    <s v="No"/>
    <m/>
    <d v="2025-11-30T00:00:00"/>
    <n v="2"/>
    <n v="4"/>
    <n v="2"/>
    <n v="10"/>
    <n v="1"/>
    <n v="1"/>
    <n v="1"/>
    <n v="1"/>
    <x v="3"/>
  </r>
  <r>
    <s v="L1326"/>
    <x v="1"/>
    <s v="Warm"/>
    <d v="2025-10-25T00:00:00"/>
    <d v="2025-10-28T00:00:00"/>
    <d v="2025-11-02T00:00:00"/>
    <d v="2025-11-05T00:00:00"/>
    <s v="No"/>
    <m/>
    <d v="2025-12-04T00:00:00"/>
    <n v="3"/>
    <n v="5"/>
    <n v="3"/>
    <n v="6"/>
    <n v="1"/>
    <n v="1"/>
    <n v="1"/>
    <n v="1"/>
    <x v="0"/>
  </r>
  <r>
    <s v="L1327"/>
    <x v="1"/>
    <s v="Warm"/>
    <d v="2025-10-06T00:00:00"/>
    <d v="2025-10-09T00:00:00"/>
    <d v="2025-10-10T00:00:00"/>
    <d v="2025-10-15T00:00:00"/>
    <s v="No"/>
    <m/>
    <d v="2025-10-29T00:00:00"/>
    <n v="3"/>
    <n v="1"/>
    <n v="5"/>
    <n v="7"/>
    <n v="1"/>
    <n v="1"/>
    <n v="1"/>
    <n v="1"/>
    <x v="1"/>
  </r>
  <r>
    <s v="L1328"/>
    <x v="1"/>
    <s v="Warm"/>
    <d v="2025-10-16T00:00:00"/>
    <d v="2025-10-19T00:00:00"/>
    <d v="2025-10-24T00:00:00"/>
    <d v="2025-10-29T00:00:00"/>
    <s v="No"/>
    <m/>
    <d v="2025-11-11T00:00:00"/>
    <n v="3"/>
    <n v="5"/>
    <n v="5"/>
    <n v="3"/>
    <n v="1"/>
    <n v="1"/>
    <n v="1"/>
    <n v="1"/>
    <x v="0"/>
  </r>
  <r>
    <s v="L1329"/>
    <x v="2"/>
    <s v="Warm"/>
    <d v="2025-10-17T00:00:00"/>
    <d v="2025-10-21T00:00:00"/>
    <d v="2025-10-25T00:00:00"/>
    <d v="2025-10-27T00:00:00"/>
    <s v="No"/>
    <m/>
    <d v="2025-11-20T00:00:00"/>
    <n v="4"/>
    <n v="4"/>
    <n v="2"/>
    <n v="2"/>
    <n v="1"/>
    <n v="1"/>
    <n v="1"/>
    <n v="1"/>
    <x v="0"/>
  </r>
  <r>
    <s v="L1330"/>
    <x v="3"/>
    <s v="Hot"/>
    <d v="2025-10-21T00:00:00"/>
    <d v="2025-10-25T00:00:00"/>
    <d v="2025-10-28T00:00:00"/>
    <d v="2025-11-02T00:00:00"/>
    <s v="No"/>
    <m/>
    <d v="2025-11-17T00:00:00"/>
    <n v="4"/>
    <n v="3"/>
    <n v="5"/>
    <n v="1"/>
    <n v="1"/>
    <n v="1"/>
    <n v="1"/>
    <n v="1"/>
    <x v="0"/>
  </r>
  <r>
    <s v="L1331"/>
    <x v="2"/>
    <s v="Warm"/>
    <d v="2025-10-15T00:00:00"/>
    <d v="2025-10-18T00:00:00"/>
    <d v="2025-10-19T00:00:00"/>
    <d v="2025-10-22T00:00:00"/>
    <s v="No"/>
    <m/>
    <d v="2025-11-06T00:00:00"/>
    <n v="3"/>
    <n v="1"/>
    <n v="3"/>
    <n v="0"/>
    <n v="1"/>
    <n v="1"/>
    <n v="1"/>
    <n v="1"/>
    <x v="0"/>
  </r>
  <r>
    <s v="L1332"/>
    <x v="0"/>
    <s v="Hot"/>
    <d v="2025-10-30T00:00:00"/>
    <d v="2025-11-04T00:00:00"/>
    <d v="2025-11-08T00:00:00"/>
    <d v="2025-11-15T00:00:00"/>
    <s v="No"/>
    <m/>
    <d v="2025-12-01T00:00:00"/>
    <n v="5"/>
    <n v="4"/>
    <n v="7"/>
    <n v="2"/>
    <n v="1"/>
    <n v="1"/>
    <n v="1"/>
    <n v="1"/>
    <x v="0"/>
  </r>
  <r>
    <s v="L1333"/>
    <x v="2"/>
    <s v="Warm"/>
    <d v="2025-10-09T00:00:00"/>
    <d v="2025-10-10T00:00:00"/>
    <d v="2025-10-13T00:00:00"/>
    <d v="2025-10-16T00:00:00"/>
    <s v="No"/>
    <m/>
    <d v="2025-11-01T00:00:00"/>
    <n v="1"/>
    <n v="3"/>
    <n v="3"/>
    <n v="2"/>
    <n v="1"/>
    <n v="1"/>
    <n v="1"/>
    <n v="1"/>
    <x v="0"/>
  </r>
  <r>
    <s v="L1334"/>
    <x v="2"/>
    <s v="Hot"/>
    <d v="2025-10-06T00:00:00"/>
    <d v="2025-10-09T00:00:00"/>
    <d v="2025-10-10T00:00:00"/>
    <d v="2025-10-17T00:00:00"/>
    <s v="No"/>
    <m/>
    <d v="2025-10-31T00:00:00"/>
    <n v="3"/>
    <n v="1"/>
    <n v="7"/>
    <n v="1"/>
    <n v="1"/>
    <n v="1"/>
    <n v="1"/>
    <n v="1"/>
    <x v="0"/>
  </r>
  <r>
    <s v="L1335"/>
    <x v="2"/>
    <s v="Cold"/>
    <d v="2025-10-19T00:00:00"/>
    <m/>
    <m/>
    <m/>
    <s v="Yes"/>
    <s v="Price"/>
    <m/>
    <m/>
    <m/>
    <m/>
    <m/>
    <n v="1"/>
    <n v="0"/>
    <n v="0"/>
    <n v="0"/>
    <x v="2"/>
  </r>
  <r>
    <s v="L1336"/>
    <x v="2"/>
    <s v="Hot"/>
    <d v="2025-10-14T00:00:00"/>
    <d v="2025-10-15T00:00:00"/>
    <d v="2025-10-17T00:00:00"/>
    <d v="2025-10-21T00:00:00"/>
    <s v="No"/>
    <m/>
    <d v="2025-11-01T00:00:00"/>
    <n v="1"/>
    <n v="2"/>
    <n v="4"/>
    <n v="7"/>
    <n v="1"/>
    <n v="1"/>
    <n v="1"/>
    <n v="1"/>
    <x v="1"/>
  </r>
  <r>
    <s v="L1337"/>
    <x v="3"/>
    <s v="Cold"/>
    <d v="2025-10-21T00:00:00"/>
    <m/>
    <m/>
    <m/>
    <s v="Yes"/>
    <s v="Financing Issue"/>
    <m/>
    <m/>
    <m/>
    <m/>
    <m/>
    <n v="1"/>
    <n v="0"/>
    <n v="0"/>
    <n v="0"/>
    <x v="2"/>
  </r>
  <r>
    <s v="L1338"/>
    <x v="0"/>
    <s v="Warm"/>
    <d v="2025-10-27T00:00:00"/>
    <d v="2025-10-30T00:00:00"/>
    <d v="2025-11-04T00:00:00"/>
    <d v="2025-11-07T00:00:00"/>
    <s v="No"/>
    <m/>
    <d v="2025-11-30T00:00:00"/>
    <n v="3"/>
    <n v="5"/>
    <n v="3"/>
    <n v="3"/>
    <n v="1"/>
    <n v="1"/>
    <n v="1"/>
    <n v="1"/>
    <x v="0"/>
  </r>
  <r>
    <s v="L1339"/>
    <x v="3"/>
    <s v="Cold"/>
    <d v="2025-10-16T00:00:00"/>
    <m/>
    <m/>
    <m/>
    <s v="Yes"/>
    <s v="Financing Issue"/>
    <m/>
    <m/>
    <m/>
    <m/>
    <m/>
    <n v="1"/>
    <n v="0"/>
    <n v="0"/>
    <n v="0"/>
    <x v="2"/>
  </r>
  <r>
    <s v="L1340"/>
    <x v="3"/>
    <s v="Warm"/>
    <d v="2025-10-03T00:00:00"/>
    <d v="2025-10-04T00:00:00"/>
    <d v="2025-10-05T00:00:00"/>
    <d v="2025-10-09T00:00:00"/>
    <s v="No"/>
    <m/>
    <d v="2025-10-21T00:00:00"/>
    <n v="1"/>
    <n v="1"/>
    <n v="4"/>
    <n v="10"/>
    <n v="1"/>
    <n v="1"/>
    <n v="1"/>
    <n v="1"/>
    <x v="3"/>
  </r>
  <r>
    <s v="L1341"/>
    <x v="2"/>
    <s v="Warm"/>
    <d v="2025-10-16T00:00:00"/>
    <d v="2025-10-21T00:00:00"/>
    <d v="2025-10-22T00:00:00"/>
    <d v="2025-10-24T00:00:00"/>
    <s v="No"/>
    <m/>
    <d v="2025-11-16T00:00:00"/>
    <n v="5"/>
    <n v="1"/>
    <n v="2"/>
    <n v="1"/>
    <n v="1"/>
    <n v="1"/>
    <n v="1"/>
    <n v="1"/>
    <x v="0"/>
  </r>
  <r>
    <s v="L1342"/>
    <x v="1"/>
    <s v="Warm"/>
    <d v="2025-10-12T00:00:00"/>
    <d v="2025-10-16T00:00:00"/>
    <d v="2025-10-20T00:00:00"/>
    <d v="2025-10-27T00:00:00"/>
    <s v="No"/>
    <m/>
    <d v="2025-11-12T00:00:00"/>
    <n v="4"/>
    <n v="4"/>
    <n v="7"/>
    <n v="4"/>
    <n v="1"/>
    <n v="1"/>
    <n v="1"/>
    <n v="1"/>
    <x v="0"/>
  </r>
  <r>
    <s v="L1343"/>
    <x v="1"/>
    <s v="Warm"/>
    <d v="2025-10-14T00:00:00"/>
    <d v="2025-10-17T00:00:00"/>
    <d v="2025-10-20T00:00:00"/>
    <d v="2025-10-24T00:00:00"/>
    <s v="No"/>
    <m/>
    <d v="2025-11-23T00:00:00"/>
    <n v="3"/>
    <n v="3"/>
    <n v="4"/>
    <n v="8"/>
    <n v="1"/>
    <n v="1"/>
    <n v="1"/>
    <n v="1"/>
    <x v="1"/>
  </r>
  <r>
    <s v="L1344"/>
    <x v="3"/>
    <s v="Warm"/>
    <d v="2025-10-11T00:00:00"/>
    <d v="2025-10-14T00:00:00"/>
    <d v="2025-10-15T00:00:00"/>
    <d v="2025-10-19T00:00:00"/>
    <s v="No"/>
    <m/>
    <d v="2025-11-02T00:00:00"/>
    <n v="3"/>
    <n v="1"/>
    <n v="4"/>
    <n v="3"/>
    <n v="1"/>
    <n v="1"/>
    <n v="1"/>
    <n v="1"/>
    <x v="0"/>
  </r>
  <r>
    <s v="L1345"/>
    <x v="3"/>
    <s v="Warm"/>
    <d v="2025-10-11T00:00:00"/>
    <d v="2025-10-16T00:00:00"/>
    <d v="2025-10-21T00:00:00"/>
    <d v="2025-10-23T00:00:00"/>
    <s v="No"/>
    <m/>
    <d v="2025-11-21T00:00:00"/>
    <n v="5"/>
    <n v="5"/>
    <n v="2"/>
    <n v="6"/>
    <n v="1"/>
    <n v="1"/>
    <n v="1"/>
    <n v="1"/>
    <x v="0"/>
  </r>
  <r>
    <s v="L1346"/>
    <x v="2"/>
    <s v="Warm"/>
    <d v="2025-10-22T00:00:00"/>
    <d v="2025-10-24T00:00:00"/>
    <d v="2025-10-25T00:00:00"/>
    <d v="2025-10-29T00:00:00"/>
    <s v="No"/>
    <m/>
    <d v="2025-11-16T00:00:00"/>
    <n v="2"/>
    <n v="1"/>
    <n v="4"/>
    <n v="4"/>
    <n v="1"/>
    <n v="1"/>
    <n v="1"/>
    <n v="1"/>
    <x v="0"/>
  </r>
  <r>
    <s v="L1347"/>
    <x v="3"/>
    <s v="Hot"/>
    <d v="2025-10-04T00:00:00"/>
    <d v="2025-10-07T00:00:00"/>
    <d v="2025-10-08T00:00:00"/>
    <d v="2025-10-15T00:00:00"/>
    <s v="No"/>
    <m/>
    <d v="2025-11-04T00:00:00"/>
    <n v="3"/>
    <n v="1"/>
    <n v="7"/>
    <n v="8"/>
    <n v="1"/>
    <n v="1"/>
    <n v="1"/>
    <n v="1"/>
    <x v="1"/>
  </r>
  <r>
    <s v="L1348"/>
    <x v="2"/>
    <s v="Warm"/>
    <d v="2025-10-28T00:00:00"/>
    <d v="2025-10-29T00:00:00"/>
    <d v="2025-11-02T00:00:00"/>
    <d v="2025-11-09T00:00:00"/>
    <s v="No"/>
    <m/>
    <d v="2025-11-21T00:00:00"/>
    <n v="1"/>
    <n v="4"/>
    <n v="7"/>
    <n v="4"/>
    <n v="1"/>
    <n v="1"/>
    <n v="1"/>
    <n v="1"/>
    <x v="0"/>
  </r>
  <r>
    <s v="L1349"/>
    <x v="1"/>
    <s v="Warm"/>
    <d v="2025-10-06T00:00:00"/>
    <d v="2025-10-11T00:00:00"/>
    <d v="2025-10-12T00:00:00"/>
    <d v="2025-10-15T00:00:00"/>
    <s v="No"/>
    <m/>
    <d v="2025-10-27T00:00:00"/>
    <n v="5"/>
    <n v="1"/>
    <n v="3"/>
    <n v="6"/>
    <n v="1"/>
    <n v="1"/>
    <n v="1"/>
    <n v="1"/>
    <x v="0"/>
  </r>
  <r>
    <s v="L1350"/>
    <x v="1"/>
    <s v="Warm"/>
    <d v="2025-10-11T00:00:00"/>
    <d v="2025-10-13T00:00:00"/>
    <d v="2025-10-16T00:00:00"/>
    <d v="2025-10-18T00:00:00"/>
    <s v="Yes"/>
    <s v="Other"/>
    <m/>
    <n v="2"/>
    <n v="3"/>
    <n v="2"/>
    <m/>
    <n v="1"/>
    <n v="1"/>
    <n v="1"/>
    <n v="0"/>
    <x v="2"/>
  </r>
  <r>
    <s v="L1351"/>
    <x v="0"/>
    <s v="Warm"/>
    <d v="2025-10-14T00:00:00"/>
    <d v="2025-10-17T00:00:00"/>
    <d v="2025-10-21T00:00:00"/>
    <d v="2025-10-26T00:00:00"/>
    <s v="Yes"/>
    <s v="Changed Mind"/>
    <m/>
    <n v="3"/>
    <n v="4"/>
    <n v="5"/>
    <m/>
    <n v="1"/>
    <n v="1"/>
    <n v="1"/>
    <n v="0"/>
    <x v="2"/>
  </r>
  <r>
    <s v="L1352"/>
    <x v="1"/>
    <s v="Warm"/>
    <d v="2025-10-23T00:00:00"/>
    <d v="2025-10-26T00:00:00"/>
    <d v="2025-10-28T00:00:00"/>
    <d v="2025-11-04T00:00:00"/>
    <s v="No"/>
    <m/>
    <d v="2025-11-26T00:00:00"/>
    <n v="3"/>
    <n v="2"/>
    <n v="7"/>
    <n v="5"/>
    <n v="1"/>
    <n v="1"/>
    <n v="1"/>
    <n v="1"/>
    <x v="0"/>
  </r>
  <r>
    <s v="L1353"/>
    <x v="3"/>
    <s v="Cold"/>
    <d v="2025-10-16T00:00:00"/>
    <m/>
    <m/>
    <m/>
    <s v="Yes"/>
    <s v="Model Unavailable"/>
    <m/>
    <m/>
    <m/>
    <m/>
    <m/>
    <n v="1"/>
    <n v="0"/>
    <n v="0"/>
    <n v="0"/>
    <x v="2"/>
  </r>
  <r>
    <s v="L1354"/>
    <x v="1"/>
    <s v="Hot"/>
    <d v="2025-10-10T00:00:00"/>
    <d v="2025-10-14T00:00:00"/>
    <d v="2025-10-16T00:00:00"/>
    <d v="2025-10-20T00:00:00"/>
    <s v="No"/>
    <m/>
    <d v="2025-11-16T00:00:00"/>
    <n v="4"/>
    <n v="2"/>
    <n v="4"/>
    <n v="2"/>
    <n v="1"/>
    <n v="1"/>
    <n v="1"/>
    <n v="1"/>
    <x v="0"/>
  </r>
  <r>
    <s v="L1355"/>
    <x v="2"/>
    <s v="Warm"/>
    <d v="2025-10-22T00:00:00"/>
    <d v="2025-10-24T00:00:00"/>
    <d v="2025-10-28T00:00:00"/>
    <d v="2025-11-04T00:00:00"/>
    <s v="No"/>
    <m/>
    <d v="2025-11-26T00:00:00"/>
    <n v="2"/>
    <n v="4"/>
    <n v="7"/>
    <n v="3"/>
    <n v="1"/>
    <n v="1"/>
    <n v="1"/>
    <n v="1"/>
    <x v="0"/>
  </r>
  <r>
    <s v="L1356"/>
    <x v="1"/>
    <s v="Warm"/>
    <d v="2025-10-31T00:00:00"/>
    <d v="2025-11-05T00:00:00"/>
    <d v="2025-11-08T00:00:00"/>
    <d v="2025-11-15T00:00:00"/>
    <s v="No"/>
    <m/>
    <d v="2025-12-12T00:00:00"/>
    <n v="5"/>
    <n v="3"/>
    <n v="7"/>
    <n v="10"/>
    <n v="1"/>
    <n v="1"/>
    <n v="1"/>
    <n v="1"/>
    <x v="3"/>
  </r>
  <r>
    <s v="L1357"/>
    <x v="0"/>
    <s v="Warm"/>
    <d v="2025-10-13T00:00:00"/>
    <d v="2025-10-14T00:00:00"/>
    <d v="2025-10-18T00:00:00"/>
    <d v="2025-10-21T00:00:00"/>
    <s v="No"/>
    <m/>
    <d v="2025-11-10T00:00:00"/>
    <n v="1"/>
    <n v="4"/>
    <n v="3"/>
    <n v="3"/>
    <n v="1"/>
    <n v="1"/>
    <n v="1"/>
    <n v="1"/>
    <x v="0"/>
  </r>
  <r>
    <s v="L1358"/>
    <x v="1"/>
    <s v="Cold"/>
    <d v="2025-10-27T00:00:00"/>
    <m/>
    <m/>
    <m/>
    <s v="Yes"/>
    <s v="Other"/>
    <m/>
    <m/>
    <m/>
    <m/>
    <m/>
    <n v="1"/>
    <n v="0"/>
    <n v="0"/>
    <n v="0"/>
    <x v="2"/>
  </r>
  <r>
    <s v="L1359"/>
    <x v="2"/>
    <s v="Hot"/>
    <d v="2025-10-25T00:00:00"/>
    <d v="2025-10-28T00:00:00"/>
    <d v="2025-11-01T00:00:00"/>
    <d v="2025-11-06T00:00:00"/>
    <s v="No"/>
    <m/>
    <d v="2025-11-24T00:00:00"/>
    <n v="3"/>
    <n v="4"/>
    <n v="5"/>
    <n v="5"/>
    <n v="1"/>
    <n v="1"/>
    <n v="1"/>
    <n v="1"/>
    <x v="0"/>
  </r>
  <r>
    <s v="L1360"/>
    <x v="2"/>
    <s v="Warm"/>
    <d v="2025-10-18T00:00:00"/>
    <d v="2025-10-23T00:00:00"/>
    <d v="2025-10-27T00:00:00"/>
    <d v="2025-11-03T00:00:00"/>
    <s v="No"/>
    <m/>
    <d v="2025-11-29T00:00:00"/>
    <n v="5"/>
    <n v="4"/>
    <n v="7"/>
    <n v="8"/>
    <n v="1"/>
    <n v="1"/>
    <n v="1"/>
    <n v="1"/>
    <x v="1"/>
  </r>
  <r>
    <s v="L1361"/>
    <x v="3"/>
    <s v="Warm"/>
    <d v="2025-10-02T00:00:00"/>
    <d v="2025-10-06T00:00:00"/>
    <d v="2025-10-10T00:00:00"/>
    <d v="2025-10-12T00:00:00"/>
    <s v="No"/>
    <m/>
    <d v="2025-11-05T00:00:00"/>
    <n v="4"/>
    <n v="4"/>
    <n v="2"/>
    <n v="0"/>
    <n v="1"/>
    <n v="1"/>
    <n v="1"/>
    <n v="1"/>
    <x v="0"/>
  </r>
  <r>
    <s v="L1362"/>
    <x v="1"/>
    <s v="Warm"/>
    <d v="2025-10-15T00:00:00"/>
    <d v="2025-10-18T00:00:00"/>
    <d v="2025-10-19T00:00:00"/>
    <d v="2025-10-26T00:00:00"/>
    <s v="No"/>
    <m/>
    <d v="2025-11-05T00:00:00"/>
    <n v="3"/>
    <n v="1"/>
    <n v="7"/>
    <n v="1"/>
    <n v="1"/>
    <n v="1"/>
    <n v="1"/>
    <n v="1"/>
    <x v="0"/>
  </r>
  <r>
    <s v="L1363"/>
    <x v="2"/>
    <s v="Warm"/>
    <d v="2025-10-03T00:00:00"/>
    <d v="2025-10-05T00:00:00"/>
    <d v="2025-10-10T00:00:00"/>
    <d v="2025-10-12T00:00:00"/>
    <s v="No"/>
    <m/>
    <d v="2025-11-10T00:00:00"/>
    <n v="2"/>
    <n v="5"/>
    <n v="2"/>
    <n v="4"/>
    <n v="1"/>
    <n v="1"/>
    <n v="1"/>
    <n v="1"/>
    <x v="0"/>
  </r>
  <r>
    <s v="L1364"/>
    <x v="0"/>
    <s v="Warm"/>
    <d v="2025-10-11T00:00:00"/>
    <d v="2025-10-16T00:00:00"/>
    <d v="2025-10-18T00:00:00"/>
    <d v="2025-10-20T00:00:00"/>
    <s v="No"/>
    <m/>
    <d v="2025-11-17T00:00:00"/>
    <n v="5"/>
    <n v="2"/>
    <n v="2"/>
    <n v="5"/>
    <n v="1"/>
    <n v="1"/>
    <n v="1"/>
    <n v="1"/>
    <x v="0"/>
  </r>
  <r>
    <s v="L1365"/>
    <x v="3"/>
    <s v="Warm"/>
    <d v="2025-10-09T00:00:00"/>
    <d v="2025-10-10T00:00:00"/>
    <d v="2025-10-13T00:00:00"/>
    <d v="2025-10-16T00:00:00"/>
    <s v="No"/>
    <m/>
    <d v="2025-11-11T00:00:00"/>
    <n v="1"/>
    <n v="3"/>
    <n v="3"/>
    <n v="10"/>
    <n v="1"/>
    <n v="1"/>
    <n v="1"/>
    <n v="1"/>
    <x v="3"/>
  </r>
  <r>
    <s v="L1366"/>
    <x v="0"/>
    <s v="Warm"/>
    <d v="2025-10-11T00:00:00"/>
    <d v="2025-10-15T00:00:00"/>
    <d v="2025-10-16T00:00:00"/>
    <d v="2025-10-21T00:00:00"/>
    <s v="No"/>
    <m/>
    <d v="2025-11-13T00:00:00"/>
    <n v="4"/>
    <n v="1"/>
    <n v="5"/>
    <n v="3"/>
    <n v="1"/>
    <n v="1"/>
    <n v="1"/>
    <n v="1"/>
    <x v="0"/>
  </r>
  <r>
    <s v="L1367"/>
    <x v="1"/>
    <s v="Hot"/>
    <d v="2025-10-04T00:00:00"/>
    <d v="2025-10-09T00:00:00"/>
    <d v="2025-10-11T00:00:00"/>
    <d v="2025-10-13T00:00:00"/>
    <s v="Yes"/>
    <s v="Model Unavailable"/>
    <m/>
    <n v="5"/>
    <n v="2"/>
    <n v="2"/>
    <m/>
    <n v="1"/>
    <n v="1"/>
    <n v="1"/>
    <n v="0"/>
    <x v="2"/>
  </r>
  <r>
    <s v="L1368"/>
    <x v="1"/>
    <s v="Warm"/>
    <d v="2025-10-25T00:00:00"/>
    <d v="2025-10-28T00:00:00"/>
    <d v="2025-11-02T00:00:00"/>
    <d v="2025-11-05T00:00:00"/>
    <s v="No"/>
    <m/>
    <d v="2025-11-18T00:00:00"/>
    <n v="3"/>
    <n v="5"/>
    <n v="3"/>
    <n v="10"/>
    <n v="1"/>
    <n v="1"/>
    <n v="1"/>
    <n v="1"/>
    <x v="3"/>
  </r>
  <r>
    <s v="L1369"/>
    <x v="1"/>
    <s v="Hot"/>
    <d v="2025-10-13T00:00:00"/>
    <d v="2025-10-14T00:00:00"/>
    <d v="2025-10-18T00:00:00"/>
    <d v="2025-10-24T00:00:00"/>
    <s v="No"/>
    <m/>
    <d v="2025-11-16T00:00:00"/>
    <n v="1"/>
    <n v="4"/>
    <n v="6"/>
    <n v="4"/>
    <n v="1"/>
    <n v="1"/>
    <n v="1"/>
    <n v="1"/>
    <x v="0"/>
  </r>
  <r>
    <s v="L1370"/>
    <x v="3"/>
    <s v="Warm"/>
    <d v="2025-10-28T00:00:00"/>
    <d v="2025-10-31T00:00:00"/>
    <d v="2025-11-05T00:00:00"/>
    <d v="2025-11-08T00:00:00"/>
    <s v="No"/>
    <m/>
    <d v="2025-11-22T00:00:00"/>
    <n v="3"/>
    <n v="5"/>
    <n v="3"/>
    <n v="7"/>
    <n v="1"/>
    <n v="1"/>
    <n v="1"/>
    <n v="1"/>
    <x v="1"/>
  </r>
  <r>
    <s v="L1371"/>
    <x v="2"/>
    <s v="Warm"/>
    <d v="2025-10-17T00:00:00"/>
    <d v="2025-10-20T00:00:00"/>
    <d v="2025-10-22T00:00:00"/>
    <d v="2025-10-28T00:00:00"/>
    <s v="No"/>
    <m/>
    <d v="2025-11-11T00:00:00"/>
    <n v="3"/>
    <n v="2"/>
    <n v="6"/>
    <n v="1"/>
    <n v="1"/>
    <n v="1"/>
    <n v="1"/>
    <n v="1"/>
    <x v="0"/>
  </r>
  <r>
    <s v="L1372"/>
    <x v="3"/>
    <s v="Warm"/>
    <d v="2025-10-27T00:00:00"/>
    <d v="2025-10-29T00:00:00"/>
    <d v="2025-10-31T00:00:00"/>
    <d v="2025-11-07T00:00:00"/>
    <s v="No"/>
    <m/>
    <d v="2025-12-05T00:00:00"/>
    <n v="2"/>
    <n v="2"/>
    <n v="7"/>
    <n v="5"/>
    <n v="1"/>
    <n v="1"/>
    <n v="1"/>
    <n v="1"/>
    <x v="0"/>
  </r>
  <r>
    <s v="L1373"/>
    <x v="0"/>
    <s v="Warm"/>
    <d v="2025-10-01T00:00:00"/>
    <d v="2025-10-03T00:00:00"/>
    <d v="2025-10-04T00:00:00"/>
    <d v="2025-10-09T00:00:00"/>
    <s v="No"/>
    <m/>
    <d v="2025-11-06T00:00:00"/>
    <n v="2"/>
    <n v="1"/>
    <n v="5"/>
    <n v="2"/>
    <n v="1"/>
    <n v="1"/>
    <n v="1"/>
    <n v="1"/>
    <x v="0"/>
  </r>
  <r>
    <s v="L1374"/>
    <x v="3"/>
    <s v="Hot"/>
    <d v="2025-10-22T00:00:00"/>
    <d v="2025-10-25T00:00:00"/>
    <d v="2025-10-26T00:00:00"/>
    <d v="2025-10-28T00:00:00"/>
    <s v="No"/>
    <m/>
    <d v="2025-11-25T00:00:00"/>
    <n v="3"/>
    <n v="1"/>
    <n v="2"/>
    <n v="9"/>
    <n v="1"/>
    <n v="1"/>
    <n v="1"/>
    <n v="1"/>
    <x v="3"/>
  </r>
  <r>
    <s v="L1375"/>
    <x v="0"/>
    <s v="Warm"/>
    <d v="2025-10-28T00:00:00"/>
    <d v="2025-11-01T00:00:00"/>
    <d v="2025-11-04T00:00:00"/>
    <d v="2025-11-06T00:00:00"/>
    <s v="Yes"/>
    <s v="Changed Mind"/>
    <m/>
    <n v="4"/>
    <n v="3"/>
    <n v="2"/>
    <m/>
    <n v="1"/>
    <n v="1"/>
    <n v="1"/>
    <n v="0"/>
    <x v="2"/>
  </r>
  <r>
    <s v="L1376"/>
    <x v="3"/>
    <s v="Warm"/>
    <d v="2025-10-18T00:00:00"/>
    <d v="2025-10-20T00:00:00"/>
    <d v="2025-10-24T00:00:00"/>
    <d v="2025-10-31T00:00:00"/>
    <s v="No"/>
    <m/>
    <d v="2025-11-13T00:00:00"/>
    <n v="2"/>
    <n v="4"/>
    <n v="7"/>
    <n v="3"/>
    <n v="1"/>
    <n v="1"/>
    <n v="1"/>
    <n v="1"/>
    <x v="0"/>
  </r>
  <r>
    <s v="L1377"/>
    <x v="2"/>
    <s v="Warm"/>
    <d v="2025-10-15T00:00:00"/>
    <d v="2025-10-17T00:00:00"/>
    <d v="2025-10-22T00:00:00"/>
    <d v="2025-10-26T00:00:00"/>
    <s v="No"/>
    <m/>
    <d v="2025-11-08T00:00:00"/>
    <n v="2"/>
    <n v="5"/>
    <n v="4"/>
    <n v="9"/>
    <n v="1"/>
    <n v="1"/>
    <n v="1"/>
    <n v="1"/>
    <x v="3"/>
  </r>
  <r>
    <s v="L1378"/>
    <x v="0"/>
    <s v="Cold"/>
    <d v="2025-10-14T00:00:00"/>
    <m/>
    <m/>
    <m/>
    <s v="Yes"/>
    <s v="Financing Issue"/>
    <m/>
    <m/>
    <m/>
    <m/>
    <m/>
    <n v="1"/>
    <n v="0"/>
    <n v="0"/>
    <n v="0"/>
    <x v="2"/>
  </r>
  <r>
    <s v="L1379"/>
    <x v="1"/>
    <s v="Hot"/>
    <d v="2025-10-02T00:00:00"/>
    <d v="2025-10-04T00:00:00"/>
    <d v="2025-10-08T00:00:00"/>
    <d v="2025-10-10T00:00:00"/>
    <s v="No"/>
    <m/>
    <d v="2025-11-07T00:00:00"/>
    <n v="2"/>
    <n v="4"/>
    <n v="2"/>
    <n v="10"/>
    <n v="1"/>
    <n v="1"/>
    <n v="1"/>
    <n v="1"/>
    <x v="3"/>
  </r>
  <r>
    <s v="L1380"/>
    <x v="1"/>
    <s v="Warm"/>
    <d v="2025-10-07T00:00:00"/>
    <d v="2025-10-09T00:00:00"/>
    <d v="2025-10-14T00:00:00"/>
    <d v="2025-10-19T00:00:00"/>
    <s v="No"/>
    <m/>
    <d v="2025-11-01T00:00:00"/>
    <n v="2"/>
    <n v="5"/>
    <n v="5"/>
    <n v="1"/>
    <n v="1"/>
    <n v="1"/>
    <n v="1"/>
    <n v="1"/>
    <x v="0"/>
  </r>
  <r>
    <s v="L1381"/>
    <x v="3"/>
    <s v="Warm"/>
    <d v="2025-10-17T00:00:00"/>
    <d v="2025-10-18T00:00:00"/>
    <d v="2025-10-22T00:00:00"/>
    <d v="2025-10-29T00:00:00"/>
    <s v="No"/>
    <m/>
    <d v="2025-11-17T00:00:00"/>
    <n v="1"/>
    <n v="4"/>
    <n v="7"/>
    <n v="8"/>
    <n v="1"/>
    <n v="1"/>
    <n v="1"/>
    <n v="1"/>
    <x v="1"/>
  </r>
  <r>
    <s v="L1382"/>
    <x v="1"/>
    <s v="Warm"/>
    <d v="2025-10-12T00:00:00"/>
    <d v="2025-10-15T00:00:00"/>
    <d v="2025-10-17T00:00:00"/>
    <d v="2025-10-20T00:00:00"/>
    <s v="No"/>
    <m/>
    <d v="2025-11-16T00:00:00"/>
    <n v="3"/>
    <n v="2"/>
    <n v="3"/>
    <n v="4"/>
    <n v="1"/>
    <n v="1"/>
    <n v="1"/>
    <n v="1"/>
    <x v="0"/>
  </r>
  <r>
    <s v="L1383"/>
    <x v="0"/>
    <s v="Hot"/>
    <d v="2025-10-20T00:00:00"/>
    <d v="2025-10-21T00:00:00"/>
    <d v="2025-10-23T00:00:00"/>
    <d v="2025-10-28T00:00:00"/>
    <s v="No"/>
    <m/>
    <d v="2025-11-18T00:00:00"/>
    <n v="1"/>
    <n v="2"/>
    <n v="5"/>
    <n v="9"/>
    <n v="1"/>
    <n v="1"/>
    <n v="1"/>
    <n v="1"/>
    <x v="3"/>
  </r>
  <r>
    <s v="L1384"/>
    <x v="1"/>
    <s v="Hot"/>
    <d v="2025-10-25T00:00:00"/>
    <d v="2025-10-30T00:00:00"/>
    <d v="2025-11-03T00:00:00"/>
    <d v="2025-11-05T00:00:00"/>
    <s v="Yes"/>
    <s v="Model Unavailable"/>
    <m/>
    <n v="5"/>
    <n v="4"/>
    <n v="2"/>
    <m/>
    <n v="1"/>
    <n v="1"/>
    <n v="1"/>
    <n v="0"/>
    <x v="2"/>
  </r>
  <r>
    <s v="L1385"/>
    <x v="2"/>
    <s v="Cold"/>
    <d v="2025-10-16T00:00:00"/>
    <m/>
    <m/>
    <m/>
    <s v="Yes"/>
    <s v="Price"/>
    <m/>
    <m/>
    <m/>
    <m/>
    <m/>
    <n v="1"/>
    <n v="0"/>
    <n v="0"/>
    <n v="0"/>
    <x v="2"/>
  </r>
  <r>
    <s v="L1386"/>
    <x v="2"/>
    <s v="Warm"/>
    <d v="2025-10-21T00:00:00"/>
    <d v="2025-10-26T00:00:00"/>
    <d v="2025-10-29T00:00:00"/>
    <d v="2025-11-01T00:00:00"/>
    <s v="No"/>
    <m/>
    <d v="2025-11-24T00:00:00"/>
    <n v="5"/>
    <n v="3"/>
    <n v="3"/>
    <n v="5"/>
    <n v="1"/>
    <n v="1"/>
    <n v="1"/>
    <n v="1"/>
    <x v="0"/>
  </r>
  <r>
    <s v="L1387"/>
    <x v="3"/>
    <s v="Warm"/>
    <d v="2025-10-15T00:00:00"/>
    <d v="2025-10-20T00:00:00"/>
    <d v="2025-10-22T00:00:00"/>
    <d v="2025-10-27T00:00:00"/>
    <s v="Yes"/>
    <s v="Price"/>
    <m/>
    <n v="5"/>
    <n v="2"/>
    <n v="5"/>
    <m/>
    <n v="1"/>
    <n v="1"/>
    <n v="1"/>
    <n v="0"/>
    <x v="2"/>
  </r>
  <r>
    <s v="L1388"/>
    <x v="0"/>
    <s v="Warm"/>
    <d v="2025-10-25T00:00:00"/>
    <d v="2025-10-26T00:00:00"/>
    <d v="2025-10-29T00:00:00"/>
    <d v="2025-10-31T00:00:00"/>
    <s v="No"/>
    <m/>
    <d v="2025-11-18T00:00:00"/>
    <n v="1"/>
    <n v="3"/>
    <n v="2"/>
    <n v="3"/>
    <n v="1"/>
    <n v="1"/>
    <n v="1"/>
    <n v="1"/>
    <x v="0"/>
  </r>
  <r>
    <s v="L1389"/>
    <x v="2"/>
    <s v="Warm"/>
    <d v="2025-10-02T00:00:00"/>
    <d v="2025-10-05T00:00:00"/>
    <d v="2025-10-07T00:00:00"/>
    <d v="2025-10-14T00:00:00"/>
    <s v="No"/>
    <m/>
    <d v="2025-11-05T00:00:00"/>
    <n v="3"/>
    <n v="2"/>
    <n v="7"/>
    <n v="6"/>
    <n v="1"/>
    <n v="1"/>
    <n v="1"/>
    <n v="1"/>
    <x v="0"/>
  </r>
  <r>
    <s v="L1390"/>
    <x v="2"/>
    <s v="Hot"/>
    <d v="2025-10-07T00:00:00"/>
    <d v="2025-10-12T00:00:00"/>
    <d v="2025-10-13T00:00:00"/>
    <d v="2025-10-15T00:00:00"/>
    <s v="No"/>
    <m/>
    <d v="2025-11-14T00:00:00"/>
    <n v="5"/>
    <n v="1"/>
    <n v="2"/>
    <n v="1"/>
    <n v="1"/>
    <n v="1"/>
    <n v="1"/>
    <n v="1"/>
    <x v="0"/>
  </r>
  <r>
    <s v="L1391"/>
    <x v="0"/>
    <s v="Warm"/>
    <d v="2025-10-09T00:00:00"/>
    <d v="2025-10-11T00:00:00"/>
    <d v="2025-10-12T00:00:00"/>
    <d v="2025-10-14T00:00:00"/>
    <s v="No"/>
    <m/>
    <d v="2025-11-08T00:00:00"/>
    <n v="2"/>
    <n v="1"/>
    <n v="2"/>
    <n v="4"/>
    <n v="1"/>
    <n v="1"/>
    <n v="1"/>
    <n v="1"/>
    <x v="0"/>
  </r>
  <r>
    <s v="L1392"/>
    <x v="1"/>
    <s v="Warm"/>
    <d v="2025-10-18T00:00:00"/>
    <d v="2025-10-23T00:00:00"/>
    <d v="2025-10-27T00:00:00"/>
    <d v="2025-10-31T00:00:00"/>
    <s v="No"/>
    <m/>
    <d v="2025-11-28T00:00:00"/>
    <n v="5"/>
    <n v="4"/>
    <n v="4"/>
    <n v="6"/>
    <n v="1"/>
    <n v="1"/>
    <n v="1"/>
    <n v="1"/>
    <x v="0"/>
  </r>
  <r>
    <s v="L1393"/>
    <x v="1"/>
    <s v="Cold"/>
    <d v="2025-10-05T00:00:00"/>
    <m/>
    <m/>
    <m/>
    <s v="Yes"/>
    <s v="Other"/>
    <m/>
    <m/>
    <m/>
    <m/>
    <m/>
    <n v="1"/>
    <n v="0"/>
    <n v="0"/>
    <n v="0"/>
    <x v="2"/>
  </r>
  <r>
    <s v="L1394"/>
    <x v="3"/>
    <s v="Hot"/>
    <d v="2025-10-30T00:00:00"/>
    <d v="2025-11-03T00:00:00"/>
    <d v="2025-11-08T00:00:00"/>
    <d v="2025-11-12T00:00:00"/>
    <s v="No"/>
    <m/>
    <d v="2025-12-11T00:00:00"/>
    <n v="4"/>
    <n v="5"/>
    <n v="4"/>
    <n v="2"/>
    <n v="1"/>
    <n v="1"/>
    <n v="1"/>
    <n v="1"/>
    <x v="0"/>
  </r>
  <r>
    <s v="L1395"/>
    <x v="1"/>
    <s v="Warm"/>
    <d v="2025-10-10T00:00:00"/>
    <d v="2025-10-12T00:00:00"/>
    <d v="2025-10-13T00:00:00"/>
    <d v="2025-10-17T00:00:00"/>
    <s v="No"/>
    <m/>
    <d v="2025-11-11T00:00:00"/>
    <n v="2"/>
    <n v="1"/>
    <n v="4"/>
    <n v="8"/>
    <n v="1"/>
    <n v="1"/>
    <n v="1"/>
    <n v="1"/>
    <x v="1"/>
  </r>
  <r>
    <s v="L1396"/>
    <x v="0"/>
    <s v="Warm"/>
    <d v="2025-10-15T00:00:00"/>
    <d v="2025-10-17T00:00:00"/>
    <d v="2025-10-19T00:00:00"/>
    <d v="2025-10-22T00:00:00"/>
    <s v="No"/>
    <m/>
    <d v="2025-11-02T00:00:00"/>
    <n v="2"/>
    <n v="2"/>
    <n v="3"/>
    <n v="6"/>
    <n v="1"/>
    <n v="1"/>
    <n v="1"/>
    <n v="1"/>
    <x v="0"/>
  </r>
  <r>
    <s v="L1397"/>
    <x v="2"/>
    <s v="Warm"/>
    <d v="2025-10-29T00:00:00"/>
    <d v="2025-10-31T00:00:00"/>
    <d v="2025-11-02T00:00:00"/>
    <d v="2025-11-07T00:00:00"/>
    <s v="No"/>
    <m/>
    <d v="2025-11-22T00:00:00"/>
    <n v="2"/>
    <n v="2"/>
    <n v="5"/>
    <n v="2"/>
    <n v="1"/>
    <n v="1"/>
    <n v="1"/>
    <n v="1"/>
    <x v="0"/>
  </r>
  <r>
    <s v="L1398"/>
    <x v="1"/>
    <s v="Warm"/>
    <d v="2025-10-23T00:00:00"/>
    <d v="2025-10-28T00:00:00"/>
    <d v="2025-10-29T00:00:00"/>
    <d v="2025-11-01T00:00:00"/>
    <s v="No"/>
    <m/>
    <d v="2025-11-19T00:00:00"/>
    <n v="5"/>
    <n v="1"/>
    <n v="3"/>
    <n v="6"/>
    <n v="1"/>
    <n v="1"/>
    <n v="1"/>
    <n v="1"/>
    <x v="0"/>
  </r>
  <r>
    <s v="L1399"/>
    <x v="3"/>
    <s v="Warm"/>
    <d v="2025-10-16T00:00:00"/>
    <d v="2025-10-18T00:00:00"/>
    <d v="2025-10-19T00:00:00"/>
    <d v="2025-10-26T00:00:00"/>
    <s v="No"/>
    <m/>
    <d v="2025-11-17T00:00:00"/>
    <n v="2"/>
    <n v="1"/>
    <n v="7"/>
    <n v="7"/>
    <n v="1"/>
    <n v="1"/>
    <n v="1"/>
    <n v="1"/>
    <x v="1"/>
  </r>
  <r>
    <s v="L1400"/>
    <x v="1"/>
    <s v="Warm"/>
    <d v="2025-10-04T00:00:00"/>
    <d v="2025-10-08T00:00:00"/>
    <d v="2025-10-13T00:00:00"/>
    <d v="2025-10-20T00:00:00"/>
    <s v="No"/>
    <m/>
    <d v="2025-11-03T00:00:00"/>
    <n v="4"/>
    <n v="5"/>
    <n v="7"/>
    <n v="1"/>
    <n v="1"/>
    <n v="1"/>
    <n v="1"/>
    <n v="1"/>
    <x v="0"/>
  </r>
  <r>
    <s v="L1401"/>
    <x v="0"/>
    <s v="Warm"/>
    <d v="2025-10-01T00:00:00"/>
    <d v="2025-10-02T00:00:00"/>
    <d v="2025-10-03T00:00:00"/>
    <d v="2025-10-06T00:00:00"/>
    <s v="No"/>
    <m/>
    <d v="2025-11-04T00:00:00"/>
    <n v="1"/>
    <n v="1"/>
    <n v="3"/>
    <n v="8"/>
    <n v="1"/>
    <n v="1"/>
    <n v="1"/>
    <n v="1"/>
    <x v="1"/>
  </r>
  <r>
    <s v="L1402"/>
    <x v="3"/>
    <s v="Warm"/>
    <d v="2025-10-21T00:00:00"/>
    <d v="2025-10-25T00:00:00"/>
    <d v="2025-10-29T00:00:00"/>
    <d v="2025-10-31T00:00:00"/>
    <s v="No"/>
    <m/>
    <d v="2025-11-29T00:00:00"/>
    <n v="4"/>
    <n v="4"/>
    <n v="2"/>
    <n v="7"/>
    <n v="1"/>
    <n v="1"/>
    <n v="1"/>
    <n v="1"/>
    <x v="1"/>
  </r>
  <r>
    <s v="L1403"/>
    <x v="1"/>
    <s v="Cold"/>
    <d v="2025-10-20T00:00:00"/>
    <m/>
    <m/>
    <m/>
    <s v="Yes"/>
    <s v="Changed Mind"/>
    <m/>
    <m/>
    <m/>
    <m/>
    <m/>
    <n v="1"/>
    <n v="0"/>
    <n v="0"/>
    <n v="0"/>
    <x v="2"/>
  </r>
  <r>
    <s v="L1404"/>
    <x v="3"/>
    <s v="Warm"/>
    <d v="2025-10-26T00:00:00"/>
    <d v="2025-10-29T00:00:00"/>
    <d v="2025-11-03T00:00:00"/>
    <d v="2025-11-09T00:00:00"/>
    <s v="Yes"/>
    <s v="Other"/>
    <m/>
    <n v="3"/>
    <n v="5"/>
    <n v="6"/>
    <m/>
    <n v="1"/>
    <n v="1"/>
    <n v="1"/>
    <n v="0"/>
    <x v="2"/>
  </r>
  <r>
    <s v="L1405"/>
    <x v="0"/>
    <s v="Warm"/>
    <d v="2025-10-08T00:00:00"/>
    <d v="2025-10-10T00:00:00"/>
    <d v="2025-10-11T00:00:00"/>
    <d v="2025-10-17T00:00:00"/>
    <s v="No"/>
    <m/>
    <d v="2025-11-08T00:00:00"/>
    <n v="2"/>
    <n v="1"/>
    <n v="6"/>
    <n v="7"/>
    <n v="1"/>
    <n v="1"/>
    <n v="1"/>
    <n v="1"/>
    <x v="1"/>
  </r>
  <r>
    <s v="L1406"/>
    <x v="2"/>
    <s v="Hot"/>
    <d v="2025-10-23T00:00:00"/>
    <d v="2025-10-27T00:00:00"/>
    <d v="2025-10-29T00:00:00"/>
    <d v="2025-10-31T00:00:00"/>
    <s v="No"/>
    <m/>
    <d v="2025-11-11T00:00:00"/>
    <n v="4"/>
    <n v="2"/>
    <n v="2"/>
    <n v="7"/>
    <n v="1"/>
    <n v="1"/>
    <n v="1"/>
    <n v="1"/>
    <x v="1"/>
  </r>
  <r>
    <s v="L1407"/>
    <x v="0"/>
    <s v="Cold"/>
    <d v="2025-10-06T00:00:00"/>
    <m/>
    <m/>
    <m/>
    <s v="Yes"/>
    <s v="Other"/>
    <m/>
    <m/>
    <m/>
    <m/>
    <m/>
    <n v="1"/>
    <n v="0"/>
    <n v="0"/>
    <n v="0"/>
    <x v="2"/>
  </r>
  <r>
    <s v="L1408"/>
    <x v="0"/>
    <s v="Hot"/>
    <d v="2025-10-10T00:00:00"/>
    <d v="2025-10-15T00:00:00"/>
    <d v="2025-10-16T00:00:00"/>
    <d v="2025-10-22T00:00:00"/>
    <s v="Yes"/>
    <s v="Other"/>
    <m/>
    <n v="5"/>
    <n v="1"/>
    <n v="6"/>
    <m/>
    <n v="1"/>
    <n v="1"/>
    <n v="1"/>
    <n v="0"/>
    <x v="2"/>
  </r>
  <r>
    <s v="L1409"/>
    <x v="0"/>
    <s v="Hot"/>
    <d v="2025-10-18T00:00:00"/>
    <d v="2025-10-21T00:00:00"/>
    <d v="2025-10-25T00:00:00"/>
    <d v="2025-11-01T00:00:00"/>
    <s v="No"/>
    <m/>
    <d v="2025-11-23T00:00:00"/>
    <n v="3"/>
    <n v="4"/>
    <n v="7"/>
    <n v="1"/>
    <n v="1"/>
    <n v="1"/>
    <n v="1"/>
    <n v="1"/>
    <x v="0"/>
  </r>
  <r>
    <s v="L1410"/>
    <x v="0"/>
    <s v="Hot"/>
    <d v="2025-10-01T00:00:00"/>
    <d v="2025-10-05T00:00:00"/>
    <d v="2025-10-09T00:00:00"/>
    <d v="2025-10-12T00:00:00"/>
    <s v="No"/>
    <m/>
    <d v="2025-11-01T00:00:00"/>
    <n v="4"/>
    <n v="4"/>
    <n v="3"/>
    <n v="1"/>
    <n v="1"/>
    <n v="1"/>
    <n v="1"/>
    <n v="1"/>
    <x v="0"/>
  </r>
  <r>
    <s v="L1411"/>
    <x v="2"/>
    <s v="Warm"/>
    <d v="2025-10-18T00:00:00"/>
    <d v="2025-10-20T00:00:00"/>
    <d v="2025-10-22T00:00:00"/>
    <d v="2025-10-27T00:00:00"/>
    <s v="No"/>
    <m/>
    <d v="2025-11-13T00:00:00"/>
    <n v="2"/>
    <n v="2"/>
    <n v="5"/>
    <n v="10"/>
    <n v="1"/>
    <n v="1"/>
    <n v="1"/>
    <n v="1"/>
    <x v="3"/>
  </r>
  <r>
    <s v="L1412"/>
    <x v="2"/>
    <s v="Hot"/>
    <d v="2025-10-14T00:00:00"/>
    <d v="2025-10-19T00:00:00"/>
    <d v="2025-10-24T00:00:00"/>
    <d v="2025-10-28T00:00:00"/>
    <s v="No"/>
    <m/>
    <d v="2025-11-08T00:00:00"/>
    <n v="5"/>
    <n v="5"/>
    <n v="4"/>
    <n v="7"/>
    <n v="1"/>
    <n v="1"/>
    <n v="1"/>
    <n v="1"/>
    <x v="1"/>
  </r>
  <r>
    <s v="L1413"/>
    <x v="3"/>
    <s v="Hot"/>
    <d v="2025-10-03T00:00:00"/>
    <d v="2025-10-05T00:00:00"/>
    <d v="2025-10-07T00:00:00"/>
    <d v="2025-10-14T00:00:00"/>
    <s v="No"/>
    <m/>
    <d v="2025-11-08T00:00:00"/>
    <n v="2"/>
    <n v="2"/>
    <n v="7"/>
    <n v="3"/>
    <n v="1"/>
    <n v="1"/>
    <n v="1"/>
    <n v="1"/>
    <x v="0"/>
  </r>
  <r>
    <s v="L1414"/>
    <x v="1"/>
    <s v="Hot"/>
    <d v="2025-10-08T00:00:00"/>
    <d v="2025-10-11T00:00:00"/>
    <d v="2025-10-12T00:00:00"/>
    <d v="2025-10-15T00:00:00"/>
    <s v="Yes"/>
    <s v="Price"/>
    <m/>
    <n v="3"/>
    <n v="1"/>
    <n v="3"/>
    <m/>
    <n v="1"/>
    <n v="1"/>
    <n v="1"/>
    <n v="0"/>
    <x v="2"/>
  </r>
  <r>
    <s v="L1415"/>
    <x v="2"/>
    <s v="Hot"/>
    <d v="2025-10-27T00:00:00"/>
    <d v="2025-10-31T00:00:00"/>
    <d v="2025-11-02T00:00:00"/>
    <d v="2025-11-09T00:00:00"/>
    <s v="No"/>
    <m/>
    <d v="2025-11-27T00:00:00"/>
    <n v="4"/>
    <n v="2"/>
    <n v="7"/>
    <n v="0"/>
    <n v="1"/>
    <n v="1"/>
    <n v="1"/>
    <n v="1"/>
    <x v="0"/>
  </r>
  <r>
    <s v="L1416"/>
    <x v="2"/>
    <s v="Warm"/>
    <d v="2025-10-30T00:00:00"/>
    <d v="2025-11-01T00:00:00"/>
    <d v="2025-11-06T00:00:00"/>
    <d v="2025-11-13T00:00:00"/>
    <s v="No"/>
    <m/>
    <d v="2025-12-04T00:00:00"/>
    <n v="2"/>
    <n v="5"/>
    <n v="7"/>
    <n v="4"/>
    <n v="1"/>
    <n v="1"/>
    <n v="1"/>
    <n v="1"/>
    <x v="0"/>
  </r>
  <r>
    <s v="L1417"/>
    <x v="1"/>
    <s v="Warm"/>
    <d v="2025-10-04T00:00:00"/>
    <d v="2025-10-07T00:00:00"/>
    <d v="2025-10-10T00:00:00"/>
    <d v="2025-10-13T00:00:00"/>
    <s v="No"/>
    <m/>
    <d v="2025-10-23T00:00:00"/>
    <n v="3"/>
    <n v="3"/>
    <n v="3"/>
    <n v="10"/>
    <n v="1"/>
    <n v="1"/>
    <n v="1"/>
    <n v="1"/>
    <x v="3"/>
  </r>
  <r>
    <s v="L1418"/>
    <x v="2"/>
    <s v="Warm"/>
    <d v="2025-10-15T00:00:00"/>
    <d v="2025-10-20T00:00:00"/>
    <d v="2025-10-22T00:00:00"/>
    <d v="2025-10-27T00:00:00"/>
    <s v="No"/>
    <m/>
    <d v="2025-11-16T00:00:00"/>
    <n v="5"/>
    <n v="2"/>
    <n v="5"/>
    <n v="9"/>
    <n v="1"/>
    <n v="1"/>
    <n v="1"/>
    <n v="1"/>
    <x v="3"/>
  </r>
  <r>
    <s v="L1419"/>
    <x v="0"/>
    <s v="Warm"/>
    <d v="2025-10-31T00:00:00"/>
    <d v="2025-11-04T00:00:00"/>
    <d v="2025-11-09T00:00:00"/>
    <d v="2025-11-15T00:00:00"/>
    <s v="No"/>
    <m/>
    <d v="2025-12-04T00:00:00"/>
    <n v="4"/>
    <n v="5"/>
    <n v="6"/>
    <n v="5"/>
    <n v="1"/>
    <n v="1"/>
    <n v="1"/>
    <n v="1"/>
    <x v="0"/>
  </r>
  <r>
    <s v="L1420"/>
    <x v="0"/>
    <s v="Warm"/>
    <d v="2025-10-04T00:00:00"/>
    <d v="2025-10-08T00:00:00"/>
    <d v="2025-10-11T00:00:00"/>
    <d v="2025-10-18T00:00:00"/>
    <s v="No"/>
    <m/>
    <d v="2025-11-06T00:00:00"/>
    <n v="4"/>
    <n v="3"/>
    <n v="7"/>
    <n v="1"/>
    <n v="1"/>
    <n v="1"/>
    <n v="1"/>
    <n v="1"/>
    <x v="0"/>
  </r>
  <r>
    <s v="L1421"/>
    <x v="1"/>
    <s v="Hot"/>
    <d v="2025-10-21T00:00:00"/>
    <d v="2025-10-24T00:00:00"/>
    <d v="2025-10-29T00:00:00"/>
    <d v="2025-11-03T00:00:00"/>
    <s v="No"/>
    <m/>
    <d v="2025-11-21T00:00:00"/>
    <n v="3"/>
    <n v="5"/>
    <n v="5"/>
    <n v="7"/>
    <n v="1"/>
    <n v="1"/>
    <n v="1"/>
    <n v="1"/>
    <x v="1"/>
  </r>
  <r>
    <s v="L1422"/>
    <x v="3"/>
    <s v="Warm"/>
    <d v="2025-10-27T00:00:00"/>
    <d v="2025-10-31T00:00:00"/>
    <d v="2025-11-05T00:00:00"/>
    <d v="2025-11-08T00:00:00"/>
    <s v="No"/>
    <m/>
    <d v="2025-12-03T00:00:00"/>
    <n v="4"/>
    <n v="5"/>
    <n v="3"/>
    <n v="2"/>
    <n v="1"/>
    <n v="1"/>
    <n v="1"/>
    <n v="1"/>
    <x v="0"/>
  </r>
  <r>
    <s v="L1423"/>
    <x v="3"/>
    <s v="Cold"/>
    <d v="2025-10-05T00:00:00"/>
    <m/>
    <m/>
    <m/>
    <s v="Yes"/>
    <s v="Price"/>
    <m/>
    <m/>
    <m/>
    <m/>
    <m/>
    <n v="1"/>
    <n v="0"/>
    <n v="0"/>
    <n v="0"/>
    <x v="2"/>
  </r>
  <r>
    <s v="L1424"/>
    <x v="1"/>
    <s v="Warm"/>
    <d v="2025-10-16T00:00:00"/>
    <d v="2025-10-21T00:00:00"/>
    <d v="2025-10-24T00:00:00"/>
    <d v="2025-10-26T00:00:00"/>
    <s v="No"/>
    <m/>
    <d v="2025-11-08T00:00:00"/>
    <n v="5"/>
    <n v="3"/>
    <n v="2"/>
    <n v="3"/>
    <n v="1"/>
    <n v="1"/>
    <n v="1"/>
    <n v="1"/>
    <x v="0"/>
  </r>
  <r>
    <s v="L1425"/>
    <x v="1"/>
    <s v="Hot"/>
    <d v="2025-10-30T00:00:00"/>
    <d v="2025-11-04T00:00:00"/>
    <d v="2025-11-06T00:00:00"/>
    <d v="2025-11-08T00:00:00"/>
    <s v="No"/>
    <m/>
    <d v="2025-11-25T00:00:00"/>
    <n v="5"/>
    <n v="2"/>
    <n v="2"/>
    <n v="3"/>
    <n v="1"/>
    <n v="1"/>
    <n v="1"/>
    <n v="1"/>
    <x v="0"/>
  </r>
  <r>
    <s v="L1426"/>
    <x v="0"/>
    <s v="Warm"/>
    <d v="2025-10-23T00:00:00"/>
    <d v="2025-10-27T00:00:00"/>
    <d v="2025-10-30T00:00:00"/>
    <d v="2025-11-02T00:00:00"/>
    <s v="No"/>
    <m/>
    <d v="2025-11-16T00:00:00"/>
    <n v="4"/>
    <n v="3"/>
    <n v="3"/>
    <n v="6"/>
    <n v="1"/>
    <n v="1"/>
    <n v="1"/>
    <n v="1"/>
    <x v="0"/>
  </r>
  <r>
    <s v="L1427"/>
    <x v="3"/>
    <s v="Warm"/>
    <d v="2025-10-10T00:00:00"/>
    <d v="2025-10-12T00:00:00"/>
    <d v="2025-10-14T00:00:00"/>
    <d v="2025-10-16T00:00:00"/>
    <s v="No"/>
    <m/>
    <d v="2025-11-04T00:00:00"/>
    <n v="2"/>
    <n v="2"/>
    <n v="2"/>
    <n v="7"/>
    <n v="1"/>
    <n v="1"/>
    <n v="1"/>
    <n v="1"/>
    <x v="1"/>
  </r>
  <r>
    <s v="L1428"/>
    <x v="2"/>
    <s v="Warm"/>
    <d v="2025-10-17T00:00:00"/>
    <d v="2025-10-19T00:00:00"/>
    <d v="2025-10-24T00:00:00"/>
    <d v="2025-10-30T00:00:00"/>
    <s v="No"/>
    <m/>
    <d v="2025-11-23T00:00:00"/>
    <n v="2"/>
    <n v="5"/>
    <n v="6"/>
    <n v="8"/>
    <n v="1"/>
    <n v="1"/>
    <n v="1"/>
    <n v="1"/>
    <x v="1"/>
  </r>
  <r>
    <s v="L1429"/>
    <x v="0"/>
    <s v="Hot"/>
    <d v="2025-10-23T00:00:00"/>
    <d v="2025-10-28T00:00:00"/>
    <d v="2025-10-30T00:00:00"/>
    <d v="2025-11-06T00:00:00"/>
    <s v="No"/>
    <m/>
    <d v="2025-11-26T00:00:00"/>
    <n v="5"/>
    <n v="2"/>
    <n v="7"/>
    <n v="6"/>
    <n v="1"/>
    <n v="1"/>
    <n v="1"/>
    <n v="1"/>
    <x v="0"/>
  </r>
  <r>
    <s v="L1430"/>
    <x v="1"/>
    <s v="Hot"/>
    <d v="2025-10-09T00:00:00"/>
    <d v="2025-10-11T00:00:00"/>
    <d v="2025-10-15T00:00:00"/>
    <d v="2025-10-20T00:00:00"/>
    <s v="No"/>
    <m/>
    <d v="2025-11-07T00:00:00"/>
    <n v="2"/>
    <n v="4"/>
    <n v="5"/>
    <n v="10"/>
    <n v="1"/>
    <n v="1"/>
    <n v="1"/>
    <n v="1"/>
    <x v="3"/>
  </r>
  <r>
    <s v="L1431"/>
    <x v="3"/>
    <s v="Hot"/>
    <d v="2025-10-14T00:00:00"/>
    <d v="2025-10-17T00:00:00"/>
    <d v="2025-10-20T00:00:00"/>
    <d v="2025-10-24T00:00:00"/>
    <s v="No"/>
    <m/>
    <d v="2025-11-16T00:00:00"/>
    <n v="3"/>
    <n v="3"/>
    <n v="4"/>
    <n v="4"/>
    <n v="1"/>
    <n v="1"/>
    <n v="1"/>
    <n v="1"/>
    <x v="0"/>
  </r>
  <r>
    <s v="L1432"/>
    <x v="2"/>
    <s v="Cold"/>
    <d v="2025-10-27T00:00:00"/>
    <m/>
    <m/>
    <m/>
    <s v="Yes"/>
    <s v="Other"/>
    <m/>
    <m/>
    <m/>
    <m/>
    <m/>
    <n v="1"/>
    <n v="0"/>
    <n v="0"/>
    <n v="0"/>
    <x v="2"/>
  </r>
  <r>
    <s v="L1433"/>
    <x v="2"/>
    <s v="Warm"/>
    <d v="2025-10-16T00:00:00"/>
    <d v="2025-10-17T00:00:00"/>
    <d v="2025-10-20T00:00:00"/>
    <d v="2025-10-25T00:00:00"/>
    <s v="No"/>
    <m/>
    <d v="2025-11-23T00:00:00"/>
    <n v="1"/>
    <n v="3"/>
    <n v="5"/>
    <n v="1"/>
    <n v="1"/>
    <n v="1"/>
    <n v="1"/>
    <n v="1"/>
    <x v="0"/>
  </r>
  <r>
    <s v="L1434"/>
    <x v="0"/>
    <s v="Hot"/>
    <d v="2025-10-16T00:00:00"/>
    <d v="2025-10-20T00:00:00"/>
    <d v="2025-10-21T00:00:00"/>
    <d v="2025-10-25T00:00:00"/>
    <s v="No"/>
    <m/>
    <d v="2025-11-24T00:00:00"/>
    <n v="4"/>
    <n v="1"/>
    <n v="4"/>
    <n v="3"/>
    <n v="1"/>
    <n v="1"/>
    <n v="1"/>
    <n v="1"/>
    <x v="0"/>
  </r>
  <r>
    <s v="L1435"/>
    <x v="3"/>
    <s v="Hot"/>
    <d v="2025-10-08T00:00:00"/>
    <d v="2025-10-11T00:00:00"/>
    <d v="2025-10-16T00:00:00"/>
    <d v="2025-10-19T00:00:00"/>
    <s v="No"/>
    <m/>
    <d v="2025-10-31T00:00:00"/>
    <n v="3"/>
    <n v="5"/>
    <n v="3"/>
    <n v="7"/>
    <n v="1"/>
    <n v="1"/>
    <n v="1"/>
    <n v="1"/>
    <x v="1"/>
  </r>
  <r>
    <s v="L1436"/>
    <x v="3"/>
    <s v="Warm"/>
    <d v="2025-10-15T00:00:00"/>
    <d v="2025-10-20T00:00:00"/>
    <d v="2025-10-25T00:00:00"/>
    <d v="2025-10-28T00:00:00"/>
    <s v="No"/>
    <m/>
    <d v="2025-11-13T00:00:00"/>
    <n v="5"/>
    <n v="5"/>
    <n v="3"/>
    <n v="3"/>
    <n v="1"/>
    <n v="1"/>
    <n v="1"/>
    <n v="1"/>
    <x v="0"/>
  </r>
  <r>
    <s v="L1437"/>
    <x v="1"/>
    <s v="Hot"/>
    <d v="2025-10-18T00:00:00"/>
    <d v="2025-10-19T00:00:00"/>
    <d v="2025-10-21T00:00:00"/>
    <d v="2025-10-25T00:00:00"/>
    <s v="No"/>
    <m/>
    <d v="2025-11-18T00:00:00"/>
    <n v="1"/>
    <n v="2"/>
    <n v="4"/>
    <n v="8"/>
    <n v="1"/>
    <n v="1"/>
    <n v="1"/>
    <n v="1"/>
    <x v="1"/>
  </r>
  <r>
    <s v="L1438"/>
    <x v="3"/>
    <s v="Hot"/>
    <d v="2025-10-05T00:00:00"/>
    <d v="2025-10-10T00:00:00"/>
    <d v="2025-10-14T00:00:00"/>
    <d v="2025-10-21T00:00:00"/>
    <s v="No"/>
    <m/>
    <d v="2025-11-06T00:00:00"/>
    <n v="5"/>
    <n v="4"/>
    <n v="7"/>
    <n v="7"/>
    <n v="1"/>
    <n v="1"/>
    <n v="1"/>
    <n v="1"/>
    <x v="1"/>
  </r>
  <r>
    <s v="L1439"/>
    <x v="3"/>
    <s v="Cold"/>
    <d v="2025-10-13T00:00:00"/>
    <m/>
    <m/>
    <m/>
    <s v="Yes"/>
    <s v="Price"/>
    <m/>
    <m/>
    <m/>
    <m/>
    <m/>
    <n v="1"/>
    <n v="0"/>
    <n v="0"/>
    <n v="0"/>
    <x v="2"/>
  </r>
  <r>
    <s v="L1440"/>
    <x v="0"/>
    <s v="Hot"/>
    <d v="2025-10-07T00:00:00"/>
    <d v="2025-10-08T00:00:00"/>
    <d v="2025-10-13T00:00:00"/>
    <d v="2025-10-15T00:00:00"/>
    <s v="No"/>
    <m/>
    <d v="2025-11-07T00:00:00"/>
    <n v="1"/>
    <n v="5"/>
    <n v="2"/>
    <n v="1"/>
    <n v="1"/>
    <n v="1"/>
    <n v="1"/>
    <n v="1"/>
    <x v="0"/>
  </r>
  <r>
    <s v="L1441"/>
    <x v="3"/>
    <s v="Warm"/>
    <d v="2025-10-30T00:00:00"/>
    <d v="2025-11-02T00:00:00"/>
    <d v="2025-11-06T00:00:00"/>
    <d v="2025-11-09T00:00:00"/>
    <s v="No"/>
    <m/>
    <d v="2025-12-04T00:00:00"/>
    <n v="3"/>
    <n v="4"/>
    <n v="3"/>
    <n v="8"/>
    <n v="1"/>
    <n v="1"/>
    <n v="1"/>
    <n v="1"/>
    <x v="1"/>
  </r>
  <r>
    <s v="L1442"/>
    <x v="2"/>
    <s v="Cold"/>
    <d v="2025-10-20T00:00:00"/>
    <m/>
    <m/>
    <m/>
    <s v="Yes"/>
    <s v="Changed Mind"/>
    <m/>
    <m/>
    <m/>
    <m/>
    <m/>
    <n v="1"/>
    <n v="0"/>
    <n v="0"/>
    <n v="0"/>
    <x v="2"/>
  </r>
  <r>
    <s v="L1443"/>
    <x v="0"/>
    <s v="Warm"/>
    <d v="2025-10-17T00:00:00"/>
    <d v="2025-10-18T00:00:00"/>
    <d v="2025-10-19T00:00:00"/>
    <d v="2025-10-25T00:00:00"/>
    <s v="No"/>
    <m/>
    <d v="2025-11-20T00:00:00"/>
    <n v="1"/>
    <n v="1"/>
    <n v="6"/>
    <n v="6"/>
    <n v="1"/>
    <n v="1"/>
    <n v="1"/>
    <n v="1"/>
    <x v="0"/>
  </r>
  <r>
    <s v="L1444"/>
    <x v="0"/>
    <s v="Hot"/>
    <d v="2025-10-24T00:00:00"/>
    <d v="2025-10-26T00:00:00"/>
    <d v="2025-10-29T00:00:00"/>
    <d v="2025-11-04T00:00:00"/>
    <s v="Yes"/>
    <s v="Other"/>
    <m/>
    <n v="2"/>
    <n v="3"/>
    <n v="6"/>
    <m/>
    <n v="1"/>
    <n v="1"/>
    <n v="1"/>
    <n v="0"/>
    <x v="2"/>
  </r>
  <r>
    <s v="L1445"/>
    <x v="1"/>
    <s v="Hot"/>
    <d v="2025-10-29T00:00:00"/>
    <d v="2025-11-01T00:00:00"/>
    <d v="2025-11-05T00:00:00"/>
    <d v="2025-11-11T00:00:00"/>
    <s v="No"/>
    <m/>
    <d v="2025-12-02T00:00:00"/>
    <n v="3"/>
    <n v="4"/>
    <n v="6"/>
    <n v="3"/>
    <n v="1"/>
    <n v="1"/>
    <n v="1"/>
    <n v="1"/>
    <x v="0"/>
  </r>
  <r>
    <s v="L1446"/>
    <x v="3"/>
    <s v="Cold"/>
    <d v="2025-10-05T00:00:00"/>
    <m/>
    <m/>
    <m/>
    <s v="Yes"/>
    <s v="Price"/>
    <m/>
    <m/>
    <m/>
    <m/>
    <m/>
    <n v="1"/>
    <n v="0"/>
    <n v="0"/>
    <n v="0"/>
    <x v="2"/>
  </r>
  <r>
    <s v="L1447"/>
    <x v="1"/>
    <s v="Cold"/>
    <d v="2025-10-28T00:00:00"/>
    <m/>
    <m/>
    <m/>
    <s v="Yes"/>
    <s v="Model Unavailable"/>
    <m/>
    <m/>
    <m/>
    <m/>
    <m/>
    <n v="1"/>
    <n v="0"/>
    <n v="0"/>
    <n v="0"/>
    <x v="2"/>
  </r>
  <r>
    <s v="L1448"/>
    <x v="2"/>
    <s v="Warm"/>
    <d v="2025-10-03T00:00:00"/>
    <d v="2025-10-07T00:00:00"/>
    <d v="2025-10-12T00:00:00"/>
    <d v="2025-10-19T00:00:00"/>
    <s v="No"/>
    <m/>
    <d v="2025-10-30T00:00:00"/>
    <n v="4"/>
    <n v="5"/>
    <n v="7"/>
    <n v="3"/>
    <n v="1"/>
    <n v="1"/>
    <n v="1"/>
    <n v="1"/>
    <x v="0"/>
  </r>
  <r>
    <s v="L1449"/>
    <x v="0"/>
    <s v="Hot"/>
    <d v="2025-10-09T00:00:00"/>
    <d v="2025-10-14T00:00:00"/>
    <d v="2025-10-17T00:00:00"/>
    <d v="2025-10-23T00:00:00"/>
    <s v="No"/>
    <m/>
    <d v="2025-11-18T00:00:00"/>
    <n v="5"/>
    <n v="3"/>
    <n v="6"/>
    <n v="3"/>
    <n v="1"/>
    <n v="1"/>
    <n v="1"/>
    <n v="1"/>
    <x v="0"/>
  </r>
  <r>
    <s v="L1450"/>
    <x v="0"/>
    <s v="Warm"/>
    <d v="2025-10-25T00:00:00"/>
    <d v="2025-10-27T00:00:00"/>
    <d v="2025-10-31T00:00:00"/>
    <d v="2025-11-04T00:00:00"/>
    <s v="No"/>
    <m/>
    <d v="2025-11-19T00:00:00"/>
    <n v="2"/>
    <n v="4"/>
    <n v="4"/>
    <n v="0"/>
    <n v="1"/>
    <n v="1"/>
    <n v="1"/>
    <n v="1"/>
    <x v="0"/>
  </r>
  <r>
    <s v="L1451"/>
    <x v="0"/>
    <s v="Cold"/>
    <d v="2025-10-26T00:00:00"/>
    <m/>
    <m/>
    <m/>
    <s v="Yes"/>
    <s v="Other"/>
    <m/>
    <m/>
    <m/>
    <m/>
    <m/>
    <n v="1"/>
    <n v="0"/>
    <n v="0"/>
    <n v="0"/>
    <x v="2"/>
  </r>
  <r>
    <s v="L1452"/>
    <x v="2"/>
    <s v="Warm"/>
    <d v="2025-10-28T00:00:00"/>
    <d v="2025-11-01T00:00:00"/>
    <d v="2025-11-05T00:00:00"/>
    <d v="2025-11-12T00:00:00"/>
    <s v="No"/>
    <m/>
    <d v="2025-11-24T00:00:00"/>
    <n v="4"/>
    <n v="4"/>
    <n v="7"/>
    <n v="4"/>
    <n v="1"/>
    <n v="1"/>
    <n v="1"/>
    <n v="1"/>
    <x v="0"/>
  </r>
  <r>
    <s v="L1453"/>
    <x v="2"/>
    <s v="Cold"/>
    <d v="2025-10-14T00:00:00"/>
    <m/>
    <m/>
    <m/>
    <s v="Yes"/>
    <s v="Other"/>
    <m/>
    <m/>
    <m/>
    <m/>
    <m/>
    <n v="1"/>
    <n v="0"/>
    <n v="0"/>
    <n v="0"/>
    <x v="2"/>
  </r>
  <r>
    <s v="L1454"/>
    <x v="1"/>
    <s v="Cold"/>
    <d v="2025-10-11T00:00:00"/>
    <m/>
    <m/>
    <m/>
    <s v="Yes"/>
    <s v="Changed Mind"/>
    <m/>
    <m/>
    <m/>
    <m/>
    <m/>
    <n v="1"/>
    <n v="0"/>
    <n v="0"/>
    <n v="0"/>
    <x v="2"/>
  </r>
  <r>
    <s v="L1455"/>
    <x v="1"/>
    <s v="Warm"/>
    <d v="2025-10-30T00:00:00"/>
    <d v="2025-10-31T00:00:00"/>
    <d v="2025-11-02T00:00:00"/>
    <d v="2025-11-04T00:00:00"/>
    <s v="No"/>
    <m/>
    <d v="2025-11-23T00:00:00"/>
    <n v="1"/>
    <n v="2"/>
    <n v="2"/>
    <n v="9"/>
    <n v="1"/>
    <n v="1"/>
    <n v="1"/>
    <n v="1"/>
    <x v="3"/>
  </r>
  <r>
    <s v="L1456"/>
    <x v="1"/>
    <s v="Warm"/>
    <d v="2025-10-26T00:00:00"/>
    <d v="2025-10-28T00:00:00"/>
    <d v="2025-10-31T00:00:00"/>
    <d v="2025-11-07T00:00:00"/>
    <s v="Yes"/>
    <s v="Financing Issue"/>
    <m/>
    <n v="2"/>
    <n v="3"/>
    <n v="7"/>
    <m/>
    <n v="1"/>
    <n v="1"/>
    <n v="1"/>
    <n v="0"/>
    <x v="2"/>
  </r>
  <r>
    <s v="L1457"/>
    <x v="3"/>
    <s v="Warm"/>
    <d v="2025-10-17T00:00:00"/>
    <d v="2025-10-21T00:00:00"/>
    <d v="2025-10-25T00:00:00"/>
    <d v="2025-10-29T00:00:00"/>
    <s v="No"/>
    <m/>
    <d v="2025-11-24T00:00:00"/>
    <n v="4"/>
    <n v="4"/>
    <n v="4"/>
    <n v="5"/>
    <n v="1"/>
    <n v="1"/>
    <n v="1"/>
    <n v="1"/>
    <x v="0"/>
  </r>
  <r>
    <s v="L1458"/>
    <x v="0"/>
    <s v="Hot"/>
    <d v="2025-10-09T00:00:00"/>
    <d v="2025-10-12T00:00:00"/>
    <d v="2025-10-14T00:00:00"/>
    <d v="2025-10-17T00:00:00"/>
    <s v="No"/>
    <m/>
    <d v="2025-11-08T00:00:00"/>
    <n v="3"/>
    <n v="2"/>
    <n v="3"/>
    <n v="5"/>
    <n v="1"/>
    <n v="1"/>
    <n v="1"/>
    <n v="1"/>
    <x v="0"/>
  </r>
  <r>
    <s v="L1459"/>
    <x v="0"/>
    <s v="Warm"/>
    <d v="2025-10-27T00:00:00"/>
    <d v="2025-10-28T00:00:00"/>
    <d v="2025-11-02T00:00:00"/>
    <d v="2025-11-08T00:00:00"/>
    <s v="No"/>
    <m/>
    <d v="2025-11-22T00:00:00"/>
    <n v="1"/>
    <n v="5"/>
    <n v="6"/>
    <n v="1"/>
    <n v="1"/>
    <n v="1"/>
    <n v="1"/>
    <n v="1"/>
    <x v="0"/>
  </r>
  <r>
    <s v="L1460"/>
    <x v="1"/>
    <s v="Warm"/>
    <d v="2025-10-01T00:00:00"/>
    <d v="2025-10-05T00:00:00"/>
    <d v="2025-10-09T00:00:00"/>
    <d v="2025-10-15T00:00:00"/>
    <s v="Yes"/>
    <s v="Financing Issue"/>
    <m/>
    <n v="4"/>
    <n v="4"/>
    <n v="6"/>
    <m/>
    <n v="1"/>
    <n v="1"/>
    <n v="1"/>
    <n v="0"/>
    <x v="2"/>
  </r>
  <r>
    <s v="L1461"/>
    <x v="0"/>
    <s v="Cold"/>
    <d v="2025-10-10T00:00:00"/>
    <m/>
    <m/>
    <m/>
    <s v="Yes"/>
    <s v="Changed Mind"/>
    <m/>
    <m/>
    <m/>
    <m/>
    <m/>
    <n v="1"/>
    <n v="0"/>
    <n v="0"/>
    <n v="0"/>
    <x v="2"/>
  </r>
  <r>
    <s v="L1462"/>
    <x v="1"/>
    <s v="Cold"/>
    <d v="2025-10-24T00:00:00"/>
    <m/>
    <m/>
    <m/>
    <s v="Yes"/>
    <s v="Changed Mind"/>
    <m/>
    <m/>
    <m/>
    <m/>
    <m/>
    <n v="1"/>
    <n v="0"/>
    <n v="0"/>
    <n v="0"/>
    <x v="2"/>
  </r>
  <r>
    <s v="L1463"/>
    <x v="3"/>
    <s v="Warm"/>
    <d v="2025-10-10T00:00:00"/>
    <d v="2025-10-11T00:00:00"/>
    <d v="2025-10-13T00:00:00"/>
    <d v="2025-10-19T00:00:00"/>
    <s v="No"/>
    <m/>
    <d v="2025-11-14T00:00:00"/>
    <n v="1"/>
    <n v="2"/>
    <n v="6"/>
    <n v="1"/>
    <n v="1"/>
    <n v="1"/>
    <n v="1"/>
    <n v="1"/>
    <x v="0"/>
  </r>
  <r>
    <s v="L1464"/>
    <x v="3"/>
    <s v="Hot"/>
    <d v="2025-10-27T00:00:00"/>
    <d v="2025-10-31T00:00:00"/>
    <d v="2025-11-02T00:00:00"/>
    <d v="2025-11-05T00:00:00"/>
    <s v="No"/>
    <m/>
    <d v="2025-12-03T00:00:00"/>
    <n v="4"/>
    <n v="2"/>
    <n v="3"/>
    <n v="4"/>
    <n v="1"/>
    <n v="1"/>
    <n v="1"/>
    <n v="1"/>
    <x v="0"/>
  </r>
  <r>
    <s v="L1465"/>
    <x v="2"/>
    <s v="Hot"/>
    <d v="2025-10-19T00:00:00"/>
    <d v="2025-10-24T00:00:00"/>
    <d v="2025-10-27T00:00:00"/>
    <d v="2025-11-03T00:00:00"/>
    <s v="No"/>
    <m/>
    <d v="2025-11-13T00:00:00"/>
    <n v="5"/>
    <n v="3"/>
    <n v="7"/>
    <n v="4"/>
    <n v="1"/>
    <n v="1"/>
    <n v="1"/>
    <n v="1"/>
    <x v="0"/>
  </r>
  <r>
    <s v="L1466"/>
    <x v="3"/>
    <s v="Hot"/>
    <d v="2025-10-19T00:00:00"/>
    <d v="2025-10-22T00:00:00"/>
    <d v="2025-10-24T00:00:00"/>
    <d v="2025-10-29T00:00:00"/>
    <s v="No"/>
    <m/>
    <d v="2025-11-13T00:00:00"/>
    <n v="3"/>
    <n v="2"/>
    <n v="5"/>
    <n v="1"/>
    <n v="1"/>
    <n v="1"/>
    <n v="1"/>
    <n v="1"/>
    <x v="0"/>
  </r>
  <r>
    <s v="L1467"/>
    <x v="1"/>
    <s v="Warm"/>
    <d v="2025-10-22T00:00:00"/>
    <d v="2025-10-24T00:00:00"/>
    <d v="2025-10-28T00:00:00"/>
    <d v="2025-11-01T00:00:00"/>
    <s v="No"/>
    <m/>
    <d v="2025-11-17T00:00:00"/>
    <n v="2"/>
    <n v="4"/>
    <n v="4"/>
    <n v="1"/>
    <n v="1"/>
    <n v="1"/>
    <n v="1"/>
    <n v="1"/>
    <x v="0"/>
  </r>
  <r>
    <s v="L1468"/>
    <x v="3"/>
    <s v="Warm"/>
    <d v="2025-10-16T00:00:00"/>
    <d v="2025-10-20T00:00:00"/>
    <d v="2025-10-21T00:00:00"/>
    <d v="2025-10-28T00:00:00"/>
    <s v="No"/>
    <m/>
    <d v="2025-11-13T00:00:00"/>
    <n v="4"/>
    <n v="1"/>
    <n v="7"/>
    <n v="0"/>
    <n v="1"/>
    <n v="1"/>
    <n v="1"/>
    <n v="1"/>
    <x v="0"/>
  </r>
  <r>
    <s v="L1469"/>
    <x v="2"/>
    <s v="Cold"/>
    <d v="2025-10-28T00:00:00"/>
    <m/>
    <m/>
    <m/>
    <s v="Yes"/>
    <s v="Changed Mind"/>
    <m/>
    <m/>
    <m/>
    <m/>
    <m/>
    <n v="1"/>
    <n v="0"/>
    <n v="0"/>
    <n v="0"/>
    <x v="2"/>
  </r>
  <r>
    <s v="L1470"/>
    <x v="0"/>
    <s v="Warm"/>
    <d v="2025-10-05T00:00:00"/>
    <d v="2025-10-06T00:00:00"/>
    <d v="2025-10-11T00:00:00"/>
    <d v="2025-10-13T00:00:00"/>
    <s v="No"/>
    <m/>
    <d v="2025-10-24T00:00:00"/>
    <n v="1"/>
    <n v="5"/>
    <n v="2"/>
    <n v="7"/>
    <n v="1"/>
    <n v="1"/>
    <n v="1"/>
    <n v="1"/>
    <x v="1"/>
  </r>
  <r>
    <s v="L1471"/>
    <x v="1"/>
    <s v="Cold"/>
    <d v="2025-10-15T00:00:00"/>
    <m/>
    <m/>
    <m/>
    <s v="Yes"/>
    <s v="Financing Issue"/>
    <m/>
    <m/>
    <m/>
    <m/>
    <m/>
    <n v="1"/>
    <n v="0"/>
    <n v="0"/>
    <n v="0"/>
    <x v="2"/>
  </r>
  <r>
    <s v="L1472"/>
    <x v="0"/>
    <s v="Cold"/>
    <d v="2025-10-18T00:00:00"/>
    <m/>
    <m/>
    <m/>
    <s v="Yes"/>
    <s v="Changed Mind"/>
    <m/>
    <m/>
    <m/>
    <m/>
    <m/>
    <n v="1"/>
    <n v="0"/>
    <n v="0"/>
    <n v="0"/>
    <x v="2"/>
  </r>
  <r>
    <s v="L1473"/>
    <x v="2"/>
    <s v="Warm"/>
    <d v="2025-10-16T00:00:00"/>
    <d v="2025-10-19T00:00:00"/>
    <d v="2025-10-23T00:00:00"/>
    <d v="2025-10-26T00:00:00"/>
    <s v="No"/>
    <m/>
    <d v="2025-11-12T00:00:00"/>
    <n v="3"/>
    <n v="4"/>
    <n v="3"/>
    <n v="8"/>
    <n v="1"/>
    <n v="1"/>
    <n v="1"/>
    <n v="1"/>
    <x v="1"/>
  </r>
  <r>
    <s v="L1474"/>
    <x v="2"/>
    <s v="Cold"/>
    <d v="2025-10-12T00:00:00"/>
    <m/>
    <m/>
    <m/>
    <s v="Yes"/>
    <s v="Price"/>
    <m/>
    <m/>
    <m/>
    <m/>
    <m/>
    <n v="1"/>
    <n v="0"/>
    <n v="0"/>
    <n v="0"/>
    <x v="2"/>
  </r>
  <r>
    <s v="L1475"/>
    <x v="2"/>
    <s v="Warm"/>
    <d v="2025-10-11T00:00:00"/>
    <d v="2025-10-13T00:00:00"/>
    <d v="2025-10-17T00:00:00"/>
    <d v="2025-10-22T00:00:00"/>
    <s v="Yes"/>
    <s v="Other"/>
    <m/>
    <n v="2"/>
    <n v="4"/>
    <n v="5"/>
    <m/>
    <n v="1"/>
    <n v="1"/>
    <n v="1"/>
    <n v="0"/>
    <x v="2"/>
  </r>
  <r>
    <s v="L1476"/>
    <x v="0"/>
    <s v="Hot"/>
    <d v="2025-10-18T00:00:00"/>
    <d v="2025-10-19T00:00:00"/>
    <d v="2025-10-24T00:00:00"/>
    <d v="2025-10-29T00:00:00"/>
    <s v="No"/>
    <m/>
    <d v="2025-11-09T00:00:00"/>
    <n v="1"/>
    <n v="5"/>
    <n v="5"/>
    <n v="2"/>
    <n v="1"/>
    <n v="1"/>
    <n v="1"/>
    <n v="1"/>
    <x v="0"/>
  </r>
  <r>
    <s v="L1477"/>
    <x v="0"/>
    <s v="Warm"/>
    <d v="2025-10-25T00:00:00"/>
    <d v="2025-10-28T00:00:00"/>
    <d v="2025-11-02T00:00:00"/>
    <d v="2025-11-04T00:00:00"/>
    <s v="Yes"/>
    <s v="Other"/>
    <m/>
    <n v="3"/>
    <n v="5"/>
    <n v="2"/>
    <m/>
    <n v="1"/>
    <n v="1"/>
    <n v="1"/>
    <n v="0"/>
    <x v="2"/>
  </r>
  <r>
    <s v="L1478"/>
    <x v="0"/>
    <s v="Warm"/>
    <d v="2025-10-18T00:00:00"/>
    <d v="2025-10-19T00:00:00"/>
    <d v="2025-10-21T00:00:00"/>
    <d v="2025-10-24T00:00:00"/>
    <s v="No"/>
    <m/>
    <d v="2025-11-17T00:00:00"/>
    <n v="1"/>
    <n v="2"/>
    <n v="3"/>
    <n v="7"/>
    <n v="1"/>
    <n v="1"/>
    <n v="1"/>
    <n v="1"/>
    <x v="1"/>
  </r>
  <r>
    <s v="L1479"/>
    <x v="0"/>
    <s v="Warm"/>
    <d v="2025-10-13T00:00:00"/>
    <d v="2025-10-16T00:00:00"/>
    <d v="2025-10-20T00:00:00"/>
    <d v="2025-10-25T00:00:00"/>
    <s v="Yes"/>
    <s v="Model Unavailable"/>
    <m/>
    <n v="3"/>
    <n v="4"/>
    <n v="5"/>
    <m/>
    <n v="1"/>
    <n v="1"/>
    <n v="1"/>
    <n v="0"/>
    <x v="2"/>
  </r>
  <r>
    <s v="L1480"/>
    <x v="2"/>
    <s v="Warm"/>
    <d v="2025-10-15T00:00:00"/>
    <d v="2025-10-17T00:00:00"/>
    <d v="2025-10-19T00:00:00"/>
    <d v="2025-10-26T00:00:00"/>
    <s v="No"/>
    <m/>
    <d v="2025-11-06T00:00:00"/>
    <n v="2"/>
    <n v="2"/>
    <n v="7"/>
    <n v="2"/>
    <n v="1"/>
    <n v="1"/>
    <n v="1"/>
    <n v="1"/>
    <x v="0"/>
  </r>
  <r>
    <s v="L1481"/>
    <x v="2"/>
    <s v="Warm"/>
    <d v="2025-10-30T00:00:00"/>
    <d v="2025-11-01T00:00:00"/>
    <d v="2025-11-04T00:00:00"/>
    <d v="2025-11-10T00:00:00"/>
    <s v="No"/>
    <m/>
    <d v="2025-12-01T00:00:00"/>
    <n v="2"/>
    <n v="3"/>
    <n v="6"/>
    <n v="8"/>
    <n v="1"/>
    <n v="1"/>
    <n v="1"/>
    <n v="1"/>
    <x v="1"/>
  </r>
  <r>
    <s v="L1482"/>
    <x v="1"/>
    <s v="Warm"/>
    <d v="2025-10-11T00:00:00"/>
    <d v="2025-10-12T00:00:00"/>
    <d v="2025-10-14T00:00:00"/>
    <d v="2025-10-16T00:00:00"/>
    <s v="No"/>
    <m/>
    <d v="2025-11-01T00:00:00"/>
    <n v="1"/>
    <n v="2"/>
    <n v="2"/>
    <n v="5"/>
    <n v="1"/>
    <n v="1"/>
    <n v="1"/>
    <n v="1"/>
    <x v="0"/>
  </r>
  <r>
    <s v="L1483"/>
    <x v="1"/>
    <s v="Warm"/>
    <d v="2025-10-28T00:00:00"/>
    <d v="2025-10-31T00:00:00"/>
    <d v="2025-11-03T00:00:00"/>
    <d v="2025-11-09T00:00:00"/>
    <s v="No"/>
    <m/>
    <d v="2025-11-27T00:00:00"/>
    <n v="3"/>
    <n v="3"/>
    <n v="6"/>
    <n v="5"/>
    <n v="1"/>
    <n v="1"/>
    <n v="1"/>
    <n v="1"/>
    <x v="0"/>
  </r>
  <r>
    <s v="L1484"/>
    <x v="0"/>
    <s v="Warm"/>
    <d v="2025-10-07T00:00:00"/>
    <d v="2025-10-11T00:00:00"/>
    <d v="2025-10-12T00:00:00"/>
    <d v="2025-10-14T00:00:00"/>
    <s v="No"/>
    <m/>
    <d v="2025-11-04T00:00:00"/>
    <n v="4"/>
    <n v="1"/>
    <n v="2"/>
    <n v="6"/>
    <n v="1"/>
    <n v="1"/>
    <n v="1"/>
    <n v="1"/>
    <x v="0"/>
  </r>
  <r>
    <s v="L1485"/>
    <x v="3"/>
    <s v="Warm"/>
    <d v="2025-10-23T00:00:00"/>
    <d v="2025-10-25T00:00:00"/>
    <d v="2025-10-29T00:00:00"/>
    <d v="2025-11-02T00:00:00"/>
    <s v="Yes"/>
    <s v="Model Unavailable"/>
    <m/>
    <n v="2"/>
    <n v="4"/>
    <n v="4"/>
    <m/>
    <n v="1"/>
    <n v="1"/>
    <n v="1"/>
    <n v="0"/>
    <x v="2"/>
  </r>
  <r>
    <s v="L1486"/>
    <x v="3"/>
    <s v="Warm"/>
    <d v="2025-10-08T00:00:00"/>
    <d v="2025-10-12T00:00:00"/>
    <d v="2025-10-15T00:00:00"/>
    <d v="2025-10-19T00:00:00"/>
    <s v="No"/>
    <m/>
    <d v="2025-11-12T00:00:00"/>
    <n v="4"/>
    <n v="3"/>
    <n v="4"/>
    <n v="9"/>
    <n v="1"/>
    <n v="1"/>
    <n v="1"/>
    <n v="1"/>
    <x v="3"/>
  </r>
  <r>
    <s v="L1487"/>
    <x v="2"/>
    <s v="Hot"/>
    <d v="2025-10-19T00:00:00"/>
    <d v="2025-10-23T00:00:00"/>
    <d v="2025-10-24T00:00:00"/>
    <d v="2025-10-27T00:00:00"/>
    <s v="No"/>
    <m/>
    <d v="2025-11-22T00:00:00"/>
    <n v="4"/>
    <n v="1"/>
    <n v="3"/>
    <n v="4"/>
    <n v="1"/>
    <n v="1"/>
    <n v="1"/>
    <n v="1"/>
    <x v="0"/>
  </r>
  <r>
    <s v="L1488"/>
    <x v="2"/>
    <s v="Warm"/>
    <d v="2025-10-13T00:00:00"/>
    <d v="2025-10-18T00:00:00"/>
    <d v="2025-10-23T00:00:00"/>
    <d v="2025-10-28T00:00:00"/>
    <s v="No"/>
    <m/>
    <d v="2025-11-19T00:00:00"/>
    <n v="5"/>
    <n v="5"/>
    <n v="5"/>
    <n v="5"/>
    <n v="1"/>
    <n v="1"/>
    <n v="1"/>
    <n v="1"/>
    <x v="0"/>
  </r>
  <r>
    <s v="L1489"/>
    <x v="2"/>
    <s v="Hot"/>
    <d v="2025-10-08T00:00:00"/>
    <d v="2025-10-09T00:00:00"/>
    <d v="2025-10-11T00:00:00"/>
    <d v="2025-10-17T00:00:00"/>
    <s v="No"/>
    <m/>
    <d v="2025-11-16T00:00:00"/>
    <n v="1"/>
    <n v="2"/>
    <n v="6"/>
    <n v="2"/>
    <n v="1"/>
    <n v="1"/>
    <n v="1"/>
    <n v="1"/>
    <x v="0"/>
  </r>
  <r>
    <s v="L1490"/>
    <x v="1"/>
    <s v="Warm"/>
    <d v="2025-10-28T00:00:00"/>
    <d v="2025-10-29T00:00:00"/>
    <d v="2025-10-30T00:00:00"/>
    <d v="2025-11-04T00:00:00"/>
    <s v="No"/>
    <m/>
    <d v="2025-11-17T00:00:00"/>
    <n v="1"/>
    <n v="1"/>
    <n v="5"/>
    <n v="9"/>
    <n v="1"/>
    <n v="1"/>
    <n v="1"/>
    <n v="1"/>
    <x v="3"/>
  </r>
  <r>
    <s v="L1491"/>
    <x v="1"/>
    <s v="Warm"/>
    <d v="2025-10-25T00:00:00"/>
    <d v="2025-10-26T00:00:00"/>
    <d v="2025-10-29T00:00:00"/>
    <d v="2025-11-02T00:00:00"/>
    <s v="Yes"/>
    <s v="Other"/>
    <m/>
    <n v="1"/>
    <n v="3"/>
    <n v="4"/>
    <m/>
    <n v="1"/>
    <n v="1"/>
    <n v="1"/>
    <n v="0"/>
    <x v="2"/>
  </r>
  <r>
    <s v="L1492"/>
    <x v="2"/>
    <s v="Warm"/>
    <d v="2025-10-14T00:00:00"/>
    <d v="2025-10-17T00:00:00"/>
    <d v="2025-10-21T00:00:00"/>
    <d v="2025-10-27T00:00:00"/>
    <s v="No"/>
    <m/>
    <d v="2025-11-06T00:00:00"/>
    <n v="3"/>
    <n v="4"/>
    <n v="6"/>
    <n v="3"/>
    <n v="1"/>
    <n v="1"/>
    <n v="1"/>
    <n v="1"/>
    <x v="0"/>
  </r>
  <r>
    <s v="L1493"/>
    <x v="2"/>
    <s v="Warm"/>
    <d v="2025-10-02T00:00:00"/>
    <d v="2025-10-04T00:00:00"/>
    <d v="2025-10-09T00:00:00"/>
    <d v="2025-10-16T00:00:00"/>
    <s v="No"/>
    <m/>
    <d v="2025-11-02T00:00:00"/>
    <n v="2"/>
    <n v="5"/>
    <n v="7"/>
    <n v="1"/>
    <n v="1"/>
    <n v="1"/>
    <n v="1"/>
    <n v="1"/>
    <x v="0"/>
  </r>
  <r>
    <s v="L1494"/>
    <x v="2"/>
    <s v="Cold"/>
    <d v="2025-10-11T00:00:00"/>
    <m/>
    <m/>
    <m/>
    <s v="Yes"/>
    <s v="Price"/>
    <m/>
    <m/>
    <m/>
    <m/>
    <m/>
    <n v="1"/>
    <n v="0"/>
    <n v="0"/>
    <n v="0"/>
    <x v="2"/>
  </r>
  <r>
    <s v="L1495"/>
    <x v="3"/>
    <s v="Cold"/>
    <d v="2025-10-24T00:00:00"/>
    <m/>
    <m/>
    <m/>
    <s v="Yes"/>
    <s v="Financing Issue"/>
    <m/>
    <m/>
    <m/>
    <m/>
    <m/>
    <n v="1"/>
    <n v="0"/>
    <n v="0"/>
    <n v="0"/>
    <x v="2"/>
  </r>
  <r>
    <s v="L1496"/>
    <x v="1"/>
    <s v="Cold"/>
    <d v="2025-10-16T00:00:00"/>
    <m/>
    <m/>
    <m/>
    <s v="Yes"/>
    <s v="Financing Issue"/>
    <m/>
    <m/>
    <m/>
    <m/>
    <m/>
    <n v="1"/>
    <n v="0"/>
    <n v="0"/>
    <n v="0"/>
    <x v="2"/>
  </r>
  <r>
    <s v="L1497"/>
    <x v="3"/>
    <s v="Cold"/>
    <d v="2025-10-23T00:00:00"/>
    <m/>
    <m/>
    <m/>
    <s v="Yes"/>
    <s v="Price"/>
    <m/>
    <m/>
    <m/>
    <m/>
    <m/>
    <n v="1"/>
    <n v="0"/>
    <n v="0"/>
    <n v="0"/>
    <x v="2"/>
  </r>
  <r>
    <s v="L1498"/>
    <x v="3"/>
    <s v="Hot"/>
    <d v="2025-10-30T00:00:00"/>
    <d v="2025-11-01T00:00:00"/>
    <d v="2025-11-06T00:00:00"/>
    <d v="2025-11-09T00:00:00"/>
    <s v="No"/>
    <m/>
    <d v="2025-11-30T00:00:00"/>
    <n v="2"/>
    <n v="5"/>
    <n v="3"/>
    <n v="8"/>
    <n v="1"/>
    <n v="1"/>
    <n v="1"/>
    <n v="1"/>
    <x v="1"/>
  </r>
  <r>
    <s v="L1499"/>
    <x v="2"/>
    <s v="Hot"/>
    <d v="2025-10-26T00:00:00"/>
    <d v="2025-10-31T00:00:00"/>
    <d v="2025-11-01T00:00:00"/>
    <d v="2025-11-06T00:00:00"/>
    <s v="No"/>
    <m/>
    <d v="2025-12-01T00:00:00"/>
    <n v="5"/>
    <n v="1"/>
    <n v="5"/>
    <n v="7"/>
    <n v="1"/>
    <n v="1"/>
    <n v="1"/>
    <n v="1"/>
    <x v="1"/>
  </r>
  <r>
    <s v="L1500"/>
    <x v="2"/>
    <s v="Warm"/>
    <d v="2025-10-13T00:00:00"/>
    <d v="2025-10-18T00:00:00"/>
    <d v="2025-10-19T00:00:00"/>
    <d v="2025-10-21T00:00:00"/>
    <s v="No"/>
    <m/>
    <d v="2025-11-19T00:00:00"/>
    <n v="5"/>
    <n v="1"/>
    <n v="2"/>
    <n v="9"/>
    <n v="1"/>
    <n v="1"/>
    <n v="1"/>
    <n v="1"/>
    <x v="3"/>
  </r>
  <r>
    <s v="L1501"/>
    <x v="0"/>
    <s v="Hot"/>
    <d v="2025-10-13T00:00:00"/>
    <d v="2025-10-18T00:00:00"/>
    <d v="2025-10-20T00:00:00"/>
    <d v="2025-10-22T00:00:00"/>
    <s v="No"/>
    <m/>
    <d v="2025-11-15T00:00:00"/>
    <n v="5"/>
    <n v="2"/>
    <n v="2"/>
    <n v="4"/>
    <n v="1"/>
    <n v="1"/>
    <n v="1"/>
    <n v="1"/>
    <x v="0"/>
  </r>
  <r>
    <s v="L1502"/>
    <x v="0"/>
    <s v="Warm"/>
    <d v="2025-10-22T00:00:00"/>
    <d v="2025-10-26T00:00:00"/>
    <d v="2025-10-31T00:00:00"/>
    <d v="2025-11-06T00:00:00"/>
    <s v="No"/>
    <m/>
    <d v="2025-11-21T00:00:00"/>
    <n v="4"/>
    <n v="5"/>
    <n v="6"/>
    <n v="5"/>
    <n v="1"/>
    <n v="1"/>
    <n v="1"/>
    <n v="1"/>
    <x v="0"/>
  </r>
  <r>
    <s v="L1503"/>
    <x v="3"/>
    <s v="Warm"/>
    <d v="2025-10-26T00:00:00"/>
    <d v="2025-10-27T00:00:00"/>
    <d v="2025-11-01T00:00:00"/>
    <d v="2025-11-03T00:00:00"/>
    <s v="No"/>
    <m/>
    <d v="2025-11-28T00:00:00"/>
    <n v="1"/>
    <n v="5"/>
    <n v="2"/>
    <n v="10"/>
    <n v="1"/>
    <n v="1"/>
    <n v="1"/>
    <n v="1"/>
    <x v="3"/>
  </r>
  <r>
    <s v="L1504"/>
    <x v="1"/>
    <s v="Warm"/>
    <d v="2025-10-27T00:00:00"/>
    <d v="2025-10-30T00:00:00"/>
    <d v="2025-11-01T00:00:00"/>
    <d v="2025-11-03T00:00:00"/>
    <s v="No"/>
    <m/>
    <d v="2025-12-01T00:00:00"/>
    <n v="3"/>
    <n v="2"/>
    <n v="2"/>
    <n v="1"/>
    <n v="1"/>
    <n v="1"/>
    <n v="1"/>
    <n v="1"/>
    <x v="0"/>
  </r>
  <r>
    <s v="L1505"/>
    <x v="2"/>
    <s v="Warm"/>
    <d v="2025-10-21T00:00:00"/>
    <d v="2025-10-23T00:00:00"/>
    <d v="2025-10-27T00:00:00"/>
    <d v="2025-10-31T00:00:00"/>
    <s v="No"/>
    <m/>
    <d v="2025-11-27T00:00:00"/>
    <n v="2"/>
    <n v="4"/>
    <n v="4"/>
    <n v="10"/>
    <n v="1"/>
    <n v="1"/>
    <n v="1"/>
    <n v="1"/>
    <x v="3"/>
  </r>
  <r>
    <s v="L1506"/>
    <x v="2"/>
    <s v="Warm"/>
    <d v="2025-10-05T00:00:00"/>
    <d v="2025-10-08T00:00:00"/>
    <d v="2025-10-10T00:00:00"/>
    <d v="2025-10-13T00:00:00"/>
    <s v="No"/>
    <m/>
    <d v="2025-11-03T00:00:00"/>
    <n v="3"/>
    <n v="2"/>
    <n v="3"/>
    <n v="5"/>
    <n v="1"/>
    <n v="1"/>
    <n v="1"/>
    <n v="1"/>
    <x v="0"/>
  </r>
  <r>
    <s v="L1507"/>
    <x v="3"/>
    <s v="Warm"/>
    <d v="2025-10-16T00:00:00"/>
    <d v="2025-10-17T00:00:00"/>
    <d v="2025-10-20T00:00:00"/>
    <d v="2025-10-22T00:00:00"/>
    <s v="No"/>
    <m/>
    <d v="2025-11-12T00:00:00"/>
    <n v="1"/>
    <n v="3"/>
    <n v="2"/>
    <n v="5"/>
    <n v="1"/>
    <n v="1"/>
    <n v="1"/>
    <n v="1"/>
    <x v="0"/>
  </r>
  <r>
    <s v="L1508"/>
    <x v="0"/>
    <s v="Cold"/>
    <d v="2025-10-31T00:00:00"/>
    <m/>
    <m/>
    <m/>
    <s v="Yes"/>
    <s v="Financing Issue"/>
    <m/>
    <m/>
    <m/>
    <m/>
    <m/>
    <n v="1"/>
    <n v="0"/>
    <n v="0"/>
    <n v="0"/>
    <x v="2"/>
  </r>
  <r>
    <s v="L1509"/>
    <x v="1"/>
    <s v="Warm"/>
    <d v="2025-10-02T00:00:00"/>
    <d v="2025-10-03T00:00:00"/>
    <d v="2025-10-06T00:00:00"/>
    <d v="2025-10-08T00:00:00"/>
    <s v="No"/>
    <m/>
    <d v="2025-10-23T00:00:00"/>
    <n v="1"/>
    <n v="3"/>
    <n v="2"/>
    <n v="7"/>
    <n v="1"/>
    <n v="1"/>
    <n v="1"/>
    <n v="1"/>
    <x v="1"/>
  </r>
  <r>
    <s v="L1510"/>
    <x v="0"/>
    <s v="Cold"/>
    <d v="2025-10-05T00:00:00"/>
    <m/>
    <m/>
    <m/>
    <s v="Yes"/>
    <s v="Changed Mind"/>
    <m/>
    <m/>
    <m/>
    <m/>
    <m/>
    <n v="1"/>
    <n v="0"/>
    <n v="0"/>
    <n v="0"/>
    <x v="2"/>
  </r>
  <r>
    <s v="L1511"/>
    <x v="0"/>
    <s v="Hot"/>
    <d v="2025-10-17T00:00:00"/>
    <d v="2025-10-19T00:00:00"/>
    <d v="2025-10-20T00:00:00"/>
    <d v="2025-10-25T00:00:00"/>
    <s v="No"/>
    <m/>
    <d v="2025-11-12T00:00:00"/>
    <n v="2"/>
    <n v="1"/>
    <n v="5"/>
    <n v="7"/>
    <n v="1"/>
    <n v="1"/>
    <n v="1"/>
    <n v="1"/>
    <x v="1"/>
  </r>
  <r>
    <s v="L1512"/>
    <x v="0"/>
    <s v="Cold"/>
    <d v="2025-10-31T00:00:00"/>
    <m/>
    <m/>
    <m/>
    <s v="Yes"/>
    <s v="Other"/>
    <m/>
    <m/>
    <m/>
    <m/>
    <m/>
    <n v="1"/>
    <n v="0"/>
    <n v="0"/>
    <n v="0"/>
    <x v="2"/>
  </r>
  <r>
    <s v="L1513"/>
    <x v="0"/>
    <s v="Warm"/>
    <d v="2025-10-19T00:00:00"/>
    <d v="2025-10-23T00:00:00"/>
    <d v="2025-10-25T00:00:00"/>
    <d v="2025-10-31T00:00:00"/>
    <s v="No"/>
    <m/>
    <d v="2025-11-12T00:00:00"/>
    <n v="4"/>
    <n v="2"/>
    <n v="6"/>
    <n v="3"/>
    <n v="1"/>
    <n v="1"/>
    <n v="1"/>
    <n v="1"/>
    <x v="0"/>
  </r>
  <r>
    <s v="L1514"/>
    <x v="2"/>
    <s v="Warm"/>
    <d v="2025-10-11T00:00:00"/>
    <d v="2025-10-16T00:00:00"/>
    <d v="2025-10-18T00:00:00"/>
    <d v="2025-10-22T00:00:00"/>
    <s v="No"/>
    <m/>
    <d v="2025-11-10T00:00:00"/>
    <n v="5"/>
    <n v="2"/>
    <n v="4"/>
    <n v="5"/>
    <n v="1"/>
    <n v="1"/>
    <n v="1"/>
    <n v="1"/>
    <x v="0"/>
  </r>
  <r>
    <s v="L1515"/>
    <x v="2"/>
    <s v="Hot"/>
    <d v="2025-10-28T00:00:00"/>
    <d v="2025-11-01T00:00:00"/>
    <d v="2025-11-02T00:00:00"/>
    <d v="2025-11-09T00:00:00"/>
    <s v="Yes"/>
    <s v="Other"/>
    <m/>
    <n v="4"/>
    <n v="1"/>
    <n v="7"/>
    <m/>
    <n v="1"/>
    <n v="1"/>
    <n v="1"/>
    <n v="0"/>
    <x v="2"/>
  </r>
  <r>
    <s v="L1516"/>
    <x v="0"/>
    <s v="Warm"/>
    <d v="2025-10-04T00:00:00"/>
    <d v="2025-10-05T00:00:00"/>
    <d v="2025-10-09T00:00:00"/>
    <d v="2025-10-16T00:00:00"/>
    <s v="No"/>
    <m/>
    <d v="2025-10-26T00:00:00"/>
    <n v="1"/>
    <n v="4"/>
    <n v="7"/>
    <n v="2"/>
    <n v="1"/>
    <n v="1"/>
    <n v="1"/>
    <n v="1"/>
    <x v="0"/>
  </r>
  <r>
    <s v="L1517"/>
    <x v="1"/>
    <s v="Hot"/>
    <d v="2025-10-28T00:00:00"/>
    <d v="2025-10-29T00:00:00"/>
    <d v="2025-10-31T00:00:00"/>
    <d v="2025-11-06T00:00:00"/>
    <s v="No"/>
    <m/>
    <d v="2025-11-28T00:00:00"/>
    <n v="1"/>
    <n v="2"/>
    <n v="6"/>
    <n v="1"/>
    <n v="1"/>
    <n v="1"/>
    <n v="1"/>
    <n v="1"/>
    <x v="0"/>
  </r>
  <r>
    <s v="L1518"/>
    <x v="3"/>
    <s v="Hot"/>
    <d v="2025-10-28T00:00:00"/>
    <d v="2025-11-01T00:00:00"/>
    <d v="2025-11-06T00:00:00"/>
    <d v="2025-11-11T00:00:00"/>
    <s v="No"/>
    <m/>
    <d v="2025-11-22T00:00:00"/>
    <n v="4"/>
    <n v="5"/>
    <n v="5"/>
    <n v="10"/>
    <n v="1"/>
    <n v="1"/>
    <n v="1"/>
    <n v="1"/>
    <x v="3"/>
  </r>
  <r>
    <s v="L1519"/>
    <x v="1"/>
    <s v="Warm"/>
    <d v="2025-10-15T00:00:00"/>
    <d v="2025-10-20T00:00:00"/>
    <d v="2025-10-22T00:00:00"/>
    <d v="2025-10-27T00:00:00"/>
    <s v="No"/>
    <m/>
    <d v="2025-11-11T00:00:00"/>
    <n v="5"/>
    <n v="2"/>
    <n v="5"/>
    <n v="6"/>
    <n v="1"/>
    <n v="1"/>
    <n v="1"/>
    <n v="1"/>
    <x v="0"/>
  </r>
  <r>
    <s v="L1520"/>
    <x v="1"/>
    <s v="Warm"/>
    <d v="2025-10-04T00:00:00"/>
    <d v="2025-10-09T00:00:00"/>
    <d v="2025-10-13T00:00:00"/>
    <d v="2025-10-20T00:00:00"/>
    <s v="No"/>
    <m/>
    <d v="2025-11-17T00:00:00"/>
    <n v="5"/>
    <n v="4"/>
    <n v="7"/>
    <n v="7"/>
    <n v="1"/>
    <n v="1"/>
    <n v="1"/>
    <n v="1"/>
    <x v="1"/>
  </r>
  <r>
    <s v="L1521"/>
    <x v="1"/>
    <s v="Warm"/>
    <d v="2025-10-17T00:00:00"/>
    <d v="2025-10-18T00:00:00"/>
    <d v="2025-10-20T00:00:00"/>
    <d v="2025-10-25T00:00:00"/>
    <s v="No"/>
    <m/>
    <d v="2025-11-10T00:00:00"/>
    <n v="1"/>
    <n v="2"/>
    <n v="5"/>
    <n v="4"/>
    <n v="1"/>
    <n v="1"/>
    <n v="1"/>
    <n v="1"/>
    <x v="0"/>
  </r>
  <r>
    <s v="L1522"/>
    <x v="0"/>
    <s v="Cold"/>
    <d v="2025-10-30T00:00:00"/>
    <m/>
    <m/>
    <m/>
    <s v="Yes"/>
    <s v="Price"/>
    <m/>
    <m/>
    <m/>
    <m/>
    <m/>
    <n v="1"/>
    <n v="0"/>
    <n v="0"/>
    <n v="0"/>
    <x v="2"/>
  </r>
  <r>
    <s v="L1523"/>
    <x v="2"/>
    <s v="Warm"/>
    <d v="2025-10-15T00:00:00"/>
    <d v="2025-10-20T00:00:00"/>
    <d v="2025-10-25T00:00:00"/>
    <d v="2025-10-27T00:00:00"/>
    <s v="No"/>
    <m/>
    <d v="2025-11-13T00:00:00"/>
    <n v="5"/>
    <n v="5"/>
    <n v="2"/>
    <n v="4"/>
    <n v="1"/>
    <n v="1"/>
    <n v="1"/>
    <n v="1"/>
    <x v="0"/>
  </r>
  <r>
    <s v="L1524"/>
    <x v="1"/>
    <s v="Warm"/>
    <d v="2025-10-01T00:00:00"/>
    <d v="2025-10-06T00:00:00"/>
    <d v="2025-10-09T00:00:00"/>
    <d v="2025-10-16T00:00:00"/>
    <s v="No"/>
    <m/>
    <d v="2025-11-15T00:00:00"/>
    <n v="5"/>
    <n v="3"/>
    <n v="7"/>
    <n v="8"/>
    <n v="1"/>
    <n v="1"/>
    <n v="1"/>
    <n v="1"/>
    <x v="1"/>
  </r>
  <r>
    <s v="L1525"/>
    <x v="0"/>
    <s v="Hot"/>
    <d v="2025-10-24T00:00:00"/>
    <d v="2025-10-26T00:00:00"/>
    <d v="2025-10-29T00:00:00"/>
    <d v="2025-11-04T00:00:00"/>
    <s v="No"/>
    <m/>
    <d v="2025-11-21T00:00:00"/>
    <n v="2"/>
    <n v="3"/>
    <n v="6"/>
    <n v="8"/>
    <n v="1"/>
    <n v="1"/>
    <n v="1"/>
    <n v="1"/>
    <x v="1"/>
  </r>
  <r>
    <s v="L1526"/>
    <x v="1"/>
    <s v="Warm"/>
    <d v="2025-10-05T00:00:00"/>
    <d v="2025-10-07T00:00:00"/>
    <d v="2025-10-11T00:00:00"/>
    <d v="2025-10-17T00:00:00"/>
    <s v="No"/>
    <m/>
    <d v="2025-11-02T00:00:00"/>
    <n v="2"/>
    <n v="4"/>
    <n v="6"/>
    <n v="6"/>
    <n v="1"/>
    <n v="1"/>
    <n v="1"/>
    <n v="1"/>
    <x v="0"/>
  </r>
  <r>
    <s v="L1527"/>
    <x v="1"/>
    <s v="Warm"/>
    <d v="2025-10-14T00:00:00"/>
    <d v="2025-10-17T00:00:00"/>
    <d v="2025-10-21T00:00:00"/>
    <d v="2025-10-27T00:00:00"/>
    <s v="No"/>
    <m/>
    <d v="2025-11-14T00:00:00"/>
    <n v="3"/>
    <n v="4"/>
    <n v="6"/>
    <n v="4"/>
    <n v="1"/>
    <n v="1"/>
    <n v="1"/>
    <n v="1"/>
    <x v="0"/>
  </r>
  <r>
    <s v="L1528"/>
    <x v="0"/>
    <s v="Cold"/>
    <d v="2025-10-28T00:00:00"/>
    <m/>
    <m/>
    <m/>
    <s v="Yes"/>
    <s v="Financing Issue"/>
    <m/>
    <m/>
    <m/>
    <m/>
    <m/>
    <n v="1"/>
    <n v="0"/>
    <n v="0"/>
    <n v="0"/>
    <x v="2"/>
  </r>
  <r>
    <s v="L1529"/>
    <x v="2"/>
    <s v="Cold"/>
    <d v="2025-10-21T00:00:00"/>
    <m/>
    <m/>
    <m/>
    <s v="Yes"/>
    <s v="Model Unavailable"/>
    <m/>
    <m/>
    <m/>
    <m/>
    <m/>
    <n v="1"/>
    <n v="0"/>
    <n v="0"/>
    <n v="0"/>
    <x v="2"/>
  </r>
  <r>
    <s v="L1530"/>
    <x v="2"/>
    <s v="Warm"/>
    <d v="2025-10-05T00:00:00"/>
    <d v="2025-10-09T00:00:00"/>
    <d v="2025-10-14T00:00:00"/>
    <d v="2025-10-17T00:00:00"/>
    <s v="No"/>
    <m/>
    <d v="2025-11-16T00:00:00"/>
    <n v="4"/>
    <n v="5"/>
    <n v="3"/>
    <n v="2"/>
    <n v="1"/>
    <n v="1"/>
    <n v="1"/>
    <n v="1"/>
    <x v="0"/>
  </r>
  <r>
    <s v="L1531"/>
    <x v="3"/>
    <s v="Hot"/>
    <d v="2025-10-03T00:00:00"/>
    <d v="2025-10-04T00:00:00"/>
    <d v="2025-10-07T00:00:00"/>
    <d v="2025-10-11T00:00:00"/>
    <s v="No"/>
    <m/>
    <d v="2025-11-03T00:00:00"/>
    <n v="1"/>
    <n v="3"/>
    <n v="4"/>
    <n v="2"/>
    <n v="1"/>
    <n v="1"/>
    <n v="1"/>
    <n v="1"/>
    <x v="0"/>
  </r>
  <r>
    <s v="L1532"/>
    <x v="0"/>
    <s v="Cold"/>
    <d v="2025-10-16T00:00:00"/>
    <m/>
    <m/>
    <m/>
    <s v="Yes"/>
    <s v="Model Unavailable"/>
    <m/>
    <m/>
    <m/>
    <m/>
    <m/>
    <n v="1"/>
    <n v="0"/>
    <n v="0"/>
    <n v="0"/>
    <x v="2"/>
  </r>
  <r>
    <s v="L1533"/>
    <x v="3"/>
    <s v="Warm"/>
    <d v="2025-10-26T00:00:00"/>
    <d v="2025-10-31T00:00:00"/>
    <d v="2025-11-03T00:00:00"/>
    <d v="2025-11-05T00:00:00"/>
    <s v="No"/>
    <m/>
    <d v="2025-12-01T00:00:00"/>
    <n v="5"/>
    <n v="3"/>
    <n v="2"/>
    <n v="1"/>
    <n v="1"/>
    <n v="1"/>
    <n v="1"/>
    <n v="1"/>
    <x v="0"/>
  </r>
  <r>
    <s v="L1534"/>
    <x v="3"/>
    <s v="Hot"/>
    <d v="2025-10-09T00:00:00"/>
    <d v="2025-10-12T00:00:00"/>
    <d v="2025-10-15T00:00:00"/>
    <d v="2025-10-19T00:00:00"/>
    <s v="No"/>
    <m/>
    <d v="2025-10-29T00:00:00"/>
    <n v="3"/>
    <n v="3"/>
    <n v="4"/>
    <n v="0"/>
    <n v="1"/>
    <n v="1"/>
    <n v="1"/>
    <n v="1"/>
    <x v="0"/>
  </r>
  <r>
    <s v="L1535"/>
    <x v="3"/>
    <s v="Hot"/>
    <d v="2025-10-11T00:00:00"/>
    <d v="2025-10-13T00:00:00"/>
    <d v="2025-10-16T00:00:00"/>
    <d v="2025-10-18T00:00:00"/>
    <s v="Yes"/>
    <s v="Financing Issue"/>
    <m/>
    <n v="2"/>
    <n v="3"/>
    <n v="2"/>
    <m/>
    <n v="1"/>
    <n v="1"/>
    <n v="1"/>
    <n v="0"/>
    <x v="2"/>
  </r>
  <r>
    <s v="L1536"/>
    <x v="2"/>
    <s v="Warm"/>
    <d v="2025-10-20T00:00:00"/>
    <d v="2025-10-25T00:00:00"/>
    <d v="2025-10-30T00:00:00"/>
    <d v="2025-11-05T00:00:00"/>
    <s v="No"/>
    <m/>
    <d v="2025-11-15T00:00:00"/>
    <n v="5"/>
    <n v="5"/>
    <n v="6"/>
    <n v="0"/>
    <n v="1"/>
    <n v="1"/>
    <n v="1"/>
    <n v="1"/>
    <x v="0"/>
  </r>
  <r>
    <s v="L1537"/>
    <x v="0"/>
    <s v="Hot"/>
    <d v="2025-10-23T00:00:00"/>
    <d v="2025-10-27T00:00:00"/>
    <d v="2025-10-31T00:00:00"/>
    <d v="2025-11-03T00:00:00"/>
    <s v="No"/>
    <m/>
    <d v="2025-11-28T00:00:00"/>
    <n v="4"/>
    <n v="4"/>
    <n v="3"/>
    <n v="3"/>
    <n v="1"/>
    <n v="1"/>
    <n v="1"/>
    <n v="1"/>
    <x v="0"/>
  </r>
  <r>
    <s v="L1538"/>
    <x v="3"/>
    <s v="Cold"/>
    <d v="2025-10-13T00:00:00"/>
    <m/>
    <m/>
    <m/>
    <s v="Yes"/>
    <s v="Model Unavailable"/>
    <m/>
    <m/>
    <m/>
    <m/>
    <m/>
    <n v="1"/>
    <n v="0"/>
    <n v="0"/>
    <n v="0"/>
    <x v="2"/>
  </r>
  <r>
    <s v="L1539"/>
    <x v="0"/>
    <s v="Warm"/>
    <d v="2025-10-21T00:00:00"/>
    <d v="2025-10-23T00:00:00"/>
    <d v="2025-10-27T00:00:00"/>
    <d v="2025-10-30T00:00:00"/>
    <s v="Yes"/>
    <s v="Price"/>
    <m/>
    <n v="2"/>
    <n v="4"/>
    <n v="3"/>
    <m/>
    <n v="1"/>
    <n v="1"/>
    <n v="1"/>
    <n v="0"/>
    <x v="2"/>
  </r>
  <r>
    <s v="L1540"/>
    <x v="0"/>
    <s v="Hot"/>
    <d v="2025-10-03T00:00:00"/>
    <d v="2025-10-04T00:00:00"/>
    <d v="2025-10-05T00:00:00"/>
    <d v="2025-10-11T00:00:00"/>
    <s v="No"/>
    <m/>
    <d v="2025-10-25T00:00:00"/>
    <n v="1"/>
    <n v="1"/>
    <n v="6"/>
    <n v="9"/>
    <n v="1"/>
    <n v="1"/>
    <n v="1"/>
    <n v="1"/>
    <x v="3"/>
  </r>
  <r>
    <s v="L1541"/>
    <x v="2"/>
    <s v="Cold"/>
    <d v="2025-10-28T00:00:00"/>
    <m/>
    <m/>
    <m/>
    <s v="Yes"/>
    <s v="Price"/>
    <m/>
    <m/>
    <m/>
    <m/>
    <m/>
    <n v="1"/>
    <n v="0"/>
    <n v="0"/>
    <n v="0"/>
    <x v="2"/>
  </r>
  <r>
    <s v="L1542"/>
    <x v="3"/>
    <s v="Warm"/>
    <d v="2025-10-11T00:00:00"/>
    <d v="2025-10-16T00:00:00"/>
    <d v="2025-10-20T00:00:00"/>
    <d v="2025-10-24T00:00:00"/>
    <s v="No"/>
    <m/>
    <d v="2025-11-23T00:00:00"/>
    <n v="5"/>
    <n v="4"/>
    <n v="4"/>
    <n v="9"/>
    <n v="1"/>
    <n v="1"/>
    <n v="1"/>
    <n v="1"/>
    <x v="3"/>
  </r>
  <r>
    <s v="L1543"/>
    <x v="3"/>
    <s v="Warm"/>
    <d v="2025-10-28T00:00:00"/>
    <d v="2025-10-31T00:00:00"/>
    <d v="2025-11-03T00:00:00"/>
    <d v="2025-11-08T00:00:00"/>
    <s v="No"/>
    <m/>
    <d v="2025-11-23T00:00:00"/>
    <n v="3"/>
    <n v="3"/>
    <n v="5"/>
    <n v="4"/>
    <n v="1"/>
    <n v="1"/>
    <n v="1"/>
    <n v="1"/>
    <x v="0"/>
  </r>
  <r>
    <s v="L1544"/>
    <x v="0"/>
    <s v="Hot"/>
    <d v="2025-10-22T00:00:00"/>
    <d v="2025-10-23T00:00:00"/>
    <d v="2025-10-25T00:00:00"/>
    <d v="2025-10-31T00:00:00"/>
    <s v="No"/>
    <m/>
    <d v="2025-11-29T00:00:00"/>
    <n v="1"/>
    <n v="2"/>
    <n v="6"/>
    <n v="1"/>
    <n v="1"/>
    <n v="1"/>
    <n v="1"/>
    <n v="1"/>
    <x v="0"/>
  </r>
  <r>
    <s v="L1545"/>
    <x v="1"/>
    <s v="Hot"/>
    <d v="2025-10-28T00:00:00"/>
    <d v="2025-11-02T00:00:00"/>
    <d v="2025-11-05T00:00:00"/>
    <d v="2025-11-12T00:00:00"/>
    <s v="No"/>
    <m/>
    <d v="2025-11-22T00:00:00"/>
    <n v="5"/>
    <n v="3"/>
    <n v="7"/>
    <n v="6"/>
    <n v="1"/>
    <n v="1"/>
    <n v="1"/>
    <n v="1"/>
    <x v="0"/>
  </r>
  <r>
    <s v="L1546"/>
    <x v="2"/>
    <s v="Warm"/>
    <d v="2025-10-18T00:00:00"/>
    <d v="2025-10-23T00:00:00"/>
    <d v="2025-10-26T00:00:00"/>
    <d v="2025-11-02T00:00:00"/>
    <s v="No"/>
    <m/>
    <d v="2025-11-19T00:00:00"/>
    <n v="5"/>
    <n v="3"/>
    <n v="7"/>
    <n v="3"/>
    <n v="1"/>
    <n v="1"/>
    <n v="1"/>
    <n v="1"/>
    <x v="0"/>
  </r>
  <r>
    <s v="L1547"/>
    <x v="2"/>
    <s v="Warm"/>
    <d v="2025-10-13T00:00:00"/>
    <d v="2025-10-18T00:00:00"/>
    <d v="2025-10-22T00:00:00"/>
    <d v="2025-10-29T00:00:00"/>
    <s v="No"/>
    <m/>
    <d v="2025-11-16T00:00:00"/>
    <n v="5"/>
    <n v="4"/>
    <n v="7"/>
    <n v="4"/>
    <n v="1"/>
    <n v="1"/>
    <n v="1"/>
    <n v="1"/>
    <x v="0"/>
  </r>
  <r>
    <s v="L1548"/>
    <x v="2"/>
    <s v="Warm"/>
    <d v="2025-10-31T00:00:00"/>
    <d v="2025-11-05T00:00:00"/>
    <d v="2025-11-06T00:00:00"/>
    <d v="2025-11-13T00:00:00"/>
    <s v="No"/>
    <m/>
    <d v="2025-12-12T00:00:00"/>
    <n v="5"/>
    <n v="1"/>
    <n v="7"/>
    <n v="6"/>
    <n v="1"/>
    <n v="1"/>
    <n v="1"/>
    <n v="1"/>
    <x v="0"/>
  </r>
  <r>
    <s v="L1549"/>
    <x v="2"/>
    <s v="Warm"/>
    <d v="2025-10-11T00:00:00"/>
    <d v="2025-10-16T00:00:00"/>
    <d v="2025-10-21T00:00:00"/>
    <d v="2025-10-23T00:00:00"/>
    <s v="No"/>
    <m/>
    <d v="2025-11-11T00:00:00"/>
    <n v="5"/>
    <n v="5"/>
    <n v="2"/>
    <n v="5"/>
    <n v="1"/>
    <n v="1"/>
    <n v="1"/>
    <n v="1"/>
    <x v="0"/>
  </r>
  <r>
    <s v="L1550"/>
    <x v="3"/>
    <s v="Warm"/>
    <d v="2025-10-21T00:00:00"/>
    <d v="2025-10-22T00:00:00"/>
    <d v="2025-10-24T00:00:00"/>
    <d v="2025-10-28T00:00:00"/>
    <s v="No"/>
    <m/>
    <d v="2025-11-27T00:00:00"/>
    <n v="1"/>
    <n v="2"/>
    <n v="4"/>
    <n v="3"/>
    <n v="1"/>
    <n v="1"/>
    <n v="1"/>
    <n v="1"/>
    <x v="0"/>
  </r>
  <r>
    <s v="L1551"/>
    <x v="3"/>
    <s v="Hot"/>
    <d v="2025-10-23T00:00:00"/>
    <d v="2025-10-27T00:00:00"/>
    <d v="2025-10-29T00:00:00"/>
    <d v="2025-11-05T00:00:00"/>
    <s v="No"/>
    <m/>
    <d v="2025-11-23T00:00:00"/>
    <n v="4"/>
    <n v="2"/>
    <n v="7"/>
    <n v="3"/>
    <n v="1"/>
    <n v="1"/>
    <n v="1"/>
    <n v="1"/>
    <x v="0"/>
  </r>
  <r>
    <s v="L1552"/>
    <x v="1"/>
    <s v="Warm"/>
    <d v="2025-10-29T00:00:00"/>
    <d v="2025-11-02T00:00:00"/>
    <d v="2025-11-03T00:00:00"/>
    <d v="2025-11-08T00:00:00"/>
    <s v="No"/>
    <m/>
    <d v="2025-12-01T00:00:00"/>
    <n v="4"/>
    <n v="1"/>
    <n v="5"/>
    <n v="9"/>
    <n v="1"/>
    <n v="1"/>
    <n v="1"/>
    <n v="1"/>
    <x v="3"/>
  </r>
  <r>
    <s v="L1553"/>
    <x v="2"/>
    <s v="Cold"/>
    <d v="2025-10-25T00:00:00"/>
    <m/>
    <m/>
    <m/>
    <s v="Yes"/>
    <s v="Financing Issue"/>
    <m/>
    <m/>
    <m/>
    <m/>
    <m/>
    <n v="1"/>
    <n v="0"/>
    <n v="0"/>
    <n v="0"/>
    <x v="2"/>
  </r>
  <r>
    <s v="L1554"/>
    <x v="2"/>
    <s v="Warm"/>
    <d v="2025-10-16T00:00:00"/>
    <d v="2025-10-17T00:00:00"/>
    <d v="2025-10-20T00:00:00"/>
    <d v="2025-10-27T00:00:00"/>
    <s v="No"/>
    <m/>
    <d v="2025-11-18T00:00:00"/>
    <n v="1"/>
    <n v="3"/>
    <n v="7"/>
    <n v="2"/>
    <n v="1"/>
    <n v="1"/>
    <n v="1"/>
    <n v="1"/>
    <x v="0"/>
  </r>
  <r>
    <s v="L1555"/>
    <x v="0"/>
    <s v="Warm"/>
    <d v="2025-10-28T00:00:00"/>
    <d v="2025-11-01T00:00:00"/>
    <d v="2025-11-06T00:00:00"/>
    <d v="2025-11-09T00:00:00"/>
    <s v="No"/>
    <m/>
    <d v="2025-11-30T00:00:00"/>
    <n v="4"/>
    <n v="5"/>
    <n v="3"/>
    <n v="8"/>
    <n v="1"/>
    <n v="1"/>
    <n v="1"/>
    <n v="1"/>
    <x v="1"/>
  </r>
  <r>
    <s v="L1556"/>
    <x v="3"/>
    <s v="Hot"/>
    <d v="2025-10-18T00:00:00"/>
    <d v="2025-10-21T00:00:00"/>
    <d v="2025-10-26T00:00:00"/>
    <d v="2025-10-28T00:00:00"/>
    <s v="No"/>
    <m/>
    <d v="2025-11-21T00:00:00"/>
    <n v="3"/>
    <n v="5"/>
    <n v="2"/>
    <n v="1"/>
    <n v="1"/>
    <n v="1"/>
    <n v="1"/>
    <n v="1"/>
    <x v="0"/>
  </r>
  <r>
    <s v="L1557"/>
    <x v="2"/>
    <s v="Warm"/>
    <d v="2025-10-02T00:00:00"/>
    <d v="2025-10-05T00:00:00"/>
    <d v="2025-10-10T00:00:00"/>
    <d v="2025-10-13T00:00:00"/>
    <s v="No"/>
    <m/>
    <d v="2025-10-31T00:00:00"/>
    <n v="3"/>
    <n v="5"/>
    <n v="3"/>
    <n v="2"/>
    <n v="1"/>
    <n v="1"/>
    <n v="1"/>
    <n v="1"/>
    <x v="0"/>
  </r>
  <r>
    <s v="L1558"/>
    <x v="1"/>
    <s v="Warm"/>
    <d v="2025-10-20T00:00:00"/>
    <d v="2025-10-21T00:00:00"/>
    <d v="2025-10-25T00:00:00"/>
    <d v="2025-10-27T00:00:00"/>
    <s v="No"/>
    <m/>
    <d v="2025-11-12T00:00:00"/>
    <n v="1"/>
    <n v="4"/>
    <n v="2"/>
    <n v="6"/>
    <n v="1"/>
    <n v="1"/>
    <n v="1"/>
    <n v="1"/>
    <x v="0"/>
  </r>
  <r>
    <s v="L1559"/>
    <x v="1"/>
    <s v="Cold"/>
    <d v="2025-10-03T00:00:00"/>
    <m/>
    <m/>
    <m/>
    <s v="Yes"/>
    <s v="Model Unavailable"/>
    <m/>
    <m/>
    <m/>
    <m/>
    <m/>
    <n v="1"/>
    <n v="0"/>
    <n v="0"/>
    <n v="0"/>
    <x v="2"/>
  </r>
  <r>
    <s v="L1560"/>
    <x v="3"/>
    <s v="Warm"/>
    <d v="2025-10-08T00:00:00"/>
    <d v="2025-10-11T00:00:00"/>
    <d v="2025-10-14T00:00:00"/>
    <d v="2025-10-19T00:00:00"/>
    <s v="No"/>
    <m/>
    <d v="2025-11-12T00:00:00"/>
    <n v="3"/>
    <n v="3"/>
    <n v="5"/>
    <n v="6"/>
    <n v="1"/>
    <n v="1"/>
    <n v="1"/>
    <n v="1"/>
    <x v="0"/>
  </r>
  <r>
    <s v="L1561"/>
    <x v="1"/>
    <s v="Cold"/>
    <d v="2025-10-21T00:00:00"/>
    <m/>
    <m/>
    <m/>
    <s v="Yes"/>
    <s v="Price"/>
    <m/>
    <m/>
    <m/>
    <m/>
    <m/>
    <n v="1"/>
    <n v="0"/>
    <n v="0"/>
    <n v="0"/>
    <x v="2"/>
  </r>
  <r>
    <s v="L1562"/>
    <x v="1"/>
    <s v="Warm"/>
    <d v="2025-10-22T00:00:00"/>
    <d v="2025-10-23T00:00:00"/>
    <d v="2025-10-25T00:00:00"/>
    <d v="2025-10-27T00:00:00"/>
    <s v="No"/>
    <m/>
    <d v="2025-11-15T00:00:00"/>
    <n v="1"/>
    <n v="2"/>
    <n v="2"/>
    <n v="1"/>
    <n v="1"/>
    <n v="1"/>
    <n v="1"/>
    <n v="1"/>
    <x v="0"/>
  </r>
  <r>
    <s v="L1563"/>
    <x v="3"/>
    <s v="Hot"/>
    <d v="2025-10-30T00:00:00"/>
    <d v="2025-11-02T00:00:00"/>
    <d v="2025-11-04T00:00:00"/>
    <d v="2025-11-09T00:00:00"/>
    <s v="No"/>
    <m/>
    <d v="2025-12-05T00:00:00"/>
    <n v="3"/>
    <n v="2"/>
    <n v="5"/>
    <n v="3"/>
    <n v="1"/>
    <n v="1"/>
    <n v="1"/>
    <n v="1"/>
    <x v="0"/>
  </r>
  <r>
    <s v="L1564"/>
    <x v="2"/>
    <s v="Warm"/>
    <d v="2025-10-10T00:00:00"/>
    <d v="2025-10-12T00:00:00"/>
    <d v="2025-10-15T00:00:00"/>
    <d v="2025-10-21T00:00:00"/>
    <s v="No"/>
    <m/>
    <d v="2025-11-19T00:00:00"/>
    <n v="2"/>
    <n v="3"/>
    <n v="6"/>
    <n v="4"/>
    <n v="1"/>
    <n v="1"/>
    <n v="1"/>
    <n v="1"/>
    <x v="0"/>
  </r>
  <r>
    <s v="L1565"/>
    <x v="2"/>
    <s v="Hot"/>
    <d v="2025-10-08T00:00:00"/>
    <d v="2025-10-09T00:00:00"/>
    <d v="2025-10-11T00:00:00"/>
    <d v="2025-10-17T00:00:00"/>
    <s v="No"/>
    <m/>
    <d v="2025-11-08T00:00:00"/>
    <n v="1"/>
    <n v="2"/>
    <n v="6"/>
    <n v="5"/>
    <n v="1"/>
    <n v="1"/>
    <n v="1"/>
    <n v="1"/>
    <x v="0"/>
  </r>
  <r>
    <s v="L1566"/>
    <x v="1"/>
    <s v="Hot"/>
    <d v="2025-10-24T00:00:00"/>
    <d v="2025-10-29T00:00:00"/>
    <d v="2025-11-02T00:00:00"/>
    <d v="2025-11-04T00:00:00"/>
    <s v="No"/>
    <m/>
    <d v="2025-12-02T00:00:00"/>
    <n v="5"/>
    <n v="4"/>
    <n v="2"/>
    <n v="3"/>
    <n v="1"/>
    <n v="1"/>
    <n v="1"/>
    <n v="1"/>
    <x v="0"/>
  </r>
  <r>
    <s v="L1567"/>
    <x v="1"/>
    <s v="Cold"/>
    <d v="2025-10-03T00:00:00"/>
    <m/>
    <m/>
    <m/>
    <s v="Yes"/>
    <s v="Price"/>
    <m/>
    <m/>
    <m/>
    <m/>
    <m/>
    <n v="1"/>
    <n v="0"/>
    <n v="0"/>
    <n v="0"/>
    <x v="2"/>
  </r>
  <r>
    <s v="L1568"/>
    <x v="2"/>
    <s v="Warm"/>
    <d v="2025-10-14T00:00:00"/>
    <d v="2025-10-17T00:00:00"/>
    <d v="2025-10-22T00:00:00"/>
    <d v="2025-10-26T00:00:00"/>
    <s v="No"/>
    <m/>
    <d v="2025-11-08T00:00:00"/>
    <n v="3"/>
    <n v="5"/>
    <n v="4"/>
    <n v="9"/>
    <n v="1"/>
    <n v="1"/>
    <n v="1"/>
    <n v="1"/>
    <x v="3"/>
  </r>
  <r>
    <s v="L1569"/>
    <x v="3"/>
    <s v="Warm"/>
    <d v="2025-10-04T00:00:00"/>
    <d v="2025-10-06T00:00:00"/>
    <d v="2025-10-08T00:00:00"/>
    <d v="2025-10-15T00:00:00"/>
    <s v="No"/>
    <m/>
    <d v="2025-10-25T00:00:00"/>
    <n v="2"/>
    <n v="2"/>
    <n v="7"/>
    <n v="4"/>
    <n v="1"/>
    <n v="1"/>
    <n v="1"/>
    <n v="1"/>
    <x v="0"/>
  </r>
  <r>
    <s v="L1570"/>
    <x v="1"/>
    <s v="Hot"/>
    <d v="2025-10-25T00:00:00"/>
    <d v="2025-10-26T00:00:00"/>
    <d v="2025-10-30T00:00:00"/>
    <d v="2025-11-06T00:00:00"/>
    <s v="No"/>
    <m/>
    <d v="2025-12-02T00:00:00"/>
    <n v="1"/>
    <n v="4"/>
    <n v="7"/>
    <n v="9"/>
    <n v="1"/>
    <n v="1"/>
    <n v="1"/>
    <n v="1"/>
    <x v="3"/>
  </r>
  <r>
    <s v="L1571"/>
    <x v="0"/>
    <s v="Warm"/>
    <d v="2025-10-21T00:00:00"/>
    <d v="2025-10-24T00:00:00"/>
    <d v="2025-10-29T00:00:00"/>
    <d v="2025-11-05T00:00:00"/>
    <s v="No"/>
    <m/>
    <d v="2025-11-26T00:00:00"/>
    <n v="3"/>
    <n v="5"/>
    <n v="7"/>
    <n v="2"/>
    <n v="1"/>
    <n v="1"/>
    <n v="1"/>
    <n v="1"/>
    <x v="0"/>
  </r>
  <r>
    <s v="L1572"/>
    <x v="3"/>
    <s v="Hot"/>
    <d v="2025-10-23T00:00:00"/>
    <d v="2025-10-28T00:00:00"/>
    <d v="2025-10-31T00:00:00"/>
    <d v="2025-11-07T00:00:00"/>
    <s v="No"/>
    <m/>
    <d v="2025-12-04T00:00:00"/>
    <n v="5"/>
    <n v="3"/>
    <n v="7"/>
    <n v="1"/>
    <n v="1"/>
    <n v="1"/>
    <n v="1"/>
    <n v="1"/>
    <x v="0"/>
  </r>
  <r>
    <s v="L1573"/>
    <x v="1"/>
    <s v="Hot"/>
    <d v="2025-10-28T00:00:00"/>
    <d v="2025-10-31T00:00:00"/>
    <d v="2025-11-03T00:00:00"/>
    <d v="2025-11-06T00:00:00"/>
    <s v="No"/>
    <m/>
    <d v="2025-12-06T00:00:00"/>
    <n v="3"/>
    <n v="3"/>
    <n v="3"/>
    <n v="7"/>
    <n v="1"/>
    <n v="1"/>
    <n v="1"/>
    <n v="1"/>
    <x v="1"/>
  </r>
  <r>
    <s v="L1574"/>
    <x v="1"/>
    <s v="Warm"/>
    <d v="2025-10-04T00:00:00"/>
    <d v="2025-10-06T00:00:00"/>
    <d v="2025-10-10T00:00:00"/>
    <d v="2025-10-12T00:00:00"/>
    <s v="No"/>
    <m/>
    <d v="2025-11-10T00:00:00"/>
    <n v="2"/>
    <n v="4"/>
    <n v="2"/>
    <n v="0"/>
    <n v="1"/>
    <n v="1"/>
    <n v="1"/>
    <n v="1"/>
    <x v="0"/>
  </r>
  <r>
    <s v="L1575"/>
    <x v="0"/>
    <s v="Hot"/>
    <d v="2025-10-15T00:00:00"/>
    <d v="2025-10-19T00:00:00"/>
    <d v="2025-10-23T00:00:00"/>
    <d v="2025-10-25T00:00:00"/>
    <s v="No"/>
    <m/>
    <d v="2025-11-23T00:00:00"/>
    <n v="4"/>
    <n v="4"/>
    <n v="2"/>
    <n v="10"/>
    <n v="1"/>
    <n v="1"/>
    <n v="1"/>
    <n v="1"/>
    <x v="3"/>
  </r>
  <r>
    <s v="L1576"/>
    <x v="0"/>
    <s v="Warm"/>
    <d v="2025-10-06T00:00:00"/>
    <d v="2025-10-10T00:00:00"/>
    <d v="2025-10-14T00:00:00"/>
    <d v="2025-10-21T00:00:00"/>
    <s v="No"/>
    <m/>
    <d v="2025-11-09T00:00:00"/>
    <n v="4"/>
    <n v="4"/>
    <n v="7"/>
    <n v="7"/>
    <n v="1"/>
    <n v="1"/>
    <n v="1"/>
    <n v="1"/>
    <x v="1"/>
  </r>
  <r>
    <s v="L1577"/>
    <x v="2"/>
    <s v="Hot"/>
    <d v="2025-10-23T00:00:00"/>
    <d v="2025-10-25T00:00:00"/>
    <d v="2025-10-27T00:00:00"/>
    <d v="2025-10-30T00:00:00"/>
    <s v="No"/>
    <m/>
    <d v="2025-11-18T00:00:00"/>
    <n v="2"/>
    <n v="2"/>
    <n v="3"/>
    <n v="3"/>
    <n v="1"/>
    <n v="1"/>
    <n v="1"/>
    <n v="1"/>
    <x v="0"/>
  </r>
  <r>
    <s v="L1578"/>
    <x v="3"/>
    <s v="Hot"/>
    <d v="2025-10-10T00:00:00"/>
    <d v="2025-10-12T00:00:00"/>
    <d v="2025-10-15T00:00:00"/>
    <d v="2025-10-22T00:00:00"/>
    <s v="No"/>
    <m/>
    <d v="2025-11-04T00:00:00"/>
    <n v="2"/>
    <n v="3"/>
    <n v="7"/>
    <n v="6"/>
    <n v="1"/>
    <n v="1"/>
    <n v="1"/>
    <n v="1"/>
    <x v="0"/>
  </r>
  <r>
    <s v="L1579"/>
    <x v="3"/>
    <s v="Hot"/>
    <d v="2025-10-29T00:00:00"/>
    <d v="2025-10-30T00:00:00"/>
    <d v="2025-11-01T00:00:00"/>
    <d v="2025-11-03T00:00:00"/>
    <s v="No"/>
    <m/>
    <d v="2025-11-28T00:00:00"/>
    <n v="1"/>
    <n v="2"/>
    <n v="2"/>
    <n v="9"/>
    <n v="1"/>
    <n v="1"/>
    <n v="1"/>
    <n v="1"/>
    <x v="3"/>
  </r>
  <r>
    <s v="L1580"/>
    <x v="2"/>
    <s v="Warm"/>
    <d v="2025-10-01T00:00:00"/>
    <d v="2025-10-05T00:00:00"/>
    <d v="2025-10-07T00:00:00"/>
    <d v="2025-10-10T00:00:00"/>
    <s v="No"/>
    <m/>
    <d v="2025-10-22T00:00:00"/>
    <n v="4"/>
    <n v="2"/>
    <n v="3"/>
    <n v="6"/>
    <n v="1"/>
    <n v="1"/>
    <n v="1"/>
    <n v="1"/>
    <x v="0"/>
  </r>
  <r>
    <s v="L1581"/>
    <x v="3"/>
    <s v="Warm"/>
    <d v="2025-10-02T00:00:00"/>
    <d v="2025-10-03T00:00:00"/>
    <d v="2025-10-08T00:00:00"/>
    <d v="2025-10-13T00:00:00"/>
    <s v="No"/>
    <m/>
    <d v="2025-11-02T00:00:00"/>
    <n v="1"/>
    <n v="5"/>
    <n v="5"/>
    <n v="3"/>
    <n v="1"/>
    <n v="1"/>
    <n v="1"/>
    <n v="1"/>
    <x v="0"/>
  </r>
  <r>
    <s v="L1582"/>
    <x v="3"/>
    <s v="Warm"/>
    <d v="2025-10-11T00:00:00"/>
    <d v="2025-10-14T00:00:00"/>
    <d v="2025-10-18T00:00:00"/>
    <d v="2025-10-22T00:00:00"/>
    <s v="No"/>
    <m/>
    <d v="2025-11-09T00:00:00"/>
    <n v="3"/>
    <n v="4"/>
    <n v="4"/>
    <n v="1"/>
    <n v="1"/>
    <n v="1"/>
    <n v="1"/>
    <n v="1"/>
    <x v="0"/>
  </r>
  <r>
    <s v="L1583"/>
    <x v="3"/>
    <s v="Warm"/>
    <d v="2025-10-26T00:00:00"/>
    <d v="2025-10-28T00:00:00"/>
    <d v="2025-10-30T00:00:00"/>
    <d v="2025-11-05T00:00:00"/>
    <s v="No"/>
    <m/>
    <d v="2025-12-05T00:00:00"/>
    <n v="2"/>
    <n v="2"/>
    <n v="6"/>
    <n v="5"/>
    <n v="1"/>
    <n v="1"/>
    <n v="1"/>
    <n v="1"/>
    <x v="0"/>
  </r>
  <r>
    <s v="L1584"/>
    <x v="3"/>
    <s v="Warm"/>
    <d v="2025-10-02T00:00:00"/>
    <d v="2025-10-03T00:00:00"/>
    <d v="2025-10-08T00:00:00"/>
    <d v="2025-10-14T00:00:00"/>
    <s v="Yes"/>
    <s v="Changed Mind"/>
    <m/>
    <n v="1"/>
    <n v="5"/>
    <n v="6"/>
    <m/>
    <n v="1"/>
    <n v="1"/>
    <n v="1"/>
    <n v="0"/>
    <x v="2"/>
  </r>
  <r>
    <s v="L1585"/>
    <x v="3"/>
    <s v="Hot"/>
    <d v="2025-10-10T00:00:00"/>
    <d v="2025-10-12T00:00:00"/>
    <d v="2025-10-13T00:00:00"/>
    <d v="2025-10-20T00:00:00"/>
    <s v="No"/>
    <m/>
    <d v="2025-11-09T00:00:00"/>
    <n v="2"/>
    <n v="1"/>
    <n v="7"/>
    <n v="5"/>
    <n v="1"/>
    <n v="1"/>
    <n v="1"/>
    <n v="1"/>
    <x v="0"/>
  </r>
  <r>
    <s v="L1586"/>
    <x v="0"/>
    <s v="Warm"/>
    <d v="2025-10-12T00:00:00"/>
    <d v="2025-10-13T00:00:00"/>
    <d v="2025-10-18T00:00:00"/>
    <d v="2025-10-22T00:00:00"/>
    <s v="No"/>
    <m/>
    <d v="2025-11-09T00:00:00"/>
    <n v="1"/>
    <n v="5"/>
    <n v="4"/>
    <n v="8"/>
    <n v="1"/>
    <n v="1"/>
    <n v="1"/>
    <n v="1"/>
    <x v="1"/>
  </r>
  <r>
    <s v="L1587"/>
    <x v="3"/>
    <s v="Cold"/>
    <d v="2025-10-12T00:00:00"/>
    <m/>
    <m/>
    <m/>
    <s v="Yes"/>
    <s v="Changed Mind"/>
    <m/>
    <m/>
    <m/>
    <m/>
    <m/>
    <n v="1"/>
    <n v="0"/>
    <n v="0"/>
    <n v="0"/>
    <x v="2"/>
  </r>
  <r>
    <s v="L1588"/>
    <x v="0"/>
    <s v="Warm"/>
    <d v="2025-10-14T00:00:00"/>
    <d v="2025-10-17T00:00:00"/>
    <d v="2025-10-18T00:00:00"/>
    <d v="2025-10-21T00:00:00"/>
    <s v="Yes"/>
    <s v="Price"/>
    <m/>
    <n v="3"/>
    <n v="1"/>
    <n v="3"/>
    <m/>
    <n v="1"/>
    <n v="1"/>
    <n v="1"/>
    <n v="0"/>
    <x v="2"/>
  </r>
  <r>
    <s v="L1589"/>
    <x v="3"/>
    <s v="Warm"/>
    <d v="2025-10-05T00:00:00"/>
    <d v="2025-10-08T00:00:00"/>
    <d v="2025-10-09T00:00:00"/>
    <d v="2025-10-13T00:00:00"/>
    <s v="No"/>
    <m/>
    <d v="2025-10-31T00:00:00"/>
    <n v="3"/>
    <n v="1"/>
    <n v="4"/>
    <n v="9"/>
    <n v="1"/>
    <n v="1"/>
    <n v="1"/>
    <n v="1"/>
    <x v="3"/>
  </r>
  <r>
    <s v="L1590"/>
    <x v="2"/>
    <s v="Cold"/>
    <d v="2025-10-08T00:00:00"/>
    <m/>
    <m/>
    <m/>
    <s v="Yes"/>
    <s v="Financing Issue"/>
    <m/>
    <m/>
    <m/>
    <m/>
    <m/>
    <n v="1"/>
    <n v="0"/>
    <n v="0"/>
    <n v="0"/>
    <x v="2"/>
  </r>
  <r>
    <s v="L1591"/>
    <x v="1"/>
    <s v="Warm"/>
    <d v="2025-10-17T00:00:00"/>
    <d v="2025-10-22T00:00:00"/>
    <d v="2025-10-23T00:00:00"/>
    <d v="2025-10-26T00:00:00"/>
    <s v="No"/>
    <m/>
    <d v="2025-11-25T00:00:00"/>
    <n v="5"/>
    <n v="1"/>
    <n v="3"/>
    <n v="0"/>
    <n v="1"/>
    <n v="1"/>
    <n v="1"/>
    <n v="1"/>
    <x v="0"/>
  </r>
  <r>
    <s v="L1592"/>
    <x v="0"/>
    <s v="Hot"/>
    <d v="2025-10-14T00:00:00"/>
    <d v="2025-10-18T00:00:00"/>
    <d v="2025-10-19T00:00:00"/>
    <d v="2025-10-26T00:00:00"/>
    <s v="Yes"/>
    <s v="Other"/>
    <m/>
    <n v="4"/>
    <n v="1"/>
    <n v="7"/>
    <m/>
    <n v="1"/>
    <n v="1"/>
    <n v="1"/>
    <n v="0"/>
    <x v="2"/>
  </r>
  <r>
    <s v="L1593"/>
    <x v="3"/>
    <s v="Warm"/>
    <d v="2025-10-19T00:00:00"/>
    <d v="2025-10-24T00:00:00"/>
    <d v="2025-10-28T00:00:00"/>
    <d v="2025-11-01T00:00:00"/>
    <s v="No"/>
    <m/>
    <d v="2025-12-01T00:00:00"/>
    <n v="5"/>
    <n v="4"/>
    <n v="4"/>
    <n v="7"/>
    <n v="1"/>
    <n v="1"/>
    <n v="1"/>
    <n v="1"/>
    <x v="1"/>
  </r>
  <r>
    <s v="L1594"/>
    <x v="2"/>
    <s v="Warm"/>
    <d v="2025-10-22T00:00:00"/>
    <d v="2025-10-26T00:00:00"/>
    <d v="2025-10-28T00:00:00"/>
    <d v="2025-11-04T00:00:00"/>
    <s v="No"/>
    <m/>
    <d v="2025-11-23T00:00:00"/>
    <n v="4"/>
    <n v="2"/>
    <n v="7"/>
    <n v="2"/>
    <n v="1"/>
    <n v="1"/>
    <n v="1"/>
    <n v="1"/>
    <x v="0"/>
  </r>
  <r>
    <s v="L1595"/>
    <x v="1"/>
    <s v="Warm"/>
    <d v="2025-10-26T00:00:00"/>
    <d v="2025-10-29T00:00:00"/>
    <d v="2025-10-31T00:00:00"/>
    <d v="2025-11-02T00:00:00"/>
    <s v="No"/>
    <m/>
    <d v="2025-11-18T00:00:00"/>
    <n v="3"/>
    <n v="2"/>
    <n v="2"/>
    <n v="8"/>
    <n v="1"/>
    <n v="1"/>
    <n v="1"/>
    <n v="1"/>
    <x v="1"/>
  </r>
  <r>
    <s v="L1596"/>
    <x v="0"/>
    <s v="Warm"/>
    <d v="2025-10-06T00:00:00"/>
    <d v="2025-10-07T00:00:00"/>
    <d v="2025-10-08T00:00:00"/>
    <d v="2025-10-10T00:00:00"/>
    <s v="Yes"/>
    <s v="Other"/>
    <m/>
    <n v="1"/>
    <n v="1"/>
    <n v="2"/>
    <m/>
    <n v="1"/>
    <n v="1"/>
    <n v="1"/>
    <n v="0"/>
    <x v="2"/>
  </r>
  <r>
    <s v="L1597"/>
    <x v="1"/>
    <s v="Warm"/>
    <d v="2025-10-06T00:00:00"/>
    <d v="2025-10-08T00:00:00"/>
    <d v="2025-10-10T00:00:00"/>
    <d v="2025-10-14T00:00:00"/>
    <s v="No"/>
    <m/>
    <d v="2025-10-28T00:00:00"/>
    <n v="2"/>
    <n v="2"/>
    <n v="4"/>
    <n v="3"/>
    <n v="1"/>
    <n v="1"/>
    <n v="1"/>
    <n v="1"/>
    <x v="0"/>
  </r>
  <r>
    <s v="L1598"/>
    <x v="2"/>
    <s v="Warm"/>
    <d v="2025-10-06T00:00:00"/>
    <d v="2025-10-09T00:00:00"/>
    <d v="2025-10-10T00:00:00"/>
    <d v="2025-10-15T00:00:00"/>
    <s v="No"/>
    <m/>
    <d v="2025-11-10T00:00:00"/>
    <n v="3"/>
    <n v="1"/>
    <n v="5"/>
    <n v="1"/>
    <n v="1"/>
    <n v="1"/>
    <n v="1"/>
    <n v="1"/>
    <x v="0"/>
  </r>
  <r>
    <s v="L1599"/>
    <x v="0"/>
    <s v="Warm"/>
    <d v="2025-10-03T00:00:00"/>
    <d v="2025-10-06T00:00:00"/>
    <d v="2025-10-08T00:00:00"/>
    <d v="2025-10-12T00:00:00"/>
    <s v="No"/>
    <m/>
    <d v="2025-10-29T00:00:00"/>
    <n v="3"/>
    <n v="2"/>
    <n v="4"/>
    <n v="4"/>
    <n v="1"/>
    <n v="1"/>
    <n v="1"/>
    <n v="1"/>
    <x v="0"/>
  </r>
  <r>
    <s v="L1600"/>
    <x v="1"/>
    <s v="Cold"/>
    <d v="2025-10-20T00:00:00"/>
    <m/>
    <m/>
    <m/>
    <s v="Yes"/>
    <s v="Price"/>
    <m/>
    <m/>
    <m/>
    <m/>
    <m/>
    <n v="1"/>
    <n v="0"/>
    <n v="0"/>
    <n v="0"/>
    <x v="2"/>
  </r>
  <r>
    <s v="L1601"/>
    <x v="3"/>
    <s v="Warm"/>
    <d v="2025-10-28T00:00:00"/>
    <d v="2025-10-29T00:00:00"/>
    <d v="2025-11-03T00:00:00"/>
    <d v="2025-11-09T00:00:00"/>
    <s v="No"/>
    <m/>
    <d v="2025-11-20T00:00:00"/>
    <n v="1"/>
    <n v="5"/>
    <n v="6"/>
    <n v="3"/>
    <n v="1"/>
    <n v="1"/>
    <n v="1"/>
    <n v="1"/>
    <x v="0"/>
  </r>
  <r>
    <s v="L1602"/>
    <x v="0"/>
    <s v="Hot"/>
    <d v="2025-10-13T00:00:00"/>
    <d v="2025-10-16T00:00:00"/>
    <d v="2025-10-20T00:00:00"/>
    <d v="2025-10-22T00:00:00"/>
    <s v="No"/>
    <m/>
    <d v="2025-11-20T00:00:00"/>
    <n v="3"/>
    <n v="4"/>
    <n v="2"/>
    <n v="8"/>
    <n v="1"/>
    <n v="1"/>
    <n v="1"/>
    <n v="1"/>
    <x v="1"/>
  </r>
  <r>
    <s v="L1603"/>
    <x v="1"/>
    <s v="Warm"/>
    <d v="2025-10-20T00:00:00"/>
    <d v="2025-10-23T00:00:00"/>
    <d v="2025-10-26T00:00:00"/>
    <d v="2025-10-30T00:00:00"/>
    <s v="No"/>
    <m/>
    <d v="2025-11-21T00:00:00"/>
    <n v="3"/>
    <n v="3"/>
    <n v="4"/>
    <n v="6"/>
    <n v="1"/>
    <n v="1"/>
    <n v="1"/>
    <n v="1"/>
    <x v="0"/>
  </r>
  <r>
    <s v="L1604"/>
    <x v="2"/>
    <s v="Hot"/>
    <d v="2025-10-22T00:00:00"/>
    <d v="2025-10-23T00:00:00"/>
    <d v="2025-10-24T00:00:00"/>
    <d v="2025-10-31T00:00:00"/>
    <s v="No"/>
    <m/>
    <d v="2025-11-20T00:00:00"/>
    <n v="1"/>
    <n v="1"/>
    <n v="7"/>
    <n v="9"/>
    <n v="1"/>
    <n v="1"/>
    <n v="1"/>
    <n v="1"/>
    <x v="3"/>
  </r>
  <r>
    <s v="L1605"/>
    <x v="2"/>
    <s v="Warm"/>
    <d v="2025-10-08T00:00:00"/>
    <d v="2025-10-11T00:00:00"/>
    <d v="2025-10-16T00:00:00"/>
    <d v="2025-10-22T00:00:00"/>
    <s v="No"/>
    <m/>
    <d v="2025-11-05T00:00:00"/>
    <n v="3"/>
    <n v="5"/>
    <n v="6"/>
    <n v="3"/>
    <n v="1"/>
    <n v="1"/>
    <n v="1"/>
    <n v="1"/>
    <x v="0"/>
  </r>
  <r>
    <s v="L1606"/>
    <x v="0"/>
    <s v="Warm"/>
    <d v="2025-10-16T00:00:00"/>
    <d v="2025-10-20T00:00:00"/>
    <d v="2025-10-25T00:00:00"/>
    <d v="2025-11-01T00:00:00"/>
    <s v="No"/>
    <m/>
    <d v="2025-11-11T00:00:00"/>
    <n v="4"/>
    <n v="5"/>
    <n v="7"/>
    <n v="2"/>
    <n v="1"/>
    <n v="1"/>
    <n v="1"/>
    <n v="1"/>
    <x v="0"/>
  </r>
  <r>
    <s v="L1607"/>
    <x v="1"/>
    <s v="Hot"/>
    <d v="2025-10-30T00:00:00"/>
    <d v="2025-11-03T00:00:00"/>
    <d v="2025-11-07T00:00:00"/>
    <d v="2025-11-09T00:00:00"/>
    <s v="No"/>
    <m/>
    <d v="2025-12-09T00:00:00"/>
    <n v="4"/>
    <n v="4"/>
    <n v="2"/>
    <n v="4"/>
    <n v="1"/>
    <n v="1"/>
    <n v="1"/>
    <n v="1"/>
    <x v="0"/>
  </r>
  <r>
    <s v="L1608"/>
    <x v="0"/>
    <s v="Warm"/>
    <d v="2025-10-19T00:00:00"/>
    <d v="2025-10-23T00:00:00"/>
    <d v="2025-10-27T00:00:00"/>
    <d v="2025-11-01T00:00:00"/>
    <s v="No"/>
    <m/>
    <d v="2025-11-26T00:00:00"/>
    <n v="4"/>
    <n v="4"/>
    <n v="5"/>
    <n v="0"/>
    <n v="1"/>
    <n v="1"/>
    <n v="1"/>
    <n v="1"/>
    <x v="0"/>
  </r>
  <r>
    <s v="L1609"/>
    <x v="0"/>
    <s v="Hot"/>
    <d v="2025-10-05T00:00:00"/>
    <d v="2025-10-09T00:00:00"/>
    <d v="2025-10-10T00:00:00"/>
    <d v="2025-10-15T00:00:00"/>
    <s v="No"/>
    <m/>
    <d v="2025-11-03T00:00:00"/>
    <n v="4"/>
    <n v="1"/>
    <n v="5"/>
    <n v="1"/>
    <n v="1"/>
    <n v="1"/>
    <n v="1"/>
    <n v="1"/>
    <x v="0"/>
  </r>
  <r>
    <s v="L1610"/>
    <x v="1"/>
    <s v="Hot"/>
    <d v="2025-10-08T00:00:00"/>
    <d v="2025-10-11T00:00:00"/>
    <d v="2025-10-12T00:00:00"/>
    <d v="2025-10-18T00:00:00"/>
    <s v="No"/>
    <m/>
    <d v="2025-11-05T00:00:00"/>
    <n v="3"/>
    <n v="1"/>
    <n v="6"/>
    <n v="1"/>
    <n v="1"/>
    <n v="1"/>
    <n v="1"/>
    <n v="1"/>
    <x v="0"/>
  </r>
  <r>
    <s v="L1611"/>
    <x v="1"/>
    <s v="Warm"/>
    <d v="2025-10-15T00:00:00"/>
    <d v="2025-10-17T00:00:00"/>
    <d v="2025-10-22T00:00:00"/>
    <d v="2025-10-26T00:00:00"/>
    <s v="No"/>
    <m/>
    <d v="2025-11-18T00:00:00"/>
    <n v="2"/>
    <n v="5"/>
    <n v="4"/>
    <n v="2"/>
    <n v="1"/>
    <n v="1"/>
    <n v="1"/>
    <n v="1"/>
    <x v="0"/>
  </r>
  <r>
    <s v="L1612"/>
    <x v="3"/>
    <s v="Warm"/>
    <d v="2025-10-21T00:00:00"/>
    <d v="2025-10-25T00:00:00"/>
    <d v="2025-10-30T00:00:00"/>
    <d v="2025-11-01T00:00:00"/>
    <s v="No"/>
    <m/>
    <d v="2025-11-23T00:00:00"/>
    <n v="4"/>
    <n v="5"/>
    <n v="2"/>
    <n v="8"/>
    <n v="1"/>
    <n v="1"/>
    <n v="1"/>
    <n v="1"/>
    <x v="1"/>
  </r>
  <r>
    <s v="L1613"/>
    <x v="1"/>
    <s v="Cold"/>
    <d v="2025-10-09T00:00:00"/>
    <m/>
    <m/>
    <m/>
    <s v="Yes"/>
    <s v="Price"/>
    <m/>
    <m/>
    <m/>
    <m/>
    <m/>
    <n v="1"/>
    <n v="0"/>
    <n v="0"/>
    <n v="0"/>
    <x v="2"/>
  </r>
  <r>
    <s v="L1614"/>
    <x v="2"/>
    <s v="Warm"/>
    <d v="2025-10-15T00:00:00"/>
    <d v="2025-10-19T00:00:00"/>
    <d v="2025-10-23T00:00:00"/>
    <d v="2025-10-28T00:00:00"/>
    <s v="No"/>
    <m/>
    <d v="2025-11-19T00:00:00"/>
    <n v="4"/>
    <n v="4"/>
    <n v="5"/>
    <n v="6"/>
    <n v="1"/>
    <n v="1"/>
    <n v="1"/>
    <n v="1"/>
    <x v="0"/>
  </r>
  <r>
    <s v="L1615"/>
    <x v="0"/>
    <s v="Warm"/>
    <d v="2025-10-09T00:00:00"/>
    <d v="2025-10-12T00:00:00"/>
    <d v="2025-10-13T00:00:00"/>
    <d v="2025-10-19T00:00:00"/>
    <s v="No"/>
    <m/>
    <d v="2025-10-30T00:00:00"/>
    <n v="3"/>
    <n v="1"/>
    <n v="6"/>
    <n v="6"/>
    <n v="1"/>
    <n v="1"/>
    <n v="1"/>
    <n v="1"/>
    <x v="0"/>
  </r>
  <r>
    <s v="L1616"/>
    <x v="0"/>
    <s v="Warm"/>
    <d v="2025-10-22T00:00:00"/>
    <d v="2025-10-27T00:00:00"/>
    <d v="2025-10-28T00:00:00"/>
    <d v="2025-10-31T00:00:00"/>
    <s v="No"/>
    <m/>
    <d v="2025-11-28T00:00:00"/>
    <n v="5"/>
    <n v="1"/>
    <n v="3"/>
    <n v="3"/>
    <n v="1"/>
    <n v="1"/>
    <n v="1"/>
    <n v="1"/>
    <x v="0"/>
  </r>
  <r>
    <s v="L1617"/>
    <x v="2"/>
    <s v="Hot"/>
    <d v="2025-10-01T00:00:00"/>
    <d v="2025-10-04T00:00:00"/>
    <d v="2025-10-09T00:00:00"/>
    <d v="2025-10-13T00:00:00"/>
    <s v="No"/>
    <m/>
    <d v="2025-11-10T00:00:00"/>
    <n v="3"/>
    <n v="5"/>
    <n v="4"/>
    <n v="4"/>
    <n v="1"/>
    <n v="1"/>
    <n v="1"/>
    <n v="1"/>
    <x v="0"/>
  </r>
  <r>
    <s v="L1618"/>
    <x v="1"/>
    <s v="Cold"/>
    <d v="2025-10-29T00:00:00"/>
    <m/>
    <m/>
    <m/>
    <s v="Yes"/>
    <s v="Price"/>
    <m/>
    <m/>
    <m/>
    <m/>
    <m/>
    <n v="1"/>
    <n v="0"/>
    <n v="0"/>
    <n v="0"/>
    <x v="2"/>
  </r>
  <r>
    <s v="L1619"/>
    <x v="2"/>
    <s v="Warm"/>
    <d v="2025-10-26T00:00:00"/>
    <d v="2025-10-27T00:00:00"/>
    <d v="2025-10-30T00:00:00"/>
    <d v="2025-11-02T00:00:00"/>
    <s v="Yes"/>
    <s v="Financing Issue"/>
    <m/>
    <n v="1"/>
    <n v="3"/>
    <n v="3"/>
    <m/>
    <n v="1"/>
    <n v="1"/>
    <n v="1"/>
    <n v="0"/>
    <x v="2"/>
  </r>
  <r>
    <s v="L1620"/>
    <x v="2"/>
    <s v="Warm"/>
    <d v="2025-10-15T00:00:00"/>
    <d v="2025-10-19T00:00:00"/>
    <d v="2025-10-24T00:00:00"/>
    <d v="2025-10-28T00:00:00"/>
    <s v="Yes"/>
    <s v="Changed Mind"/>
    <m/>
    <n v="4"/>
    <n v="5"/>
    <n v="4"/>
    <m/>
    <n v="1"/>
    <n v="1"/>
    <n v="1"/>
    <n v="0"/>
    <x v="2"/>
  </r>
  <r>
    <s v="L1621"/>
    <x v="3"/>
    <s v="Hot"/>
    <d v="2025-10-29T00:00:00"/>
    <d v="2025-10-30T00:00:00"/>
    <d v="2025-11-02T00:00:00"/>
    <d v="2025-11-04T00:00:00"/>
    <s v="No"/>
    <m/>
    <d v="2025-11-20T00:00:00"/>
    <n v="1"/>
    <n v="3"/>
    <n v="2"/>
    <n v="6"/>
    <n v="1"/>
    <n v="1"/>
    <n v="1"/>
    <n v="1"/>
    <x v="0"/>
  </r>
  <r>
    <s v="L1622"/>
    <x v="2"/>
    <s v="Warm"/>
    <d v="2025-10-10T00:00:00"/>
    <d v="2025-10-14T00:00:00"/>
    <d v="2025-10-15T00:00:00"/>
    <d v="2025-10-21T00:00:00"/>
    <s v="No"/>
    <m/>
    <d v="2025-11-10T00:00:00"/>
    <n v="4"/>
    <n v="1"/>
    <n v="6"/>
    <n v="9"/>
    <n v="1"/>
    <n v="1"/>
    <n v="1"/>
    <n v="1"/>
    <x v="3"/>
  </r>
  <r>
    <s v="L1623"/>
    <x v="0"/>
    <s v="Warm"/>
    <d v="2025-10-22T00:00:00"/>
    <d v="2025-10-27T00:00:00"/>
    <d v="2025-11-01T00:00:00"/>
    <d v="2025-11-08T00:00:00"/>
    <s v="No"/>
    <m/>
    <d v="2025-11-25T00:00:00"/>
    <n v="5"/>
    <n v="5"/>
    <n v="7"/>
    <n v="8"/>
    <n v="1"/>
    <n v="1"/>
    <n v="1"/>
    <n v="1"/>
    <x v="1"/>
  </r>
  <r>
    <s v="L1624"/>
    <x v="2"/>
    <s v="Cold"/>
    <d v="2025-10-18T00:00:00"/>
    <m/>
    <m/>
    <m/>
    <s v="Yes"/>
    <s v="Price"/>
    <m/>
    <m/>
    <m/>
    <m/>
    <m/>
    <n v="1"/>
    <n v="0"/>
    <n v="0"/>
    <n v="0"/>
    <x v="2"/>
  </r>
  <r>
    <s v="L1625"/>
    <x v="0"/>
    <s v="Hot"/>
    <d v="2025-10-06T00:00:00"/>
    <d v="2025-10-08T00:00:00"/>
    <d v="2025-10-12T00:00:00"/>
    <d v="2025-10-19T00:00:00"/>
    <s v="No"/>
    <m/>
    <d v="2025-11-15T00:00:00"/>
    <n v="2"/>
    <n v="4"/>
    <n v="7"/>
    <n v="0"/>
    <n v="1"/>
    <n v="1"/>
    <n v="1"/>
    <n v="1"/>
    <x v="0"/>
  </r>
  <r>
    <s v="L1626"/>
    <x v="0"/>
    <s v="Warm"/>
    <d v="2025-10-03T00:00:00"/>
    <d v="2025-10-08T00:00:00"/>
    <d v="2025-10-10T00:00:00"/>
    <d v="2025-10-12T00:00:00"/>
    <s v="No"/>
    <m/>
    <d v="2025-11-11T00:00:00"/>
    <n v="5"/>
    <n v="2"/>
    <n v="2"/>
    <n v="1"/>
    <n v="1"/>
    <n v="1"/>
    <n v="1"/>
    <n v="1"/>
    <x v="0"/>
  </r>
  <r>
    <s v="L1627"/>
    <x v="0"/>
    <s v="Cold"/>
    <d v="2025-10-15T00:00:00"/>
    <m/>
    <m/>
    <m/>
    <s v="Yes"/>
    <s v="Price"/>
    <m/>
    <m/>
    <m/>
    <m/>
    <m/>
    <n v="1"/>
    <n v="0"/>
    <n v="0"/>
    <n v="0"/>
    <x v="2"/>
  </r>
  <r>
    <s v="L1628"/>
    <x v="1"/>
    <s v="Warm"/>
    <d v="2025-10-31T00:00:00"/>
    <d v="2025-11-03T00:00:00"/>
    <d v="2025-11-04T00:00:00"/>
    <d v="2025-11-07T00:00:00"/>
    <s v="Yes"/>
    <s v="Model Unavailable"/>
    <m/>
    <n v="3"/>
    <n v="1"/>
    <n v="3"/>
    <m/>
    <n v="1"/>
    <n v="1"/>
    <n v="1"/>
    <n v="0"/>
    <x v="2"/>
  </r>
  <r>
    <s v="L1629"/>
    <x v="3"/>
    <s v="Warm"/>
    <d v="2025-10-12T00:00:00"/>
    <d v="2025-10-15T00:00:00"/>
    <d v="2025-10-16T00:00:00"/>
    <d v="2025-10-23T00:00:00"/>
    <s v="No"/>
    <m/>
    <d v="2025-11-17T00:00:00"/>
    <n v="3"/>
    <n v="1"/>
    <n v="7"/>
    <n v="3"/>
    <n v="1"/>
    <n v="1"/>
    <n v="1"/>
    <n v="1"/>
    <x v="0"/>
  </r>
  <r>
    <s v="L1630"/>
    <x v="0"/>
    <s v="Hot"/>
    <d v="2025-10-19T00:00:00"/>
    <d v="2025-10-20T00:00:00"/>
    <d v="2025-10-25T00:00:00"/>
    <d v="2025-10-31T00:00:00"/>
    <s v="No"/>
    <m/>
    <d v="2025-11-21T00:00:00"/>
    <n v="1"/>
    <n v="5"/>
    <n v="6"/>
    <n v="1"/>
    <n v="1"/>
    <n v="1"/>
    <n v="1"/>
    <n v="1"/>
    <x v="0"/>
  </r>
  <r>
    <s v="L1631"/>
    <x v="0"/>
    <s v="Cold"/>
    <d v="2025-10-10T00:00:00"/>
    <m/>
    <m/>
    <m/>
    <s v="Yes"/>
    <s v="Financing Issue"/>
    <m/>
    <m/>
    <m/>
    <m/>
    <m/>
    <n v="1"/>
    <n v="0"/>
    <n v="0"/>
    <n v="0"/>
    <x v="2"/>
  </r>
  <r>
    <s v="L1632"/>
    <x v="1"/>
    <s v="Hot"/>
    <d v="2025-10-21T00:00:00"/>
    <d v="2025-10-22T00:00:00"/>
    <d v="2025-10-24T00:00:00"/>
    <d v="2025-10-26T00:00:00"/>
    <s v="No"/>
    <m/>
    <d v="2025-11-21T00:00:00"/>
    <n v="1"/>
    <n v="2"/>
    <n v="2"/>
    <n v="9"/>
    <n v="1"/>
    <n v="1"/>
    <n v="1"/>
    <n v="1"/>
    <x v="3"/>
  </r>
  <r>
    <s v="L1633"/>
    <x v="0"/>
    <s v="Warm"/>
    <d v="2025-10-31T00:00:00"/>
    <d v="2025-11-03T00:00:00"/>
    <d v="2025-11-05T00:00:00"/>
    <d v="2025-11-07T00:00:00"/>
    <s v="No"/>
    <m/>
    <d v="2025-11-26T00:00:00"/>
    <n v="3"/>
    <n v="2"/>
    <n v="2"/>
    <n v="3"/>
    <n v="1"/>
    <n v="1"/>
    <n v="1"/>
    <n v="1"/>
    <x v="0"/>
  </r>
  <r>
    <s v="L1634"/>
    <x v="2"/>
    <s v="Warm"/>
    <d v="2025-10-14T00:00:00"/>
    <d v="2025-10-17T00:00:00"/>
    <d v="2025-10-19T00:00:00"/>
    <d v="2025-10-21T00:00:00"/>
    <s v="No"/>
    <m/>
    <d v="2025-11-05T00:00:00"/>
    <n v="3"/>
    <n v="2"/>
    <n v="2"/>
    <n v="5"/>
    <n v="1"/>
    <n v="1"/>
    <n v="1"/>
    <n v="1"/>
    <x v="0"/>
  </r>
  <r>
    <s v="L1635"/>
    <x v="2"/>
    <s v="Hot"/>
    <d v="2025-10-23T00:00:00"/>
    <d v="2025-10-26T00:00:00"/>
    <d v="2025-10-31T00:00:00"/>
    <d v="2025-11-03T00:00:00"/>
    <s v="Yes"/>
    <s v="Price"/>
    <m/>
    <n v="3"/>
    <n v="5"/>
    <n v="3"/>
    <m/>
    <n v="1"/>
    <n v="1"/>
    <n v="1"/>
    <n v="0"/>
    <x v="2"/>
  </r>
  <r>
    <s v="L1636"/>
    <x v="3"/>
    <s v="Warm"/>
    <d v="2025-10-09T00:00:00"/>
    <d v="2025-10-13T00:00:00"/>
    <d v="2025-10-18T00:00:00"/>
    <d v="2025-10-20T00:00:00"/>
    <s v="No"/>
    <m/>
    <d v="2025-11-16T00:00:00"/>
    <n v="4"/>
    <n v="5"/>
    <n v="2"/>
    <n v="3"/>
    <n v="1"/>
    <n v="1"/>
    <n v="1"/>
    <n v="1"/>
    <x v="0"/>
  </r>
  <r>
    <s v="L1637"/>
    <x v="0"/>
    <s v="Hot"/>
    <d v="2025-10-15T00:00:00"/>
    <d v="2025-10-20T00:00:00"/>
    <d v="2025-10-23T00:00:00"/>
    <d v="2025-10-28T00:00:00"/>
    <s v="No"/>
    <m/>
    <d v="2025-11-12T00:00:00"/>
    <n v="5"/>
    <n v="3"/>
    <n v="5"/>
    <n v="2"/>
    <n v="1"/>
    <n v="1"/>
    <n v="1"/>
    <n v="1"/>
    <x v="0"/>
  </r>
  <r>
    <s v="L1638"/>
    <x v="1"/>
    <s v="Hot"/>
    <d v="2025-10-28T00:00:00"/>
    <d v="2025-11-01T00:00:00"/>
    <d v="2025-11-04T00:00:00"/>
    <d v="2025-11-08T00:00:00"/>
    <s v="No"/>
    <m/>
    <d v="2025-11-27T00:00:00"/>
    <n v="4"/>
    <n v="3"/>
    <n v="4"/>
    <n v="1"/>
    <n v="1"/>
    <n v="1"/>
    <n v="1"/>
    <n v="1"/>
    <x v="0"/>
  </r>
  <r>
    <s v="L1639"/>
    <x v="2"/>
    <s v="Warm"/>
    <d v="2025-10-10T00:00:00"/>
    <d v="2025-10-12T00:00:00"/>
    <d v="2025-10-15T00:00:00"/>
    <d v="2025-10-20T00:00:00"/>
    <s v="No"/>
    <m/>
    <d v="2025-11-02T00:00:00"/>
    <n v="2"/>
    <n v="3"/>
    <n v="5"/>
    <n v="8"/>
    <n v="1"/>
    <n v="1"/>
    <n v="1"/>
    <n v="1"/>
    <x v="1"/>
  </r>
  <r>
    <s v="L1640"/>
    <x v="1"/>
    <s v="Cold"/>
    <d v="2025-10-07T00:00:00"/>
    <m/>
    <m/>
    <m/>
    <s v="Yes"/>
    <s v="Model Unavailable"/>
    <m/>
    <m/>
    <m/>
    <m/>
    <m/>
    <n v="1"/>
    <n v="0"/>
    <n v="0"/>
    <n v="0"/>
    <x v="2"/>
  </r>
  <r>
    <s v="L1641"/>
    <x v="1"/>
    <s v="Warm"/>
    <d v="2025-10-13T00:00:00"/>
    <d v="2025-10-17T00:00:00"/>
    <d v="2025-10-21T00:00:00"/>
    <d v="2025-10-24T00:00:00"/>
    <s v="No"/>
    <m/>
    <d v="2025-11-18T00:00:00"/>
    <n v="4"/>
    <n v="4"/>
    <n v="3"/>
    <n v="9"/>
    <n v="1"/>
    <n v="1"/>
    <n v="1"/>
    <n v="1"/>
    <x v="3"/>
  </r>
  <r>
    <s v="L1642"/>
    <x v="2"/>
    <s v="Warm"/>
    <d v="2025-10-28T00:00:00"/>
    <d v="2025-10-31T00:00:00"/>
    <d v="2025-11-01T00:00:00"/>
    <d v="2025-11-04T00:00:00"/>
    <s v="No"/>
    <m/>
    <d v="2025-11-18T00:00:00"/>
    <n v="3"/>
    <n v="1"/>
    <n v="3"/>
    <n v="4"/>
    <n v="1"/>
    <n v="1"/>
    <n v="1"/>
    <n v="1"/>
    <x v="0"/>
  </r>
  <r>
    <s v="L1643"/>
    <x v="1"/>
    <s v="Hot"/>
    <d v="2025-10-16T00:00:00"/>
    <d v="2025-10-20T00:00:00"/>
    <d v="2025-10-23T00:00:00"/>
    <d v="2025-10-25T00:00:00"/>
    <s v="No"/>
    <m/>
    <d v="2025-11-12T00:00:00"/>
    <n v="4"/>
    <n v="3"/>
    <n v="2"/>
    <n v="4"/>
    <n v="1"/>
    <n v="1"/>
    <n v="1"/>
    <n v="1"/>
    <x v="0"/>
  </r>
  <r>
    <s v="L1644"/>
    <x v="2"/>
    <s v="Hot"/>
    <d v="2025-10-04T00:00:00"/>
    <d v="2025-10-05T00:00:00"/>
    <d v="2025-10-09T00:00:00"/>
    <d v="2025-10-15T00:00:00"/>
    <s v="No"/>
    <m/>
    <d v="2025-11-11T00:00:00"/>
    <n v="1"/>
    <n v="4"/>
    <n v="6"/>
    <n v="1"/>
    <n v="1"/>
    <n v="1"/>
    <n v="1"/>
    <n v="1"/>
    <x v="0"/>
  </r>
  <r>
    <s v="L1645"/>
    <x v="1"/>
    <s v="Hot"/>
    <d v="2025-10-08T00:00:00"/>
    <d v="2025-10-11T00:00:00"/>
    <d v="2025-10-15T00:00:00"/>
    <d v="2025-10-22T00:00:00"/>
    <s v="No"/>
    <m/>
    <d v="2025-11-06T00:00:00"/>
    <n v="3"/>
    <n v="4"/>
    <n v="7"/>
    <n v="0"/>
    <n v="1"/>
    <n v="1"/>
    <n v="1"/>
    <n v="1"/>
    <x v="0"/>
  </r>
  <r>
    <s v="L1646"/>
    <x v="2"/>
    <s v="Hot"/>
    <d v="2025-10-13T00:00:00"/>
    <d v="2025-10-18T00:00:00"/>
    <d v="2025-10-23T00:00:00"/>
    <d v="2025-10-30T00:00:00"/>
    <s v="No"/>
    <m/>
    <d v="2025-11-19T00:00:00"/>
    <n v="5"/>
    <n v="5"/>
    <n v="7"/>
    <n v="6"/>
    <n v="1"/>
    <n v="1"/>
    <n v="1"/>
    <n v="1"/>
    <x v="0"/>
  </r>
  <r>
    <s v="L1647"/>
    <x v="0"/>
    <s v="Warm"/>
    <d v="2025-10-19T00:00:00"/>
    <d v="2025-10-23T00:00:00"/>
    <d v="2025-10-25T00:00:00"/>
    <d v="2025-11-01T00:00:00"/>
    <s v="No"/>
    <m/>
    <d v="2025-12-01T00:00:00"/>
    <n v="4"/>
    <n v="2"/>
    <n v="7"/>
    <n v="5"/>
    <n v="1"/>
    <n v="1"/>
    <n v="1"/>
    <n v="1"/>
    <x v="0"/>
  </r>
  <r>
    <s v="L1648"/>
    <x v="3"/>
    <s v="Warm"/>
    <d v="2025-10-12T00:00:00"/>
    <d v="2025-10-15T00:00:00"/>
    <d v="2025-10-17T00:00:00"/>
    <d v="2025-10-22T00:00:00"/>
    <s v="No"/>
    <m/>
    <d v="2025-11-03T00:00:00"/>
    <n v="3"/>
    <n v="2"/>
    <n v="5"/>
    <n v="0"/>
    <n v="1"/>
    <n v="1"/>
    <n v="1"/>
    <n v="1"/>
    <x v="0"/>
  </r>
  <r>
    <s v="L1649"/>
    <x v="2"/>
    <s v="Warm"/>
    <d v="2025-10-19T00:00:00"/>
    <d v="2025-10-20T00:00:00"/>
    <d v="2025-10-23T00:00:00"/>
    <d v="2025-10-26T00:00:00"/>
    <s v="Yes"/>
    <s v="Other"/>
    <m/>
    <n v="1"/>
    <n v="3"/>
    <n v="3"/>
    <m/>
    <n v="1"/>
    <n v="1"/>
    <n v="1"/>
    <n v="0"/>
    <x v="2"/>
  </r>
  <r>
    <s v="L1650"/>
    <x v="2"/>
    <s v="Hot"/>
    <d v="2025-10-10T00:00:00"/>
    <d v="2025-10-11T00:00:00"/>
    <d v="2025-10-12T00:00:00"/>
    <d v="2025-10-16T00:00:00"/>
    <s v="Yes"/>
    <s v="Price"/>
    <m/>
    <n v="1"/>
    <n v="1"/>
    <n v="4"/>
    <m/>
    <n v="1"/>
    <n v="1"/>
    <n v="1"/>
    <n v="0"/>
    <x v="2"/>
  </r>
  <r>
    <s v="L1651"/>
    <x v="3"/>
    <s v="Warm"/>
    <d v="2025-10-23T00:00:00"/>
    <d v="2025-10-27T00:00:00"/>
    <d v="2025-10-28T00:00:00"/>
    <d v="2025-10-31T00:00:00"/>
    <s v="Yes"/>
    <s v="Price"/>
    <m/>
    <n v="4"/>
    <n v="1"/>
    <n v="3"/>
    <m/>
    <n v="1"/>
    <n v="1"/>
    <n v="1"/>
    <n v="0"/>
    <x v="2"/>
  </r>
  <r>
    <s v="L1652"/>
    <x v="2"/>
    <s v="Cold"/>
    <d v="2025-10-10T00:00:00"/>
    <m/>
    <m/>
    <m/>
    <s v="Yes"/>
    <s v="Model Unavailable"/>
    <m/>
    <m/>
    <m/>
    <m/>
    <m/>
    <n v="1"/>
    <n v="0"/>
    <n v="0"/>
    <n v="0"/>
    <x v="2"/>
  </r>
  <r>
    <s v="L1653"/>
    <x v="2"/>
    <s v="Hot"/>
    <d v="2025-10-01T00:00:00"/>
    <d v="2025-10-04T00:00:00"/>
    <d v="2025-10-05T00:00:00"/>
    <d v="2025-10-10T00:00:00"/>
    <s v="No"/>
    <m/>
    <d v="2025-10-27T00:00:00"/>
    <n v="3"/>
    <n v="1"/>
    <n v="5"/>
    <n v="3"/>
    <n v="1"/>
    <n v="1"/>
    <n v="1"/>
    <n v="1"/>
    <x v="0"/>
  </r>
  <r>
    <s v="L1654"/>
    <x v="1"/>
    <s v="Cold"/>
    <d v="2025-10-27T00:00:00"/>
    <m/>
    <m/>
    <m/>
    <s v="Yes"/>
    <s v="Financing Issue"/>
    <m/>
    <m/>
    <m/>
    <m/>
    <m/>
    <n v="1"/>
    <n v="0"/>
    <n v="0"/>
    <n v="0"/>
    <x v="2"/>
  </r>
  <r>
    <s v="L1655"/>
    <x v="3"/>
    <s v="Cold"/>
    <d v="2025-10-22T00:00:00"/>
    <m/>
    <m/>
    <m/>
    <s v="Yes"/>
    <s v="Price"/>
    <m/>
    <m/>
    <m/>
    <m/>
    <m/>
    <n v="1"/>
    <n v="0"/>
    <n v="0"/>
    <n v="0"/>
    <x v="2"/>
  </r>
  <r>
    <s v="L1656"/>
    <x v="0"/>
    <s v="Hot"/>
    <d v="2025-10-13T00:00:00"/>
    <d v="2025-10-18T00:00:00"/>
    <d v="2025-10-22T00:00:00"/>
    <d v="2025-10-29T00:00:00"/>
    <s v="No"/>
    <m/>
    <d v="2025-11-19T00:00:00"/>
    <n v="5"/>
    <n v="4"/>
    <n v="7"/>
    <n v="2"/>
    <n v="1"/>
    <n v="1"/>
    <n v="1"/>
    <n v="1"/>
    <x v="0"/>
  </r>
  <r>
    <s v="L1657"/>
    <x v="2"/>
    <s v="Warm"/>
    <d v="2025-10-09T00:00:00"/>
    <d v="2025-10-11T00:00:00"/>
    <d v="2025-10-15T00:00:00"/>
    <d v="2025-10-19T00:00:00"/>
    <s v="Yes"/>
    <s v="Other"/>
    <m/>
    <n v="2"/>
    <n v="4"/>
    <n v="4"/>
    <m/>
    <n v="1"/>
    <n v="1"/>
    <n v="1"/>
    <n v="0"/>
    <x v="2"/>
  </r>
  <r>
    <s v="L1658"/>
    <x v="3"/>
    <s v="Warm"/>
    <d v="2025-10-01T00:00:00"/>
    <d v="2025-10-02T00:00:00"/>
    <d v="2025-10-06T00:00:00"/>
    <d v="2025-10-10T00:00:00"/>
    <s v="Yes"/>
    <s v="Price"/>
    <m/>
    <n v="1"/>
    <n v="4"/>
    <n v="4"/>
    <m/>
    <n v="1"/>
    <n v="1"/>
    <n v="1"/>
    <n v="0"/>
    <x v="2"/>
  </r>
  <r>
    <s v="L1659"/>
    <x v="1"/>
    <s v="Warm"/>
    <d v="2025-10-19T00:00:00"/>
    <d v="2025-10-21T00:00:00"/>
    <d v="2025-10-26T00:00:00"/>
    <d v="2025-10-28T00:00:00"/>
    <s v="No"/>
    <m/>
    <d v="2025-11-14T00:00:00"/>
    <n v="2"/>
    <n v="5"/>
    <n v="2"/>
    <n v="2"/>
    <n v="1"/>
    <n v="1"/>
    <n v="1"/>
    <n v="1"/>
    <x v="0"/>
  </r>
  <r>
    <s v="L1660"/>
    <x v="0"/>
    <s v="Warm"/>
    <d v="2025-10-28T00:00:00"/>
    <d v="2025-11-02T00:00:00"/>
    <d v="2025-11-06T00:00:00"/>
    <d v="2025-11-12T00:00:00"/>
    <s v="No"/>
    <m/>
    <d v="2025-12-01T00:00:00"/>
    <n v="5"/>
    <n v="4"/>
    <n v="6"/>
    <n v="1"/>
    <n v="1"/>
    <n v="1"/>
    <n v="1"/>
    <n v="1"/>
    <x v="0"/>
  </r>
  <r>
    <s v="L1661"/>
    <x v="3"/>
    <s v="Warm"/>
    <d v="2025-10-22T00:00:00"/>
    <d v="2025-10-26T00:00:00"/>
    <d v="2025-10-27T00:00:00"/>
    <d v="2025-10-31T00:00:00"/>
    <s v="No"/>
    <m/>
    <d v="2025-11-23T00:00:00"/>
    <n v="4"/>
    <n v="1"/>
    <n v="4"/>
    <n v="9"/>
    <n v="1"/>
    <n v="1"/>
    <n v="1"/>
    <n v="1"/>
    <x v="3"/>
  </r>
  <r>
    <s v="L1662"/>
    <x v="0"/>
    <s v="Warm"/>
    <d v="2025-10-25T00:00:00"/>
    <d v="2025-10-26T00:00:00"/>
    <d v="2025-10-27T00:00:00"/>
    <d v="2025-10-29T00:00:00"/>
    <s v="No"/>
    <m/>
    <d v="2025-11-18T00:00:00"/>
    <n v="1"/>
    <n v="1"/>
    <n v="2"/>
    <n v="5"/>
    <n v="1"/>
    <n v="1"/>
    <n v="1"/>
    <n v="1"/>
    <x v="0"/>
  </r>
  <r>
    <s v="L1663"/>
    <x v="0"/>
    <s v="Warm"/>
    <d v="2025-10-24T00:00:00"/>
    <d v="2025-10-26T00:00:00"/>
    <d v="2025-10-28T00:00:00"/>
    <d v="2025-11-03T00:00:00"/>
    <s v="No"/>
    <m/>
    <d v="2025-11-24T00:00:00"/>
    <n v="2"/>
    <n v="2"/>
    <n v="6"/>
    <n v="4"/>
    <n v="1"/>
    <n v="1"/>
    <n v="1"/>
    <n v="1"/>
    <x v="0"/>
  </r>
  <r>
    <s v="L1664"/>
    <x v="0"/>
    <s v="Warm"/>
    <d v="2025-10-02T00:00:00"/>
    <d v="2025-10-03T00:00:00"/>
    <d v="2025-10-04T00:00:00"/>
    <d v="2025-10-11T00:00:00"/>
    <s v="No"/>
    <m/>
    <d v="2025-10-29T00:00:00"/>
    <n v="1"/>
    <n v="1"/>
    <n v="7"/>
    <n v="9"/>
    <n v="1"/>
    <n v="1"/>
    <n v="1"/>
    <n v="1"/>
    <x v="3"/>
  </r>
  <r>
    <s v="L1665"/>
    <x v="2"/>
    <s v="Warm"/>
    <d v="2025-10-30T00:00:00"/>
    <d v="2025-11-01T00:00:00"/>
    <d v="2025-11-05T00:00:00"/>
    <d v="2025-11-07T00:00:00"/>
    <s v="No"/>
    <m/>
    <d v="2025-12-05T00:00:00"/>
    <n v="2"/>
    <n v="4"/>
    <n v="2"/>
    <n v="2"/>
    <n v="1"/>
    <n v="1"/>
    <n v="1"/>
    <n v="1"/>
    <x v="0"/>
  </r>
  <r>
    <s v="L1666"/>
    <x v="2"/>
    <s v="Warm"/>
    <d v="2025-10-20T00:00:00"/>
    <d v="2025-10-23T00:00:00"/>
    <d v="2025-10-27T00:00:00"/>
    <d v="2025-10-30T00:00:00"/>
    <s v="No"/>
    <m/>
    <d v="2025-11-18T00:00:00"/>
    <n v="3"/>
    <n v="4"/>
    <n v="3"/>
    <n v="7"/>
    <n v="1"/>
    <n v="1"/>
    <n v="1"/>
    <n v="1"/>
    <x v="1"/>
  </r>
  <r>
    <s v="L1667"/>
    <x v="1"/>
    <s v="Warm"/>
    <d v="2025-10-24T00:00:00"/>
    <d v="2025-10-27T00:00:00"/>
    <d v="2025-10-30T00:00:00"/>
    <d v="2025-11-02T00:00:00"/>
    <s v="No"/>
    <m/>
    <d v="2025-11-26T00:00:00"/>
    <n v="3"/>
    <n v="3"/>
    <n v="3"/>
    <n v="0"/>
    <n v="1"/>
    <n v="1"/>
    <n v="1"/>
    <n v="1"/>
    <x v="0"/>
  </r>
  <r>
    <s v="L1668"/>
    <x v="1"/>
    <s v="Hot"/>
    <d v="2025-10-16T00:00:00"/>
    <d v="2025-10-20T00:00:00"/>
    <d v="2025-10-25T00:00:00"/>
    <d v="2025-10-31T00:00:00"/>
    <s v="No"/>
    <m/>
    <d v="2025-11-13T00:00:00"/>
    <n v="4"/>
    <n v="5"/>
    <n v="6"/>
    <n v="2"/>
    <n v="1"/>
    <n v="1"/>
    <n v="1"/>
    <n v="1"/>
    <x v="0"/>
  </r>
  <r>
    <s v="L1669"/>
    <x v="3"/>
    <s v="Hot"/>
    <d v="2025-10-27T00:00:00"/>
    <d v="2025-11-01T00:00:00"/>
    <d v="2025-11-02T00:00:00"/>
    <d v="2025-11-04T00:00:00"/>
    <s v="Yes"/>
    <s v="Other"/>
    <m/>
    <n v="5"/>
    <n v="1"/>
    <n v="2"/>
    <m/>
    <n v="1"/>
    <n v="1"/>
    <n v="1"/>
    <n v="0"/>
    <x v="2"/>
  </r>
  <r>
    <s v="L1670"/>
    <x v="1"/>
    <s v="Cold"/>
    <d v="2025-10-29T00:00:00"/>
    <m/>
    <m/>
    <m/>
    <s v="Yes"/>
    <s v="Changed Mind"/>
    <m/>
    <m/>
    <m/>
    <m/>
    <m/>
    <n v="1"/>
    <n v="0"/>
    <n v="0"/>
    <n v="0"/>
    <x v="2"/>
  </r>
  <r>
    <s v="L1671"/>
    <x v="0"/>
    <s v="Warm"/>
    <d v="2025-10-29T00:00:00"/>
    <d v="2025-10-30T00:00:00"/>
    <d v="2025-11-04T00:00:00"/>
    <d v="2025-11-09T00:00:00"/>
    <s v="No"/>
    <m/>
    <d v="2025-12-04T00:00:00"/>
    <n v="1"/>
    <n v="5"/>
    <n v="5"/>
    <n v="0"/>
    <n v="1"/>
    <n v="1"/>
    <n v="1"/>
    <n v="1"/>
    <x v="0"/>
  </r>
  <r>
    <s v="L1672"/>
    <x v="0"/>
    <s v="Hot"/>
    <d v="2025-10-10T00:00:00"/>
    <d v="2025-10-15T00:00:00"/>
    <d v="2025-10-16T00:00:00"/>
    <d v="2025-10-18T00:00:00"/>
    <s v="No"/>
    <m/>
    <d v="2025-10-29T00:00:00"/>
    <n v="5"/>
    <n v="1"/>
    <n v="2"/>
    <n v="6"/>
    <n v="1"/>
    <n v="1"/>
    <n v="1"/>
    <n v="1"/>
    <x v="0"/>
  </r>
  <r>
    <s v="L1673"/>
    <x v="2"/>
    <s v="Hot"/>
    <d v="2025-10-25T00:00:00"/>
    <d v="2025-10-27T00:00:00"/>
    <d v="2025-10-29T00:00:00"/>
    <d v="2025-11-03T00:00:00"/>
    <s v="No"/>
    <m/>
    <d v="2025-12-03T00:00:00"/>
    <n v="2"/>
    <n v="2"/>
    <n v="5"/>
    <n v="10"/>
    <n v="1"/>
    <n v="1"/>
    <n v="1"/>
    <n v="1"/>
    <x v="3"/>
  </r>
  <r>
    <s v="L1674"/>
    <x v="0"/>
    <s v="Hot"/>
    <d v="2025-10-26T00:00:00"/>
    <d v="2025-10-30T00:00:00"/>
    <d v="2025-11-01T00:00:00"/>
    <d v="2025-11-05T00:00:00"/>
    <s v="No"/>
    <m/>
    <d v="2025-12-03T00:00:00"/>
    <n v="4"/>
    <n v="2"/>
    <n v="4"/>
    <n v="8"/>
    <n v="1"/>
    <n v="1"/>
    <n v="1"/>
    <n v="1"/>
    <x v="1"/>
  </r>
  <r>
    <s v="L1675"/>
    <x v="3"/>
    <s v="Cold"/>
    <d v="2025-10-08T00:00:00"/>
    <m/>
    <m/>
    <m/>
    <s v="Yes"/>
    <s v="Changed Mind"/>
    <m/>
    <m/>
    <m/>
    <m/>
    <m/>
    <n v="1"/>
    <n v="0"/>
    <n v="0"/>
    <n v="0"/>
    <x v="2"/>
  </r>
  <r>
    <s v="L1676"/>
    <x v="0"/>
    <s v="Warm"/>
    <d v="2025-10-20T00:00:00"/>
    <d v="2025-10-23T00:00:00"/>
    <d v="2025-10-28T00:00:00"/>
    <d v="2025-11-01T00:00:00"/>
    <s v="No"/>
    <m/>
    <d v="2025-11-29T00:00:00"/>
    <n v="3"/>
    <n v="5"/>
    <n v="4"/>
    <n v="10"/>
    <n v="1"/>
    <n v="1"/>
    <n v="1"/>
    <n v="1"/>
    <x v="3"/>
  </r>
  <r>
    <s v="L1677"/>
    <x v="0"/>
    <s v="Cold"/>
    <d v="2025-10-26T00:00:00"/>
    <m/>
    <m/>
    <m/>
    <s v="Yes"/>
    <s v="Other"/>
    <m/>
    <m/>
    <m/>
    <m/>
    <m/>
    <n v="1"/>
    <n v="0"/>
    <n v="0"/>
    <n v="0"/>
    <x v="2"/>
  </r>
  <r>
    <s v="L1678"/>
    <x v="3"/>
    <s v="Warm"/>
    <d v="2025-10-12T00:00:00"/>
    <d v="2025-10-15T00:00:00"/>
    <d v="2025-10-19T00:00:00"/>
    <d v="2025-10-23T00:00:00"/>
    <s v="Yes"/>
    <s v="Financing Issue"/>
    <m/>
    <n v="3"/>
    <n v="4"/>
    <n v="4"/>
    <m/>
    <n v="1"/>
    <n v="1"/>
    <n v="1"/>
    <n v="0"/>
    <x v="2"/>
  </r>
  <r>
    <s v="L1679"/>
    <x v="1"/>
    <s v="Warm"/>
    <d v="2025-10-08T00:00:00"/>
    <d v="2025-10-12T00:00:00"/>
    <d v="2025-10-15T00:00:00"/>
    <d v="2025-10-17T00:00:00"/>
    <s v="No"/>
    <m/>
    <d v="2025-11-15T00:00:00"/>
    <n v="4"/>
    <n v="3"/>
    <n v="2"/>
    <n v="10"/>
    <n v="1"/>
    <n v="1"/>
    <n v="1"/>
    <n v="1"/>
    <x v="3"/>
  </r>
  <r>
    <s v="L1680"/>
    <x v="1"/>
    <s v="Warm"/>
    <d v="2025-10-21T00:00:00"/>
    <d v="2025-10-22T00:00:00"/>
    <d v="2025-10-23T00:00:00"/>
    <d v="2025-10-29T00:00:00"/>
    <s v="No"/>
    <m/>
    <d v="2025-11-10T00:00:00"/>
    <n v="1"/>
    <n v="1"/>
    <n v="6"/>
    <n v="2"/>
    <n v="1"/>
    <n v="1"/>
    <n v="1"/>
    <n v="1"/>
    <x v="0"/>
  </r>
  <r>
    <s v="L1681"/>
    <x v="3"/>
    <s v="Warm"/>
    <d v="2025-10-07T00:00:00"/>
    <d v="2025-10-12T00:00:00"/>
    <d v="2025-10-13T00:00:00"/>
    <d v="2025-10-18T00:00:00"/>
    <s v="No"/>
    <m/>
    <d v="2025-11-12T00:00:00"/>
    <n v="5"/>
    <n v="1"/>
    <n v="5"/>
    <n v="9"/>
    <n v="1"/>
    <n v="1"/>
    <n v="1"/>
    <n v="1"/>
    <x v="3"/>
  </r>
  <r>
    <s v="L1682"/>
    <x v="2"/>
    <s v="Hot"/>
    <d v="2025-10-20T00:00:00"/>
    <d v="2025-10-22T00:00:00"/>
    <d v="2025-10-25T00:00:00"/>
    <d v="2025-10-27T00:00:00"/>
    <s v="No"/>
    <m/>
    <d v="2025-11-12T00:00:00"/>
    <n v="2"/>
    <n v="3"/>
    <n v="2"/>
    <n v="8"/>
    <n v="1"/>
    <n v="1"/>
    <n v="1"/>
    <n v="1"/>
    <x v="1"/>
  </r>
  <r>
    <s v="L1683"/>
    <x v="0"/>
    <s v="Cold"/>
    <d v="2025-10-09T00:00:00"/>
    <m/>
    <m/>
    <m/>
    <s v="Yes"/>
    <s v="Price"/>
    <m/>
    <m/>
    <m/>
    <m/>
    <m/>
    <n v="1"/>
    <n v="0"/>
    <n v="0"/>
    <n v="0"/>
    <x v="2"/>
  </r>
  <r>
    <s v="L1684"/>
    <x v="3"/>
    <s v="Cold"/>
    <d v="2025-10-22T00:00:00"/>
    <m/>
    <m/>
    <m/>
    <s v="Yes"/>
    <s v="Price"/>
    <m/>
    <m/>
    <m/>
    <m/>
    <m/>
    <n v="1"/>
    <n v="0"/>
    <n v="0"/>
    <n v="0"/>
    <x v="2"/>
  </r>
  <r>
    <s v="L1685"/>
    <x v="0"/>
    <s v="Warm"/>
    <d v="2025-10-25T00:00:00"/>
    <d v="2025-10-30T00:00:00"/>
    <d v="2025-11-04T00:00:00"/>
    <d v="2025-11-08T00:00:00"/>
    <s v="No"/>
    <m/>
    <d v="2025-12-04T00:00:00"/>
    <n v="5"/>
    <n v="5"/>
    <n v="4"/>
    <n v="5"/>
    <n v="1"/>
    <n v="1"/>
    <n v="1"/>
    <n v="1"/>
    <x v="0"/>
  </r>
  <r>
    <s v="L1686"/>
    <x v="2"/>
    <s v="Cold"/>
    <d v="2025-10-24T00:00:00"/>
    <m/>
    <m/>
    <m/>
    <s v="Yes"/>
    <s v="Changed Mind"/>
    <m/>
    <m/>
    <m/>
    <m/>
    <m/>
    <n v="1"/>
    <n v="0"/>
    <n v="0"/>
    <n v="0"/>
    <x v="2"/>
  </r>
  <r>
    <s v="L1687"/>
    <x v="0"/>
    <s v="Cold"/>
    <d v="2025-10-25T00:00:00"/>
    <m/>
    <m/>
    <m/>
    <s v="Yes"/>
    <s v="Other"/>
    <m/>
    <m/>
    <m/>
    <m/>
    <m/>
    <n v="1"/>
    <n v="0"/>
    <n v="0"/>
    <n v="0"/>
    <x v="2"/>
  </r>
  <r>
    <s v="L1688"/>
    <x v="3"/>
    <s v="Warm"/>
    <d v="2025-10-22T00:00:00"/>
    <d v="2025-10-25T00:00:00"/>
    <d v="2025-10-30T00:00:00"/>
    <d v="2025-11-02T00:00:00"/>
    <s v="No"/>
    <m/>
    <d v="2025-11-15T00:00:00"/>
    <n v="3"/>
    <n v="5"/>
    <n v="3"/>
    <n v="5"/>
    <n v="1"/>
    <n v="1"/>
    <n v="1"/>
    <n v="1"/>
    <x v="0"/>
  </r>
  <r>
    <s v="L1689"/>
    <x v="0"/>
    <s v="Hot"/>
    <d v="2025-10-22T00:00:00"/>
    <d v="2025-10-26T00:00:00"/>
    <d v="2025-10-27T00:00:00"/>
    <d v="2025-10-31T00:00:00"/>
    <s v="No"/>
    <m/>
    <d v="2025-11-22T00:00:00"/>
    <n v="4"/>
    <n v="1"/>
    <n v="4"/>
    <n v="2"/>
    <n v="1"/>
    <n v="1"/>
    <n v="1"/>
    <n v="1"/>
    <x v="0"/>
  </r>
  <r>
    <s v="L1690"/>
    <x v="1"/>
    <s v="Warm"/>
    <d v="2025-10-27T00:00:00"/>
    <d v="2025-10-30T00:00:00"/>
    <d v="2025-11-01T00:00:00"/>
    <d v="2025-11-07T00:00:00"/>
    <s v="No"/>
    <m/>
    <d v="2025-12-03T00:00:00"/>
    <n v="3"/>
    <n v="2"/>
    <n v="6"/>
    <n v="7"/>
    <n v="1"/>
    <n v="1"/>
    <n v="1"/>
    <n v="1"/>
    <x v="1"/>
  </r>
  <r>
    <s v="L1691"/>
    <x v="2"/>
    <s v="Warm"/>
    <d v="2025-10-05T00:00:00"/>
    <d v="2025-10-08T00:00:00"/>
    <d v="2025-10-11T00:00:00"/>
    <d v="2025-10-15T00:00:00"/>
    <s v="No"/>
    <m/>
    <d v="2025-11-03T00:00:00"/>
    <n v="3"/>
    <n v="3"/>
    <n v="4"/>
    <n v="3"/>
    <n v="1"/>
    <n v="1"/>
    <n v="1"/>
    <n v="1"/>
    <x v="0"/>
  </r>
  <r>
    <s v="L1692"/>
    <x v="2"/>
    <s v="Hot"/>
    <d v="2025-10-21T00:00:00"/>
    <d v="2025-10-23T00:00:00"/>
    <d v="2025-10-24T00:00:00"/>
    <d v="2025-10-31T00:00:00"/>
    <s v="No"/>
    <m/>
    <d v="2025-11-23T00:00:00"/>
    <n v="2"/>
    <n v="1"/>
    <n v="7"/>
    <n v="8"/>
    <n v="1"/>
    <n v="1"/>
    <n v="1"/>
    <n v="1"/>
    <x v="1"/>
  </r>
  <r>
    <s v="L1693"/>
    <x v="2"/>
    <s v="Hot"/>
    <d v="2025-10-04T00:00:00"/>
    <d v="2025-10-05T00:00:00"/>
    <d v="2025-10-07T00:00:00"/>
    <d v="2025-10-13T00:00:00"/>
    <s v="No"/>
    <m/>
    <d v="2025-10-24T00:00:00"/>
    <n v="1"/>
    <n v="2"/>
    <n v="6"/>
    <n v="7"/>
    <n v="1"/>
    <n v="1"/>
    <n v="1"/>
    <n v="1"/>
    <x v="1"/>
  </r>
  <r>
    <s v="L1694"/>
    <x v="3"/>
    <s v="Warm"/>
    <d v="2025-10-29T00:00:00"/>
    <d v="2025-10-30T00:00:00"/>
    <d v="2025-11-04T00:00:00"/>
    <d v="2025-11-07T00:00:00"/>
    <s v="No"/>
    <m/>
    <d v="2025-11-21T00:00:00"/>
    <n v="1"/>
    <n v="5"/>
    <n v="3"/>
    <n v="2"/>
    <n v="1"/>
    <n v="1"/>
    <n v="1"/>
    <n v="1"/>
    <x v="0"/>
  </r>
  <r>
    <s v="L1695"/>
    <x v="2"/>
    <s v="Hot"/>
    <d v="2025-10-21T00:00:00"/>
    <d v="2025-10-23T00:00:00"/>
    <d v="2025-10-25T00:00:00"/>
    <d v="2025-10-30T00:00:00"/>
    <s v="No"/>
    <m/>
    <d v="2025-11-13T00:00:00"/>
    <n v="2"/>
    <n v="2"/>
    <n v="5"/>
    <n v="2"/>
    <n v="1"/>
    <n v="1"/>
    <n v="1"/>
    <n v="1"/>
    <x v="0"/>
  </r>
  <r>
    <s v="L1696"/>
    <x v="1"/>
    <s v="Warm"/>
    <d v="2025-10-21T00:00:00"/>
    <d v="2025-10-25T00:00:00"/>
    <d v="2025-10-29T00:00:00"/>
    <d v="2025-11-02T00:00:00"/>
    <s v="No"/>
    <m/>
    <d v="2025-11-18T00:00:00"/>
    <n v="4"/>
    <n v="4"/>
    <n v="4"/>
    <n v="9"/>
    <n v="1"/>
    <n v="1"/>
    <n v="1"/>
    <n v="1"/>
    <x v="3"/>
  </r>
  <r>
    <s v="L1697"/>
    <x v="3"/>
    <s v="Cold"/>
    <d v="2025-10-02T00:00:00"/>
    <m/>
    <m/>
    <m/>
    <s v="Yes"/>
    <s v="Price"/>
    <m/>
    <m/>
    <m/>
    <m/>
    <m/>
    <n v="1"/>
    <n v="0"/>
    <n v="0"/>
    <n v="0"/>
    <x v="2"/>
  </r>
  <r>
    <s v="L1698"/>
    <x v="1"/>
    <s v="Cold"/>
    <d v="2025-10-10T00:00:00"/>
    <m/>
    <m/>
    <m/>
    <s v="Yes"/>
    <s v="Price"/>
    <m/>
    <m/>
    <m/>
    <m/>
    <m/>
    <n v="1"/>
    <n v="0"/>
    <n v="0"/>
    <n v="0"/>
    <x v="2"/>
  </r>
  <r>
    <s v="L1699"/>
    <x v="0"/>
    <s v="Hot"/>
    <d v="2025-10-26T00:00:00"/>
    <d v="2025-10-31T00:00:00"/>
    <d v="2025-11-01T00:00:00"/>
    <d v="2025-11-07T00:00:00"/>
    <s v="No"/>
    <m/>
    <d v="2025-11-27T00:00:00"/>
    <n v="5"/>
    <n v="1"/>
    <n v="6"/>
    <n v="7"/>
    <n v="1"/>
    <n v="1"/>
    <n v="1"/>
    <n v="1"/>
    <x v="1"/>
  </r>
  <r>
    <s v="L1700"/>
    <x v="0"/>
    <s v="Cold"/>
    <d v="2025-10-15T00:00:00"/>
    <m/>
    <m/>
    <m/>
    <s v="Yes"/>
    <s v="Financing Issue"/>
    <m/>
    <m/>
    <m/>
    <m/>
    <m/>
    <n v="1"/>
    <n v="0"/>
    <n v="0"/>
    <n v="0"/>
    <x v="2"/>
  </r>
  <r>
    <s v="L1701"/>
    <x v="0"/>
    <s v="Hot"/>
    <d v="2025-10-02T00:00:00"/>
    <d v="2025-10-06T00:00:00"/>
    <d v="2025-10-09T00:00:00"/>
    <d v="2025-10-14T00:00:00"/>
    <s v="No"/>
    <m/>
    <d v="2025-11-06T00:00:00"/>
    <n v="4"/>
    <n v="3"/>
    <n v="5"/>
    <n v="9"/>
    <n v="1"/>
    <n v="1"/>
    <n v="1"/>
    <n v="1"/>
    <x v="3"/>
  </r>
  <r>
    <s v="L1702"/>
    <x v="0"/>
    <s v="Hot"/>
    <d v="2025-10-19T00:00:00"/>
    <d v="2025-10-24T00:00:00"/>
    <d v="2025-10-26T00:00:00"/>
    <d v="2025-10-29T00:00:00"/>
    <s v="Yes"/>
    <s v="Model Unavailable"/>
    <m/>
    <n v="5"/>
    <n v="2"/>
    <n v="3"/>
    <m/>
    <n v="1"/>
    <n v="1"/>
    <n v="1"/>
    <n v="0"/>
    <x v="2"/>
  </r>
  <r>
    <s v="L1703"/>
    <x v="1"/>
    <s v="Warm"/>
    <d v="2025-10-12T00:00:00"/>
    <d v="2025-10-13T00:00:00"/>
    <d v="2025-10-18T00:00:00"/>
    <d v="2025-10-25T00:00:00"/>
    <s v="No"/>
    <m/>
    <d v="2025-11-22T00:00:00"/>
    <n v="1"/>
    <n v="5"/>
    <n v="7"/>
    <n v="2"/>
    <n v="1"/>
    <n v="1"/>
    <n v="1"/>
    <n v="1"/>
    <x v="0"/>
  </r>
  <r>
    <s v="L1704"/>
    <x v="3"/>
    <s v="Warm"/>
    <d v="2025-10-24T00:00:00"/>
    <d v="2025-10-27T00:00:00"/>
    <d v="2025-10-29T00:00:00"/>
    <d v="2025-11-04T00:00:00"/>
    <s v="No"/>
    <m/>
    <d v="2025-11-28T00:00:00"/>
    <n v="3"/>
    <n v="2"/>
    <n v="6"/>
    <n v="9"/>
    <n v="1"/>
    <n v="1"/>
    <n v="1"/>
    <n v="1"/>
    <x v="3"/>
  </r>
  <r>
    <s v="L1705"/>
    <x v="3"/>
    <s v="Warm"/>
    <d v="2025-10-05T00:00:00"/>
    <d v="2025-10-08T00:00:00"/>
    <d v="2025-10-13T00:00:00"/>
    <d v="2025-10-16T00:00:00"/>
    <s v="No"/>
    <m/>
    <d v="2025-10-30T00:00:00"/>
    <n v="3"/>
    <n v="5"/>
    <n v="3"/>
    <n v="2"/>
    <n v="1"/>
    <n v="1"/>
    <n v="1"/>
    <n v="1"/>
    <x v="0"/>
  </r>
  <r>
    <s v="L1706"/>
    <x v="2"/>
    <s v="Warm"/>
    <d v="2025-10-03T00:00:00"/>
    <d v="2025-10-07T00:00:00"/>
    <d v="2025-10-11T00:00:00"/>
    <d v="2025-10-14T00:00:00"/>
    <s v="No"/>
    <m/>
    <d v="2025-11-03T00:00:00"/>
    <n v="4"/>
    <n v="4"/>
    <n v="3"/>
    <n v="6"/>
    <n v="1"/>
    <n v="1"/>
    <n v="1"/>
    <n v="1"/>
    <x v="0"/>
  </r>
  <r>
    <s v="L1707"/>
    <x v="1"/>
    <s v="Hot"/>
    <d v="2025-10-30T00:00:00"/>
    <d v="2025-11-01T00:00:00"/>
    <d v="2025-11-06T00:00:00"/>
    <d v="2025-11-08T00:00:00"/>
    <s v="Yes"/>
    <s v="Changed Mind"/>
    <m/>
    <n v="2"/>
    <n v="5"/>
    <n v="2"/>
    <m/>
    <n v="1"/>
    <n v="1"/>
    <n v="1"/>
    <n v="0"/>
    <x v="2"/>
  </r>
  <r>
    <s v="L1708"/>
    <x v="0"/>
    <s v="Hot"/>
    <d v="2025-10-10T00:00:00"/>
    <d v="2025-10-15T00:00:00"/>
    <d v="2025-10-18T00:00:00"/>
    <d v="2025-10-23T00:00:00"/>
    <s v="No"/>
    <m/>
    <d v="2025-11-07T00:00:00"/>
    <n v="5"/>
    <n v="3"/>
    <n v="5"/>
    <n v="2"/>
    <n v="1"/>
    <n v="1"/>
    <n v="1"/>
    <n v="1"/>
    <x v="0"/>
  </r>
  <r>
    <s v="L1709"/>
    <x v="1"/>
    <s v="Warm"/>
    <d v="2025-10-11T00:00:00"/>
    <d v="2025-10-14T00:00:00"/>
    <d v="2025-10-18T00:00:00"/>
    <d v="2025-10-20T00:00:00"/>
    <s v="No"/>
    <m/>
    <d v="2025-11-01T00:00:00"/>
    <n v="3"/>
    <n v="4"/>
    <n v="2"/>
    <n v="6"/>
    <n v="1"/>
    <n v="1"/>
    <n v="1"/>
    <n v="1"/>
    <x v="0"/>
  </r>
  <r>
    <s v="L1710"/>
    <x v="2"/>
    <s v="Warm"/>
    <d v="2025-10-24T00:00:00"/>
    <d v="2025-10-28T00:00:00"/>
    <d v="2025-10-30T00:00:00"/>
    <d v="2025-11-02T00:00:00"/>
    <s v="No"/>
    <m/>
    <d v="2025-11-27T00:00:00"/>
    <n v="4"/>
    <n v="2"/>
    <n v="3"/>
    <n v="8"/>
    <n v="1"/>
    <n v="1"/>
    <n v="1"/>
    <n v="1"/>
    <x v="1"/>
  </r>
  <r>
    <s v="L1711"/>
    <x v="2"/>
    <s v="Warm"/>
    <d v="2025-10-14T00:00:00"/>
    <d v="2025-10-16T00:00:00"/>
    <d v="2025-10-17T00:00:00"/>
    <d v="2025-10-23T00:00:00"/>
    <s v="No"/>
    <m/>
    <d v="2025-11-12T00:00:00"/>
    <n v="2"/>
    <n v="1"/>
    <n v="6"/>
    <n v="2"/>
    <n v="1"/>
    <n v="1"/>
    <n v="1"/>
    <n v="1"/>
    <x v="0"/>
  </r>
  <r>
    <s v="L1712"/>
    <x v="1"/>
    <s v="Hot"/>
    <d v="2025-10-06T00:00:00"/>
    <d v="2025-10-07T00:00:00"/>
    <d v="2025-10-12T00:00:00"/>
    <d v="2025-10-16T00:00:00"/>
    <s v="No"/>
    <m/>
    <d v="2025-11-15T00:00:00"/>
    <n v="1"/>
    <n v="5"/>
    <n v="4"/>
    <n v="5"/>
    <n v="1"/>
    <n v="1"/>
    <n v="1"/>
    <n v="1"/>
    <x v="0"/>
  </r>
  <r>
    <s v="L1713"/>
    <x v="1"/>
    <s v="Warm"/>
    <d v="2025-10-07T00:00:00"/>
    <d v="2025-10-09T00:00:00"/>
    <d v="2025-10-12T00:00:00"/>
    <d v="2025-10-19T00:00:00"/>
    <s v="No"/>
    <m/>
    <d v="2025-11-03T00:00:00"/>
    <n v="2"/>
    <n v="3"/>
    <n v="7"/>
    <n v="8"/>
    <n v="1"/>
    <n v="1"/>
    <n v="1"/>
    <n v="1"/>
    <x v="1"/>
  </r>
  <r>
    <s v="L1714"/>
    <x v="1"/>
    <s v="Hot"/>
    <d v="2025-10-05T00:00:00"/>
    <d v="2025-10-06T00:00:00"/>
    <d v="2025-10-07T00:00:00"/>
    <d v="2025-10-14T00:00:00"/>
    <s v="No"/>
    <m/>
    <d v="2025-11-03T00:00:00"/>
    <n v="1"/>
    <n v="1"/>
    <n v="7"/>
    <n v="7"/>
    <n v="1"/>
    <n v="1"/>
    <n v="1"/>
    <n v="1"/>
    <x v="1"/>
  </r>
  <r>
    <s v="L1715"/>
    <x v="3"/>
    <s v="Hot"/>
    <d v="2025-10-26T00:00:00"/>
    <d v="2025-10-30T00:00:00"/>
    <d v="2025-10-31T00:00:00"/>
    <d v="2025-11-02T00:00:00"/>
    <s v="No"/>
    <m/>
    <d v="2025-12-02T00:00:00"/>
    <n v="4"/>
    <n v="1"/>
    <n v="2"/>
    <n v="7"/>
    <n v="1"/>
    <n v="1"/>
    <n v="1"/>
    <n v="1"/>
    <x v="1"/>
  </r>
  <r>
    <s v="L1716"/>
    <x v="0"/>
    <s v="Warm"/>
    <d v="2025-10-18T00:00:00"/>
    <d v="2025-10-20T00:00:00"/>
    <d v="2025-10-24T00:00:00"/>
    <d v="2025-10-28T00:00:00"/>
    <s v="No"/>
    <m/>
    <d v="2025-11-08T00:00:00"/>
    <n v="2"/>
    <n v="4"/>
    <n v="4"/>
    <n v="9"/>
    <n v="1"/>
    <n v="1"/>
    <n v="1"/>
    <n v="1"/>
    <x v="3"/>
  </r>
  <r>
    <s v="L1717"/>
    <x v="1"/>
    <s v="Hot"/>
    <d v="2025-10-29T00:00:00"/>
    <d v="2025-11-02T00:00:00"/>
    <d v="2025-11-04T00:00:00"/>
    <d v="2025-11-06T00:00:00"/>
    <s v="No"/>
    <m/>
    <d v="2025-11-16T00:00:00"/>
    <n v="4"/>
    <n v="2"/>
    <n v="2"/>
    <n v="7"/>
    <n v="1"/>
    <n v="1"/>
    <n v="1"/>
    <n v="1"/>
    <x v="1"/>
  </r>
  <r>
    <s v="L1718"/>
    <x v="1"/>
    <s v="Hot"/>
    <d v="2025-10-12T00:00:00"/>
    <d v="2025-10-13T00:00:00"/>
    <d v="2025-10-14T00:00:00"/>
    <d v="2025-10-21T00:00:00"/>
    <s v="No"/>
    <m/>
    <d v="2025-11-14T00:00:00"/>
    <n v="1"/>
    <n v="1"/>
    <n v="7"/>
    <n v="2"/>
    <n v="1"/>
    <n v="1"/>
    <n v="1"/>
    <n v="1"/>
    <x v="0"/>
  </r>
  <r>
    <s v="L1719"/>
    <x v="1"/>
    <s v="Warm"/>
    <d v="2025-10-17T00:00:00"/>
    <d v="2025-10-20T00:00:00"/>
    <d v="2025-10-23T00:00:00"/>
    <d v="2025-10-28T00:00:00"/>
    <s v="No"/>
    <m/>
    <d v="2025-11-15T00:00:00"/>
    <n v="3"/>
    <n v="3"/>
    <n v="5"/>
    <n v="7"/>
    <n v="1"/>
    <n v="1"/>
    <n v="1"/>
    <n v="1"/>
    <x v="1"/>
  </r>
  <r>
    <s v="L1720"/>
    <x v="2"/>
    <s v="Warm"/>
    <d v="2025-10-17T00:00:00"/>
    <d v="2025-10-20T00:00:00"/>
    <d v="2025-10-25T00:00:00"/>
    <d v="2025-11-01T00:00:00"/>
    <s v="No"/>
    <m/>
    <d v="2025-11-17T00:00:00"/>
    <n v="3"/>
    <n v="5"/>
    <n v="7"/>
    <n v="4"/>
    <n v="1"/>
    <n v="1"/>
    <n v="1"/>
    <n v="1"/>
    <x v="0"/>
  </r>
  <r>
    <s v="L1721"/>
    <x v="2"/>
    <s v="Warm"/>
    <d v="2025-10-30T00:00:00"/>
    <d v="2025-10-31T00:00:00"/>
    <d v="2025-11-05T00:00:00"/>
    <d v="2025-11-12T00:00:00"/>
    <s v="No"/>
    <m/>
    <d v="2025-11-27T00:00:00"/>
    <n v="1"/>
    <n v="5"/>
    <n v="7"/>
    <n v="6"/>
    <n v="1"/>
    <n v="1"/>
    <n v="1"/>
    <n v="1"/>
    <x v="0"/>
  </r>
  <r>
    <s v="L1722"/>
    <x v="3"/>
    <s v="Hot"/>
    <d v="2025-10-09T00:00:00"/>
    <d v="2025-10-14T00:00:00"/>
    <d v="2025-10-19T00:00:00"/>
    <d v="2025-10-23T00:00:00"/>
    <s v="No"/>
    <m/>
    <d v="2025-11-20T00:00:00"/>
    <n v="5"/>
    <n v="5"/>
    <n v="4"/>
    <n v="3"/>
    <n v="1"/>
    <n v="1"/>
    <n v="1"/>
    <n v="1"/>
    <x v="0"/>
  </r>
  <r>
    <s v="L1723"/>
    <x v="0"/>
    <s v="Hot"/>
    <d v="2025-10-27T00:00:00"/>
    <d v="2025-11-01T00:00:00"/>
    <d v="2025-11-05T00:00:00"/>
    <d v="2025-11-07T00:00:00"/>
    <s v="No"/>
    <m/>
    <d v="2025-11-22T00:00:00"/>
    <n v="5"/>
    <n v="4"/>
    <n v="2"/>
    <n v="4"/>
    <n v="1"/>
    <n v="1"/>
    <n v="1"/>
    <n v="1"/>
    <x v="0"/>
  </r>
  <r>
    <s v="L1724"/>
    <x v="3"/>
    <s v="Hot"/>
    <d v="2025-10-06T00:00:00"/>
    <d v="2025-10-09T00:00:00"/>
    <d v="2025-10-12T00:00:00"/>
    <d v="2025-10-15T00:00:00"/>
    <s v="No"/>
    <m/>
    <d v="2025-11-09T00:00:00"/>
    <n v="3"/>
    <n v="3"/>
    <n v="3"/>
    <n v="10"/>
    <n v="1"/>
    <n v="1"/>
    <n v="1"/>
    <n v="1"/>
    <x v="3"/>
  </r>
  <r>
    <s v="L1725"/>
    <x v="0"/>
    <s v="Hot"/>
    <d v="2025-10-09T00:00:00"/>
    <d v="2025-10-12T00:00:00"/>
    <d v="2025-10-13T00:00:00"/>
    <d v="2025-10-19T00:00:00"/>
    <s v="No"/>
    <m/>
    <d v="2025-10-31T00:00:00"/>
    <n v="3"/>
    <n v="1"/>
    <n v="6"/>
    <n v="8"/>
    <n v="1"/>
    <n v="1"/>
    <n v="1"/>
    <n v="1"/>
    <x v="1"/>
  </r>
  <r>
    <s v="L1726"/>
    <x v="2"/>
    <s v="Warm"/>
    <d v="2025-10-30T00:00:00"/>
    <d v="2025-11-01T00:00:00"/>
    <d v="2025-11-04T00:00:00"/>
    <d v="2025-11-07T00:00:00"/>
    <s v="No"/>
    <m/>
    <d v="2025-11-21T00:00:00"/>
    <n v="2"/>
    <n v="3"/>
    <n v="3"/>
    <n v="10"/>
    <n v="1"/>
    <n v="1"/>
    <n v="1"/>
    <n v="1"/>
    <x v="3"/>
  </r>
  <r>
    <s v="L1727"/>
    <x v="2"/>
    <s v="Cold"/>
    <d v="2025-10-27T00:00:00"/>
    <m/>
    <m/>
    <m/>
    <s v="Yes"/>
    <s v="Changed Mind"/>
    <m/>
    <m/>
    <m/>
    <m/>
    <m/>
    <n v="1"/>
    <n v="0"/>
    <n v="0"/>
    <n v="0"/>
    <x v="2"/>
  </r>
  <r>
    <s v="L1728"/>
    <x v="2"/>
    <s v="Warm"/>
    <d v="2025-10-31T00:00:00"/>
    <d v="2025-11-02T00:00:00"/>
    <d v="2025-11-06T00:00:00"/>
    <d v="2025-11-11T00:00:00"/>
    <s v="No"/>
    <m/>
    <d v="2025-12-10T00:00:00"/>
    <n v="2"/>
    <n v="4"/>
    <n v="5"/>
    <n v="3"/>
    <n v="1"/>
    <n v="1"/>
    <n v="1"/>
    <n v="1"/>
    <x v="0"/>
  </r>
  <r>
    <s v="L1729"/>
    <x v="3"/>
    <s v="Warm"/>
    <d v="2025-10-16T00:00:00"/>
    <d v="2025-10-19T00:00:00"/>
    <d v="2025-10-23T00:00:00"/>
    <d v="2025-10-28T00:00:00"/>
    <s v="No"/>
    <m/>
    <d v="2025-11-20T00:00:00"/>
    <n v="3"/>
    <n v="4"/>
    <n v="5"/>
    <n v="9"/>
    <n v="1"/>
    <n v="1"/>
    <n v="1"/>
    <n v="1"/>
    <x v="3"/>
  </r>
  <r>
    <s v="L1730"/>
    <x v="1"/>
    <s v="Warm"/>
    <d v="2025-10-31T00:00:00"/>
    <d v="2025-11-05T00:00:00"/>
    <d v="2025-11-07T00:00:00"/>
    <d v="2025-11-09T00:00:00"/>
    <s v="No"/>
    <m/>
    <d v="2025-12-09T00:00:00"/>
    <n v="5"/>
    <n v="2"/>
    <n v="2"/>
    <n v="1"/>
    <n v="1"/>
    <n v="1"/>
    <n v="1"/>
    <n v="1"/>
    <x v="0"/>
  </r>
  <r>
    <s v="L1731"/>
    <x v="1"/>
    <s v="Warm"/>
    <d v="2025-10-26T00:00:00"/>
    <d v="2025-10-28T00:00:00"/>
    <d v="2025-10-31T00:00:00"/>
    <d v="2025-11-03T00:00:00"/>
    <s v="No"/>
    <m/>
    <d v="2025-11-26T00:00:00"/>
    <n v="2"/>
    <n v="3"/>
    <n v="3"/>
    <n v="8"/>
    <n v="1"/>
    <n v="1"/>
    <n v="1"/>
    <n v="1"/>
    <x v="1"/>
  </r>
  <r>
    <s v="L1732"/>
    <x v="2"/>
    <s v="Warm"/>
    <d v="2025-10-10T00:00:00"/>
    <d v="2025-10-11T00:00:00"/>
    <d v="2025-10-16T00:00:00"/>
    <d v="2025-10-23T00:00:00"/>
    <s v="No"/>
    <m/>
    <d v="2025-11-14T00:00:00"/>
    <n v="1"/>
    <n v="5"/>
    <n v="7"/>
    <n v="6"/>
    <n v="1"/>
    <n v="1"/>
    <n v="1"/>
    <n v="1"/>
    <x v="0"/>
  </r>
  <r>
    <s v="L1733"/>
    <x v="1"/>
    <s v="Warm"/>
    <d v="2025-10-24T00:00:00"/>
    <d v="2025-10-26T00:00:00"/>
    <d v="2025-10-30T00:00:00"/>
    <d v="2025-11-03T00:00:00"/>
    <s v="No"/>
    <m/>
    <d v="2025-11-26T00:00:00"/>
    <n v="2"/>
    <n v="4"/>
    <n v="4"/>
    <n v="4"/>
    <n v="1"/>
    <n v="1"/>
    <n v="1"/>
    <n v="1"/>
    <x v="0"/>
  </r>
  <r>
    <s v="L1734"/>
    <x v="1"/>
    <s v="Warm"/>
    <d v="2025-10-28T00:00:00"/>
    <d v="2025-10-30T00:00:00"/>
    <d v="2025-11-03T00:00:00"/>
    <d v="2025-11-05T00:00:00"/>
    <s v="No"/>
    <m/>
    <d v="2025-11-30T00:00:00"/>
    <n v="2"/>
    <n v="4"/>
    <n v="2"/>
    <n v="4"/>
    <n v="1"/>
    <n v="1"/>
    <n v="1"/>
    <n v="1"/>
    <x v="0"/>
  </r>
  <r>
    <s v="L1735"/>
    <x v="3"/>
    <s v="Hot"/>
    <d v="2025-10-11T00:00:00"/>
    <d v="2025-10-13T00:00:00"/>
    <d v="2025-10-15T00:00:00"/>
    <d v="2025-10-17T00:00:00"/>
    <s v="No"/>
    <m/>
    <d v="2025-11-08T00:00:00"/>
    <n v="2"/>
    <n v="2"/>
    <n v="2"/>
    <n v="9"/>
    <n v="1"/>
    <n v="1"/>
    <n v="1"/>
    <n v="1"/>
    <x v="3"/>
  </r>
  <r>
    <s v="L1736"/>
    <x v="0"/>
    <s v="Warm"/>
    <d v="2025-10-26T00:00:00"/>
    <d v="2025-10-30T00:00:00"/>
    <d v="2025-11-04T00:00:00"/>
    <d v="2025-11-07T00:00:00"/>
    <s v="No"/>
    <m/>
    <d v="2025-11-17T00:00:00"/>
    <n v="4"/>
    <n v="5"/>
    <n v="3"/>
    <n v="0"/>
    <n v="1"/>
    <n v="1"/>
    <n v="1"/>
    <n v="1"/>
    <x v="0"/>
  </r>
  <r>
    <s v="L1737"/>
    <x v="2"/>
    <s v="Cold"/>
    <d v="2025-10-04T00:00:00"/>
    <m/>
    <m/>
    <m/>
    <s v="Yes"/>
    <s v="Model Unavailable"/>
    <m/>
    <m/>
    <m/>
    <m/>
    <m/>
    <n v="1"/>
    <n v="0"/>
    <n v="0"/>
    <n v="0"/>
    <x v="2"/>
  </r>
  <r>
    <s v="L1738"/>
    <x v="2"/>
    <s v="Hot"/>
    <d v="2025-10-15T00:00:00"/>
    <d v="2025-10-16T00:00:00"/>
    <d v="2025-10-20T00:00:00"/>
    <d v="2025-10-26T00:00:00"/>
    <s v="No"/>
    <m/>
    <d v="2025-11-06T00:00:00"/>
    <n v="1"/>
    <n v="4"/>
    <n v="6"/>
    <n v="7"/>
    <n v="1"/>
    <n v="1"/>
    <n v="1"/>
    <n v="1"/>
    <x v="1"/>
  </r>
  <r>
    <s v="L1739"/>
    <x v="3"/>
    <s v="Hot"/>
    <d v="2025-10-31T00:00:00"/>
    <d v="2025-11-03T00:00:00"/>
    <d v="2025-11-04T00:00:00"/>
    <d v="2025-11-09T00:00:00"/>
    <s v="No"/>
    <m/>
    <d v="2025-12-06T00:00:00"/>
    <n v="3"/>
    <n v="1"/>
    <n v="5"/>
    <n v="7"/>
    <n v="1"/>
    <n v="1"/>
    <n v="1"/>
    <n v="1"/>
    <x v="1"/>
  </r>
  <r>
    <s v="L1740"/>
    <x v="3"/>
    <s v="Warm"/>
    <d v="2025-10-03T00:00:00"/>
    <d v="2025-10-08T00:00:00"/>
    <d v="2025-10-13T00:00:00"/>
    <d v="2025-10-20T00:00:00"/>
    <s v="No"/>
    <m/>
    <d v="2025-11-05T00:00:00"/>
    <n v="5"/>
    <n v="5"/>
    <n v="7"/>
    <n v="1"/>
    <n v="1"/>
    <n v="1"/>
    <n v="1"/>
    <n v="1"/>
    <x v="0"/>
  </r>
  <r>
    <s v="L1741"/>
    <x v="1"/>
    <s v="Warm"/>
    <d v="2025-10-05T00:00:00"/>
    <d v="2025-10-10T00:00:00"/>
    <d v="2025-10-13T00:00:00"/>
    <d v="2025-10-17T00:00:00"/>
    <s v="No"/>
    <m/>
    <d v="2025-11-07T00:00:00"/>
    <n v="5"/>
    <n v="3"/>
    <n v="4"/>
    <n v="2"/>
    <n v="1"/>
    <n v="1"/>
    <n v="1"/>
    <n v="1"/>
    <x v="0"/>
  </r>
  <r>
    <s v="L1742"/>
    <x v="2"/>
    <s v="Warm"/>
    <d v="2025-10-25T00:00:00"/>
    <d v="2025-10-28T00:00:00"/>
    <d v="2025-10-30T00:00:00"/>
    <d v="2025-11-04T00:00:00"/>
    <s v="No"/>
    <m/>
    <d v="2025-11-14T00:00:00"/>
    <n v="3"/>
    <n v="2"/>
    <n v="5"/>
    <n v="2"/>
    <n v="1"/>
    <n v="1"/>
    <n v="1"/>
    <n v="1"/>
    <x v="0"/>
  </r>
  <r>
    <s v="L1743"/>
    <x v="0"/>
    <s v="Warm"/>
    <d v="2025-10-31T00:00:00"/>
    <d v="2025-11-04T00:00:00"/>
    <d v="2025-11-05T00:00:00"/>
    <d v="2025-11-12T00:00:00"/>
    <s v="No"/>
    <m/>
    <d v="2025-12-02T00:00:00"/>
    <n v="4"/>
    <n v="1"/>
    <n v="7"/>
    <n v="1"/>
    <n v="1"/>
    <n v="1"/>
    <n v="1"/>
    <n v="1"/>
    <x v="0"/>
  </r>
  <r>
    <s v="L1744"/>
    <x v="3"/>
    <s v="Hot"/>
    <d v="2025-10-08T00:00:00"/>
    <d v="2025-10-13T00:00:00"/>
    <d v="2025-10-14T00:00:00"/>
    <d v="2025-10-16T00:00:00"/>
    <s v="No"/>
    <m/>
    <d v="2025-11-11T00:00:00"/>
    <n v="5"/>
    <n v="1"/>
    <n v="2"/>
    <n v="5"/>
    <n v="1"/>
    <n v="1"/>
    <n v="1"/>
    <n v="1"/>
    <x v="0"/>
  </r>
  <r>
    <s v="L1745"/>
    <x v="0"/>
    <s v="Warm"/>
    <d v="2025-10-28T00:00:00"/>
    <d v="2025-10-30T00:00:00"/>
    <d v="2025-11-02T00:00:00"/>
    <d v="2025-11-08T00:00:00"/>
    <s v="No"/>
    <m/>
    <d v="2025-11-24T00:00:00"/>
    <n v="2"/>
    <n v="3"/>
    <n v="6"/>
    <n v="9"/>
    <n v="1"/>
    <n v="1"/>
    <n v="1"/>
    <n v="1"/>
    <x v="3"/>
  </r>
  <r>
    <s v="L1746"/>
    <x v="0"/>
    <s v="Warm"/>
    <d v="2025-10-22T00:00:00"/>
    <d v="2025-10-27T00:00:00"/>
    <d v="2025-10-29T00:00:00"/>
    <d v="2025-10-31T00:00:00"/>
    <s v="Yes"/>
    <s v="Price"/>
    <m/>
    <n v="5"/>
    <n v="2"/>
    <n v="2"/>
    <m/>
    <n v="1"/>
    <n v="1"/>
    <n v="1"/>
    <n v="0"/>
    <x v="2"/>
  </r>
  <r>
    <s v="L1747"/>
    <x v="2"/>
    <s v="Cold"/>
    <d v="2025-10-24T00:00:00"/>
    <m/>
    <m/>
    <m/>
    <s v="Yes"/>
    <s v="Financing Issue"/>
    <m/>
    <m/>
    <m/>
    <m/>
    <m/>
    <n v="1"/>
    <n v="0"/>
    <n v="0"/>
    <n v="0"/>
    <x v="2"/>
  </r>
  <r>
    <s v="L1748"/>
    <x v="2"/>
    <s v="Warm"/>
    <d v="2025-10-22T00:00:00"/>
    <d v="2025-10-23T00:00:00"/>
    <d v="2025-10-27T00:00:00"/>
    <d v="2025-11-02T00:00:00"/>
    <s v="No"/>
    <m/>
    <d v="2025-11-12T00:00:00"/>
    <n v="1"/>
    <n v="4"/>
    <n v="6"/>
    <n v="7"/>
    <n v="1"/>
    <n v="1"/>
    <n v="1"/>
    <n v="1"/>
    <x v="1"/>
  </r>
  <r>
    <s v="L1749"/>
    <x v="3"/>
    <s v="Hot"/>
    <d v="2025-10-13T00:00:00"/>
    <d v="2025-10-14T00:00:00"/>
    <d v="2025-10-16T00:00:00"/>
    <d v="2025-10-19T00:00:00"/>
    <s v="No"/>
    <m/>
    <d v="2025-10-29T00:00:00"/>
    <n v="1"/>
    <n v="2"/>
    <n v="3"/>
    <n v="0"/>
    <n v="1"/>
    <n v="1"/>
    <n v="1"/>
    <n v="1"/>
    <x v="0"/>
  </r>
  <r>
    <s v="L1750"/>
    <x v="2"/>
    <s v="Hot"/>
    <d v="2025-10-31T00:00:00"/>
    <d v="2025-11-03T00:00:00"/>
    <d v="2025-11-07T00:00:00"/>
    <d v="2025-11-14T00:00:00"/>
    <s v="No"/>
    <m/>
    <d v="2025-12-14T00:00:00"/>
    <n v="3"/>
    <n v="4"/>
    <n v="7"/>
    <n v="7"/>
    <n v="1"/>
    <n v="1"/>
    <n v="1"/>
    <n v="1"/>
    <x v="1"/>
  </r>
  <r>
    <s v="L1751"/>
    <x v="2"/>
    <s v="Hot"/>
    <d v="2025-10-28T00:00:00"/>
    <d v="2025-11-01T00:00:00"/>
    <d v="2025-11-04T00:00:00"/>
    <d v="2025-11-09T00:00:00"/>
    <s v="No"/>
    <m/>
    <d v="2025-11-26T00:00:00"/>
    <n v="4"/>
    <n v="3"/>
    <n v="5"/>
    <n v="4"/>
    <n v="1"/>
    <n v="1"/>
    <n v="1"/>
    <n v="1"/>
    <x v="0"/>
  </r>
  <r>
    <s v="L1752"/>
    <x v="2"/>
    <s v="Warm"/>
    <d v="2025-10-26T00:00:00"/>
    <d v="2025-10-30T00:00:00"/>
    <d v="2025-11-02T00:00:00"/>
    <d v="2025-11-04T00:00:00"/>
    <s v="No"/>
    <m/>
    <d v="2025-11-21T00:00:00"/>
    <n v="4"/>
    <n v="3"/>
    <n v="2"/>
    <n v="4"/>
    <n v="1"/>
    <n v="1"/>
    <n v="1"/>
    <n v="1"/>
    <x v="0"/>
  </r>
  <r>
    <s v="L1753"/>
    <x v="0"/>
    <s v="Hot"/>
    <d v="2025-10-18T00:00:00"/>
    <d v="2025-10-23T00:00:00"/>
    <d v="2025-10-24T00:00:00"/>
    <d v="2025-10-30T00:00:00"/>
    <s v="No"/>
    <m/>
    <d v="2025-11-20T00:00:00"/>
    <n v="5"/>
    <n v="1"/>
    <n v="6"/>
    <n v="9"/>
    <n v="1"/>
    <n v="1"/>
    <n v="1"/>
    <n v="1"/>
    <x v="3"/>
  </r>
  <r>
    <s v="L1754"/>
    <x v="3"/>
    <s v="Warm"/>
    <d v="2025-10-12T00:00:00"/>
    <d v="2025-10-16T00:00:00"/>
    <d v="2025-10-17T00:00:00"/>
    <d v="2025-10-23T00:00:00"/>
    <s v="No"/>
    <m/>
    <d v="2025-11-11T00:00:00"/>
    <n v="4"/>
    <n v="1"/>
    <n v="6"/>
    <n v="6"/>
    <n v="1"/>
    <n v="1"/>
    <n v="1"/>
    <n v="1"/>
    <x v="0"/>
  </r>
  <r>
    <s v="L1755"/>
    <x v="1"/>
    <s v="Warm"/>
    <d v="2025-10-03T00:00:00"/>
    <d v="2025-10-07T00:00:00"/>
    <d v="2025-10-08T00:00:00"/>
    <d v="2025-10-10T00:00:00"/>
    <s v="No"/>
    <m/>
    <d v="2025-10-24T00:00:00"/>
    <n v="4"/>
    <n v="1"/>
    <n v="2"/>
    <n v="5"/>
    <n v="1"/>
    <n v="1"/>
    <n v="1"/>
    <n v="1"/>
    <x v="0"/>
  </r>
  <r>
    <s v="L1756"/>
    <x v="0"/>
    <s v="Hot"/>
    <d v="2025-10-26T00:00:00"/>
    <d v="2025-10-31T00:00:00"/>
    <d v="2025-11-03T00:00:00"/>
    <d v="2025-11-08T00:00:00"/>
    <s v="No"/>
    <m/>
    <d v="2025-11-21T00:00:00"/>
    <n v="5"/>
    <n v="3"/>
    <n v="5"/>
    <n v="7"/>
    <n v="1"/>
    <n v="1"/>
    <n v="1"/>
    <n v="1"/>
    <x v="1"/>
  </r>
  <r>
    <s v="L1757"/>
    <x v="2"/>
    <s v="Hot"/>
    <d v="2025-10-13T00:00:00"/>
    <d v="2025-10-14T00:00:00"/>
    <d v="2025-10-18T00:00:00"/>
    <d v="2025-10-25T00:00:00"/>
    <s v="No"/>
    <m/>
    <d v="2025-11-16T00:00:00"/>
    <n v="1"/>
    <n v="4"/>
    <n v="7"/>
    <n v="6"/>
    <n v="1"/>
    <n v="1"/>
    <n v="1"/>
    <n v="1"/>
    <x v="0"/>
  </r>
  <r>
    <s v="L1758"/>
    <x v="0"/>
    <s v="Hot"/>
    <d v="2025-10-01T00:00:00"/>
    <d v="2025-10-03T00:00:00"/>
    <d v="2025-10-06T00:00:00"/>
    <d v="2025-10-09T00:00:00"/>
    <s v="No"/>
    <m/>
    <d v="2025-11-04T00:00:00"/>
    <n v="2"/>
    <n v="3"/>
    <n v="3"/>
    <n v="6"/>
    <n v="1"/>
    <n v="1"/>
    <n v="1"/>
    <n v="1"/>
    <x v="0"/>
  </r>
  <r>
    <s v="L1759"/>
    <x v="2"/>
    <s v="Cold"/>
    <d v="2025-10-09T00:00:00"/>
    <m/>
    <m/>
    <m/>
    <s v="Yes"/>
    <s v="Financing Issue"/>
    <m/>
    <m/>
    <m/>
    <m/>
    <m/>
    <n v="1"/>
    <n v="0"/>
    <n v="0"/>
    <n v="0"/>
    <x v="2"/>
  </r>
  <r>
    <s v="L1760"/>
    <x v="2"/>
    <s v="Hot"/>
    <d v="2025-10-18T00:00:00"/>
    <d v="2025-10-21T00:00:00"/>
    <d v="2025-10-24T00:00:00"/>
    <d v="2025-10-27T00:00:00"/>
    <s v="No"/>
    <m/>
    <d v="2025-11-24T00:00:00"/>
    <n v="3"/>
    <n v="3"/>
    <n v="3"/>
    <n v="2"/>
    <n v="1"/>
    <n v="1"/>
    <n v="1"/>
    <n v="1"/>
    <x v="0"/>
  </r>
  <r>
    <s v="L1761"/>
    <x v="0"/>
    <s v="Warm"/>
    <d v="2025-10-04T00:00:00"/>
    <d v="2025-10-05T00:00:00"/>
    <d v="2025-10-06T00:00:00"/>
    <d v="2025-10-10T00:00:00"/>
    <s v="No"/>
    <m/>
    <d v="2025-10-29T00:00:00"/>
    <n v="1"/>
    <n v="1"/>
    <n v="4"/>
    <n v="8"/>
    <n v="1"/>
    <n v="1"/>
    <n v="1"/>
    <n v="1"/>
    <x v="1"/>
  </r>
  <r>
    <s v="L1762"/>
    <x v="3"/>
    <s v="Cold"/>
    <d v="2025-10-15T00:00:00"/>
    <m/>
    <m/>
    <m/>
    <s v="Yes"/>
    <s v="Changed Mind"/>
    <m/>
    <m/>
    <m/>
    <m/>
    <m/>
    <n v="1"/>
    <n v="0"/>
    <n v="0"/>
    <n v="0"/>
    <x v="2"/>
  </r>
  <r>
    <s v="L1763"/>
    <x v="2"/>
    <s v="Warm"/>
    <d v="2025-10-12T00:00:00"/>
    <d v="2025-10-16T00:00:00"/>
    <d v="2025-10-18T00:00:00"/>
    <d v="2025-10-22T00:00:00"/>
    <s v="Yes"/>
    <s v="Financing Issue"/>
    <m/>
    <n v="4"/>
    <n v="2"/>
    <n v="4"/>
    <m/>
    <n v="1"/>
    <n v="1"/>
    <n v="1"/>
    <n v="0"/>
    <x v="2"/>
  </r>
  <r>
    <s v="L1764"/>
    <x v="3"/>
    <s v="Cold"/>
    <d v="2025-10-22T00:00:00"/>
    <m/>
    <m/>
    <m/>
    <s v="Yes"/>
    <s v="Model Unavailable"/>
    <m/>
    <m/>
    <m/>
    <m/>
    <m/>
    <n v="1"/>
    <n v="0"/>
    <n v="0"/>
    <n v="0"/>
    <x v="2"/>
  </r>
  <r>
    <s v="L1765"/>
    <x v="1"/>
    <s v="Warm"/>
    <d v="2025-10-24T00:00:00"/>
    <d v="2025-10-28T00:00:00"/>
    <d v="2025-10-29T00:00:00"/>
    <d v="2025-11-02T00:00:00"/>
    <s v="No"/>
    <m/>
    <d v="2025-11-17T00:00:00"/>
    <n v="4"/>
    <n v="1"/>
    <n v="4"/>
    <n v="1"/>
    <n v="1"/>
    <n v="1"/>
    <n v="1"/>
    <n v="1"/>
    <x v="0"/>
  </r>
  <r>
    <s v="L1766"/>
    <x v="2"/>
    <s v="Cold"/>
    <d v="2025-10-22T00:00:00"/>
    <m/>
    <m/>
    <m/>
    <s v="Yes"/>
    <s v="Price"/>
    <m/>
    <m/>
    <m/>
    <m/>
    <m/>
    <n v="1"/>
    <n v="0"/>
    <n v="0"/>
    <n v="0"/>
    <x v="2"/>
  </r>
  <r>
    <s v="L1767"/>
    <x v="3"/>
    <s v="Hot"/>
    <d v="2025-10-09T00:00:00"/>
    <d v="2025-10-14T00:00:00"/>
    <d v="2025-10-16T00:00:00"/>
    <d v="2025-10-21T00:00:00"/>
    <s v="No"/>
    <m/>
    <d v="2025-11-02T00:00:00"/>
    <n v="5"/>
    <n v="2"/>
    <n v="5"/>
    <n v="0"/>
    <n v="1"/>
    <n v="1"/>
    <n v="1"/>
    <n v="1"/>
    <x v="0"/>
  </r>
  <r>
    <s v="L1768"/>
    <x v="3"/>
    <s v="Hot"/>
    <d v="2025-10-19T00:00:00"/>
    <d v="2025-10-22T00:00:00"/>
    <d v="2025-10-26T00:00:00"/>
    <d v="2025-11-02T00:00:00"/>
    <s v="No"/>
    <m/>
    <d v="2025-11-13T00:00:00"/>
    <n v="3"/>
    <n v="4"/>
    <n v="7"/>
    <n v="4"/>
    <n v="1"/>
    <n v="1"/>
    <n v="1"/>
    <n v="1"/>
    <x v="0"/>
  </r>
  <r>
    <s v="L1769"/>
    <x v="1"/>
    <s v="Warm"/>
    <d v="2025-10-13T00:00:00"/>
    <d v="2025-10-15T00:00:00"/>
    <d v="2025-10-19T00:00:00"/>
    <d v="2025-10-26T00:00:00"/>
    <s v="No"/>
    <m/>
    <d v="2025-11-14T00:00:00"/>
    <n v="2"/>
    <n v="4"/>
    <n v="7"/>
    <n v="0"/>
    <n v="1"/>
    <n v="1"/>
    <n v="1"/>
    <n v="1"/>
    <x v="0"/>
  </r>
  <r>
    <s v="L1770"/>
    <x v="3"/>
    <s v="Cold"/>
    <d v="2025-10-27T00:00:00"/>
    <m/>
    <m/>
    <m/>
    <s v="Yes"/>
    <s v="Model Unavailable"/>
    <m/>
    <m/>
    <m/>
    <m/>
    <m/>
    <n v="1"/>
    <n v="0"/>
    <n v="0"/>
    <n v="0"/>
    <x v="2"/>
  </r>
  <r>
    <s v="L1771"/>
    <x v="3"/>
    <s v="Cold"/>
    <d v="2025-10-21T00:00:00"/>
    <m/>
    <m/>
    <m/>
    <s v="Yes"/>
    <s v="Other"/>
    <m/>
    <m/>
    <m/>
    <m/>
    <m/>
    <n v="1"/>
    <n v="0"/>
    <n v="0"/>
    <n v="0"/>
    <x v="2"/>
  </r>
  <r>
    <s v="L1772"/>
    <x v="1"/>
    <s v="Hot"/>
    <d v="2025-10-31T00:00:00"/>
    <d v="2025-11-05T00:00:00"/>
    <d v="2025-11-10T00:00:00"/>
    <d v="2025-11-14T00:00:00"/>
    <s v="No"/>
    <m/>
    <d v="2025-12-03T00:00:00"/>
    <n v="5"/>
    <n v="5"/>
    <n v="4"/>
    <n v="4"/>
    <n v="1"/>
    <n v="1"/>
    <n v="1"/>
    <n v="1"/>
    <x v="0"/>
  </r>
  <r>
    <s v="L1773"/>
    <x v="2"/>
    <s v="Hot"/>
    <d v="2025-10-12T00:00:00"/>
    <d v="2025-10-17T00:00:00"/>
    <d v="2025-10-22T00:00:00"/>
    <d v="2025-10-26T00:00:00"/>
    <s v="No"/>
    <m/>
    <d v="2025-11-19T00:00:00"/>
    <n v="5"/>
    <n v="5"/>
    <n v="4"/>
    <n v="1"/>
    <n v="1"/>
    <n v="1"/>
    <n v="1"/>
    <n v="1"/>
    <x v="0"/>
  </r>
  <r>
    <s v="L1774"/>
    <x v="3"/>
    <s v="Cold"/>
    <d v="2025-10-04T00:00:00"/>
    <m/>
    <m/>
    <m/>
    <s v="Yes"/>
    <s v="Changed Mind"/>
    <m/>
    <m/>
    <m/>
    <m/>
    <m/>
    <n v="1"/>
    <n v="0"/>
    <n v="0"/>
    <n v="0"/>
    <x v="2"/>
  </r>
  <r>
    <s v="L1775"/>
    <x v="3"/>
    <s v="Hot"/>
    <d v="2025-10-22T00:00:00"/>
    <d v="2025-10-24T00:00:00"/>
    <d v="2025-10-29T00:00:00"/>
    <d v="2025-11-03T00:00:00"/>
    <s v="No"/>
    <m/>
    <d v="2025-11-29T00:00:00"/>
    <n v="2"/>
    <n v="5"/>
    <n v="5"/>
    <n v="10"/>
    <n v="1"/>
    <n v="1"/>
    <n v="1"/>
    <n v="1"/>
    <x v="3"/>
  </r>
  <r>
    <s v="L1776"/>
    <x v="3"/>
    <s v="Warm"/>
    <d v="2025-10-08T00:00:00"/>
    <d v="2025-10-10T00:00:00"/>
    <d v="2025-10-14T00:00:00"/>
    <d v="2025-10-18T00:00:00"/>
    <s v="No"/>
    <m/>
    <d v="2025-11-16T00:00:00"/>
    <n v="2"/>
    <n v="4"/>
    <n v="4"/>
    <n v="1"/>
    <n v="1"/>
    <n v="1"/>
    <n v="1"/>
    <n v="1"/>
    <x v="0"/>
  </r>
  <r>
    <s v="L1777"/>
    <x v="0"/>
    <s v="Cold"/>
    <d v="2025-10-16T00:00:00"/>
    <m/>
    <m/>
    <m/>
    <s v="Yes"/>
    <s v="Financing Issue"/>
    <m/>
    <m/>
    <m/>
    <m/>
    <m/>
    <n v="1"/>
    <n v="0"/>
    <n v="0"/>
    <n v="0"/>
    <x v="2"/>
  </r>
  <r>
    <s v="L1778"/>
    <x v="1"/>
    <s v="Warm"/>
    <d v="2025-10-01T00:00:00"/>
    <d v="2025-10-05T00:00:00"/>
    <d v="2025-10-06T00:00:00"/>
    <d v="2025-10-09T00:00:00"/>
    <s v="No"/>
    <m/>
    <d v="2025-11-04T00:00:00"/>
    <n v="4"/>
    <n v="1"/>
    <n v="3"/>
    <n v="3"/>
    <n v="1"/>
    <n v="1"/>
    <n v="1"/>
    <n v="1"/>
    <x v="0"/>
  </r>
  <r>
    <s v="L1779"/>
    <x v="0"/>
    <s v="Warm"/>
    <d v="2025-10-20T00:00:00"/>
    <d v="2025-10-25T00:00:00"/>
    <d v="2025-10-26T00:00:00"/>
    <d v="2025-10-28T00:00:00"/>
    <s v="No"/>
    <m/>
    <d v="2025-11-17T00:00:00"/>
    <n v="5"/>
    <n v="1"/>
    <n v="2"/>
    <n v="2"/>
    <n v="1"/>
    <n v="1"/>
    <n v="1"/>
    <n v="1"/>
    <x v="0"/>
  </r>
  <r>
    <s v="L1780"/>
    <x v="1"/>
    <s v="Warm"/>
    <d v="2025-10-29T00:00:00"/>
    <d v="2025-10-30T00:00:00"/>
    <d v="2025-10-31T00:00:00"/>
    <d v="2025-11-03T00:00:00"/>
    <s v="No"/>
    <m/>
    <d v="2025-11-26T00:00:00"/>
    <n v="1"/>
    <n v="1"/>
    <n v="3"/>
    <n v="2"/>
    <n v="1"/>
    <n v="1"/>
    <n v="1"/>
    <n v="1"/>
    <x v="0"/>
  </r>
  <r>
    <s v="L1781"/>
    <x v="2"/>
    <s v="Hot"/>
    <d v="2025-10-31T00:00:00"/>
    <d v="2025-11-01T00:00:00"/>
    <d v="2025-11-04T00:00:00"/>
    <d v="2025-11-07T00:00:00"/>
    <s v="No"/>
    <m/>
    <d v="2025-11-21T00:00:00"/>
    <n v="1"/>
    <n v="3"/>
    <n v="3"/>
    <n v="4"/>
    <n v="1"/>
    <n v="1"/>
    <n v="1"/>
    <n v="1"/>
    <x v="0"/>
  </r>
  <r>
    <s v="L1782"/>
    <x v="2"/>
    <s v="Cold"/>
    <d v="2025-10-18T00:00:00"/>
    <m/>
    <m/>
    <m/>
    <s v="Yes"/>
    <s v="Other"/>
    <m/>
    <m/>
    <m/>
    <m/>
    <m/>
    <n v="1"/>
    <n v="0"/>
    <n v="0"/>
    <n v="0"/>
    <x v="2"/>
  </r>
  <r>
    <s v="L1783"/>
    <x v="3"/>
    <s v="Warm"/>
    <d v="2025-10-11T00:00:00"/>
    <d v="2025-10-16T00:00:00"/>
    <d v="2025-10-21T00:00:00"/>
    <d v="2025-10-27T00:00:00"/>
    <s v="No"/>
    <m/>
    <d v="2025-11-16T00:00:00"/>
    <n v="5"/>
    <n v="5"/>
    <n v="6"/>
    <n v="9"/>
    <n v="1"/>
    <n v="1"/>
    <n v="1"/>
    <n v="1"/>
    <x v="3"/>
  </r>
  <r>
    <s v="L1784"/>
    <x v="1"/>
    <s v="Cold"/>
    <d v="2025-10-30T00:00:00"/>
    <m/>
    <m/>
    <m/>
    <s v="Yes"/>
    <s v="Financing Issue"/>
    <m/>
    <m/>
    <m/>
    <m/>
    <m/>
    <n v="1"/>
    <n v="0"/>
    <n v="0"/>
    <n v="0"/>
    <x v="2"/>
  </r>
  <r>
    <s v="L1785"/>
    <x v="2"/>
    <s v="Hot"/>
    <d v="2025-10-20T00:00:00"/>
    <d v="2025-10-22T00:00:00"/>
    <d v="2025-10-23T00:00:00"/>
    <d v="2025-10-25T00:00:00"/>
    <s v="No"/>
    <m/>
    <d v="2025-11-19T00:00:00"/>
    <n v="2"/>
    <n v="1"/>
    <n v="2"/>
    <n v="7"/>
    <n v="1"/>
    <n v="1"/>
    <n v="1"/>
    <n v="1"/>
    <x v="1"/>
  </r>
  <r>
    <s v="L1786"/>
    <x v="1"/>
    <s v="Cold"/>
    <d v="2025-10-08T00:00:00"/>
    <m/>
    <m/>
    <m/>
    <s v="Yes"/>
    <s v="Price"/>
    <m/>
    <m/>
    <m/>
    <m/>
    <m/>
    <n v="1"/>
    <n v="0"/>
    <n v="0"/>
    <n v="0"/>
    <x v="2"/>
  </r>
  <r>
    <s v="L1787"/>
    <x v="2"/>
    <s v="Warm"/>
    <d v="2025-10-21T00:00:00"/>
    <d v="2025-10-24T00:00:00"/>
    <d v="2025-10-29T00:00:00"/>
    <d v="2025-11-01T00:00:00"/>
    <s v="No"/>
    <m/>
    <d v="2025-11-22T00:00:00"/>
    <n v="3"/>
    <n v="5"/>
    <n v="3"/>
    <n v="3"/>
    <n v="1"/>
    <n v="1"/>
    <n v="1"/>
    <n v="1"/>
    <x v="0"/>
  </r>
  <r>
    <s v="L1788"/>
    <x v="0"/>
    <s v="Hot"/>
    <d v="2025-10-03T00:00:00"/>
    <d v="2025-10-05T00:00:00"/>
    <d v="2025-10-10T00:00:00"/>
    <d v="2025-10-12T00:00:00"/>
    <s v="No"/>
    <m/>
    <d v="2025-10-28T00:00:00"/>
    <n v="2"/>
    <n v="5"/>
    <n v="2"/>
    <n v="3"/>
    <n v="1"/>
    <n v="1"/>
    <n v="1"/>
    <n v="1"/>
    <x v="0"/>
  </r>
  <r>
    <s v="L1789"/>
    <x v="2"/>
    <s v="Hot"/>
    <d v="2025-10-21T00:00:00"/>
    <d v="2025-10-23T00:00:00"/>
    <d v="2025-10-26T00:00:00"/>
    <d v="2025-10-29T00:00:00"/>
    <s v="No"/>
    <m/>
    <d v="2025-11-13T00:00:00"/>
    <n v="2"/>
    <n v="3"/>
    <n v="3"/>
    <n v="3"/>
    <n v="1"/>
    <n v="1"/>
    <n v="1"/>
    <n v="1"/>
    <x v="0"/>
  </r>
  <r>
    <s v="L1790"/>
    <x v="0"/>
    <s v="Warm"/>
    <d v="2025-10-27T00:00:00"/>
    <d v="2025-10-30T00:00:00"/>
    <d v="2025-11-03T00:00:00"/>
    <d v="2025-11-08T00:00:00"/>
    <s v="No"/>
    <m/>
    <d v="2025-11-30T00:00:00"/>
    <n v="3"/>
    <n v="4"/>
    <n v="5"/>
    <n v="5"/>
    <n v="1"/>
    <n v="1"/>
    <n v="1"/>
    <n v="1"/>
    <x v="0"/>
  </r>
  <r>
    <s v="L1791"/>
    <x v="2"/>
    <s v="Warm"/>
    <d v="2025-10-15T00:00:00"/>
    <d v="2025-10-17T00:00:00"/>
    <d v="2025-10-18T00:00:00"/>
    <d v="2025-10-23T00:00:00"/>
    <s v="No"/>
    <m/>
    <d v="2025-11-02T00:00:00"/>
    <n v="2"/>
    <n v="1"/>
    <n v="5"/>
    <n v="8"/>
    <n v="1"/>
    <n v="1"/>
    <n v="1"/>
    <n v="1"/>
    <x v="1"/>
  </r>
  <r>
    <s v="L1792"/>
    <x v="3"/>
    <s v="Cold"/>
    <d v="2025-10-30T00:00:00"/>
    <m/>
    <m/>
    <m/>
    <s v="Yes"/>
    <s v="Price"/>
    <m/>
    <m/>
    <m/>
    <m/>
    <m/>
    <n v="1"/>
    <n v="0"/>
    <n v="0"/>
    <n v="0"/>
    <x v="2"/>
  </r>
  <r>
    <s v="L1793"/>
    <x v="0"/>
    <s v="Hot"/>
    <d v="2025-10-23T00:00:00"/>
    <d v="2025-10-26T00:00:00"/>
    <d v="2025-10-29T00:00:00"/>
    <d v="2025-11-02T00:00:00"/>
    <s v="No"/>
    <m/>
    <d v="2025-11-19T00:00:00"/>
    <n v="3"/>
    <n v="3"/>
    <n v="4"/>
    <n v="1"/>
    <n v="1"/>
    <n v="1"/>
    <n v="1"/>
    <n v="1"/>
    <x v="0"/>
  </r>
  <r>
    <s v="L1794"/>
    <x v="2"/>
    <s v="Hot"/>
    <d v="2025-10-10T00:00:00"/>
    <d v="2025-10-15T00:00:00"/>
    <d v="2025-10-19T00:00:00"/>
    <d v="2025-10-24T00:00:00"/>
    <s v="No"/>
    <m/>
    <d v="2025-11-10T00:00:00"/>
    <n v="5"/>
    <n v="4"/>
    <n v="5"/>
    <n v="10"/>
    <n v="1"/>
    <n v="1"/>
    <n v="1"/>
    <n v="1"/>
    <x v="3"/>
  </r>
  <r>
    <s v="L1795"/>
    <x v="3"/>
    <s v="Warm"/>
    <d v="2025-10-21T00:00:00"/>
    <d v="2025-10-24T00:00:00"/>
    <d v="2025-10-28T00:00:00"/>
    <d v="2025-10-30T00:00:00"/>
    <s v="No"/>
    <m/>
    <d v="2025-11-13T00:00:00"/>
    <n v="3"/>
    <n v="4"/>
    <n v="2"/>
    <n v="4"/>
    <n v="1"/>
    <n v="1"/>
    <n v="1"/>
    <n v="1"/>
    <x v="0"/>
  </r>
  <r>
    <s v="L1796"/>
    <x v="0"/>
    <s v="Warm"/>
    <d v="2025-10-14T00:00:00"/>
    <d v="2025-10-15T00:00:00"/>
    <d v="2025-10-16T00:00:00"/>
    <d v="2025-10-22T00:00:00"/>
    <s v="No"/>
    <m/>
    <d v="2025-11-07T00:00:00"/>
    <n v="1"/>
    <n v="1"/>
    <n v="6"/>
    <n v="8"/>
    <n v="1"/>
    <n v="1"/>
    <n v="1"/>
    <n v="1"/>
    <x v="1"/>
  </r>
  <r>
    <s v="L1797"/>
    <x v="3"/>
    <s v="Warm"/>
    <d v="2025-10-04T00:00:00"/>
    <d v="2025-10-07T00:00:00"/>
    <d v="2025-10-12T00:00:00"/>
    <d v="2025-10-16T00:00:00"/>
    <s v="No"/>
    <m/>
    <d v="2025-10-26T00:00:00"/>
    <n v="3"/>
    <n v="5"/>
    <n v="4"/>
    <n v="7"/>
    <n v="1"/>
    <n v="1"/>
    <n v="1"/>
    <n v="1"/>
    <x v="1"/>
  </r>
  <r>
    <s v="L1798"/>
    <x v="1"/>
    <s v="Cold"/>
    <d v="2025-10-05T00:00:00"/>
    <m/>
    <m/>
    <m/>
    <s v="Yes"/>
    <s v="Price"/>
    <m/>
    <m/>
    <m/>
    <m/>
    <m/>
    <n v="1"/>
    <n v="0"/>
    <n v="0"/>
    <n v="0"/>
    <x v="2"/>
  </r>
  <r>
    <s v="L1799"/>
    <x v="1"/>
    <s v="Cold"/>
    <d v="2025-10-02T00:00:00"/>
    <m/>
    <m/>
    <m/>
    <s v="Yes"/>
    <s v="Financing Issue"/>
    <m/>
    <m/>
    <m/>
    <m/>
    <m/>
    <n v="1"/>
    <n v="0"/>
    <n v="0"/>
    <n v="0"/>
    <x v="2"/>
  </r>
  <r>
    <s v="L1800"/>
    <x v="0"/>
    <s v="Cold"/>
    <d v="2025-10-31T00:00:00"/>
    <m/>
    <m/>
    <m/>
    <s v="Yes"/>
    <s v="Other"/>
    <m/>
    <m/>
    <m/>
    <m/>
    <m/>
    <n v="1"/>
    <n v="0"/>
    <n v="0"/>
    <n v="0"/>
    <x v="2"/>
  </r>
  <r>
    <s v="L1801"/>
    <x v="2"/>
    <s v="Warm"/>
    <d v="2025-10-02T00:00:00"/>
    <d v="2025-10-04T00:00:00"/>
    <d v="2025-10-06T00:00:00"/>
    <d v="2025-10-09T00:00:00"/>
    <s v="Yes"/>
    <s v="Price"/>
    <m/>
    <n v="2"/>
    <n v="2"/>
    <n v="3"/>
    <m/>
    <n v="1"/>
    <n v="1"/>
    <n v="1"/>
    <n v="0"/>
    <x v="2"/>
  </r>
  <r>
    <s v="L1802"/>
    <x v="0"/>
    <s v="Warm"/>
    <d v="2025-10-10T00:00:00"/>
    <d v="2025-10-15T00:00:00"/>
    <d v="2025-10-20T00:00:00"/>
    <d v="2025-10-25T00:00:00"/>
    <s v="No"/>
    <m/>
    <d v="2025-11-22T00:00:00"/>
    <n v="5"/>
    <n v="5"/>
    <n v="5"/>
    <n v="10"/>
    <n v="1"/>
    <n v="1"/>
    <n v="1"/>
    <n v="1"/>
    <x v="3"/>
  </r>
  <r>
    <s v="L1803"/>
    <x v="3"/>
    <s v="Warm"/>
    <d v="2025-10-16T00:00:00"/>
    <d v="2025-10-19T00:00:00"/>
    <d v="2025-10-24T00:00:00"/>
    <d v="2025-10-28T00:00:00"/>
    <s v="No"/>
    <m/>
    <d v="2025-11-23T00:00:00"/>
    <n v="3"/>
    <n v="5"/>
    <n v="4"/>
    <n v="1"/>
    <n v="1"/>
    <n v="1"/>
    <n v="1"/>
    <n v="1"/>
    <x v="0"/>
  </r>
  <r>
    <s v="L1804"/>
    <x v="2"/>
    <s v="Warm"/>
    <d v="2025-10-04T00:00:00"/>
    <d v="2025-10-06T00:00:00"/>
    <d v="2025-10-08T00:00:00"/>
    <d v="2025-10-13T00:00:00"/>
    <s v="No"/>
    <m/>
    <d v="2025-10-28T00:00:00"/>
    <n v="2"/>
    <n v="2"/>
    <n v="5"/>
    <n v="9"/>
    <n v="1"/>
    <n v="1"/>
    <n v="1"/>
    <n v="1"/>
    <x v="3"/>
  </r>
  <r>
    <s v="L1805"/>
    <x v="1"/>
    <s v="Cold"/>
    <d v="2025-10-04T00:00:00"/>
    <m/>
    <m/>
    <m/>
    <s v="Yes"/>
    <s v="Other"/>
    <m/>
    <m/>
    <m/>
    <m/>
    <m/>
    <n v="1"/>
    <n v="0"/>
    <n v="0"/>
    <n v="0"/>
    <x v="2"/>
  </r>
  <r>
    <s v="L1806"/>
    <x v="2"/>
    <s v="Hot"/>
    <d v="2025-10-08T00:00:00"/>
    <d v="2025-10-11T00:00:00"/>
    <d v="2025-10-15T00:00:00"/>
    <d v="2025-10-19T00:00:00"/>
    <s v="No"/>
    <m/>
    <d v="2025-11-01T00:00:00"/>
    <n v="3"/>
    <n v="4"/>
    <n v="4"/>
    <n v="3"/>
    <n v="1"/>
    <n v="1"/>
    <n v="1"/>
    <n v="1"/>
    <x v="0"/>
  </r>
  <r>
    <s v="L1807"/>
    <x v="1"/>
    <s v="Warm"/>
    <d v="2025-10-29T00:00:00"/>
    <d v="2025-11-03T00:00:00"/>
    <d v="2025-11-05T00:00:00"/>
    <d v="2025-11-07T00:00:00"/>
    <s v="No"/>
    <m/>
    <d v="2025-11-28T00:00:00"/>
    <n v="5"/>
    <n v="2"/>
    <n v="2"/>
    <n v="2"/>
    <n v="1"/>
    <n v="1"/>
    <n v="1"/>
    <n v="1"/>
    <x v="0"/>
  </r>
  <r>
    <s v="L1808"/>
    <x v="2"/>
    <s v="Hot"/>
    <d v="2025-10-18T00:00:00"/>
    <d v="2025-10-23T00:00:00"/>
    <d v="2025-10-25T00:00:00"/>
    <d v="2025-10-27T00:00:00"/>
    <s v="No"/>
    <m/>
    <d v="2025-11-26T00:00:00"/>
    <n v="5"/>
    <n v="2"/>
    <n v="2"/>
    <n v="5"/>
    <n v="1"/>
    <n v="1"/>
    <n v="1"/>
    <n v="1"/>
    <x v="0"/>
  </r>
  <r>
    <s v="L1809"/>
    <x v="2"/>
    <s v="Warm"/>
    <d v="2025-10-05T00:00:00"/>
    <d v="2025-10-06T00:00:00"/>
    <d v="2025-10-09T00:00:00"/>
    <d v="2025-10-12T00:00:00"/>
    <s v="No"/>
    <m/>
    <d v="2025-10-23T00:00:00"/>
    <n v="1"/>
    <n v="3"/>
    <n v="3"/>
    <n v="1"/>
    <n v="1"/>
    <n v="1"/>
    <n v="1"/>
    <n v="1"/>
    <x v="0"/>
  </r>
  <r>
    <s v="L1810"/>
    <x v="2"/>
    <s v="Cold"/>
    <d v="2025-10-13T00:00:00"/>
    <m/>
    <m/>
    <m/>
    <s v="Yes"/>
    <s v="Financing Issue"/>
    <m/>
    <m/>
    <m/>
    <m/>
    <m/>
    <n v="1"/>
    <n v="0"/>
    <n v="0"/>
    <n v="0"/>
    <x v="2"/>
  </r>
  <r>
    <s v="L1811"/>
    <x v="3"/>
    <s v="Warm"/>
    <d v="2025-10-15T00:00:00"/>
    <d v="2025-10-20T00:00:00"/>
    <d v="2025-10-23T00:00:00"/>
    <d v="2025-10-30T00:00:00"/>
    <s v="No"/>
    <m/>
    <d v="2025-11-21T00:00:00"/>
    <n v="5"/>
    <n v="3"/>
    <n v="7"/>
    <n v="7"/>
    <n v="1"/>
    <n v="1"/>
    <n v="1"/>
    <n v="1"/>
    <x v="1"/>
  </r>
  <r>
    <s v="L1812"/>
    <x v="3"/>
    <s v="Hot"/>
    <d v="2025-10-12T00:00:00"/>
    <d v="2025-10-14T00:00:00"/>
    <d v="2025-10-17T00:00:00"/>
    <d v="2025-10-21T00:00:00"/>
    <s v="No"/>
    <m/>
    <d v="2025-11-20T00:00:00"/>
    <n v="2"/>
    <n v="3"/>
    <n v="4"/>
    <n v="3"/>
    <n v="1"/>
    <n v="1"/>
    <n v="1"/>
    <n v="1"/>
    <x v="0"/>
  </r>
  <r>
    <s v="L1813"/>
    <x v="0"/>
    <s v="Cold"/>
    <d v="2025-10-22T00:00:00"/>
    <m/>
    <m/>
    <m/>
    <s v="Yes"/>
    <s v="Other"/>
    <m/>
    <m/>
    <m/>
    <m/>
    <m/>
    <n v="1"/>
    <n v="0"/>
    <n v="0"/>
    <n v="0"/>
    <x v="2"/>
  </r>
  <r>
    <s v="L1814"/>
    <x v="0"/>
    <s v="Warm"/>
    <d v="2025-10-31T00:00:00"/>
    <d v="2025-11-05T00:00:00"/>
    <d v="2025-11-09T00:00:00"/>
    <d v="2025-11-16T00:00:00"/>
    <s v="No"/>
    <m/>
    <d v="2025-12-04T00:00:00"/>
    <n v="5"/>
    <n v="4"/>
    <n v="7"/>
    <n v="2"/>
    <n v="1"/>
    <n v="1"/>
    <n v="1"/>
    <n v="1"/>
    <x v="0"/>
  </r>
  <r>
    <s v="L1815"/>
    <x v="1"/>
    <s v="Hot"/>
    <d v="2025-10-24T00:00:00"/>
    <d v="2025-10-29T00:00:00"/>
    <d v="2025-10-31T00:00:00"/>
    <d v="2025-11-07T00:00:00"/>
    <s v="No"/>
    <m/>
    <d v="2025-12-04T00:00:00"/>
    <n v="5"/>
    <n v="2"/>
    <n v="7"/>
    <n v="5"/>
    <n v="1"/>
    <n v="1"/>
    <n v="1"/>
    <n v="1"/>
    <x v="0"/>
  </r>
  <r>
    <s v="L1816"/>
    <x v="3"/>
    <s v="Hot"/>
    <d v="2025-10-23T00:00:00"/>
    <d v="2025-10-25T00:00:00"/>
    <d v="2025-10-26T00:00:00"/>
    <d v="2025-11-01T00:00:00"/>
    <s v="Yes"/>
    <s v="Financing Issue"/>
    <m/>
    <n v="2"/>
    <n v="1"/>
    <n v="6"/>
    <m/>
    <n v="1"/>
    <n v="1"/>
    <n v="1"/>
    <n v="0"/>
    <x v="2"/>
  </r>
  <r>
    <s v="L1817"/>
    <x v="1"/>
    <s v="Hot"/>
    <d v="2025-10-31T00:00:00"/>
    <d v="2025-11-02T00:00:00"/>
    <d v="2025-11-04T00:00:00"/>
    <d v="2025-11-06T00:00:00"/>
    <s v="No"/>
    <m/>
    <d v="2025-12-05T00:00:00"/>
    <n v="2"/>
    <n v="2"/>
    <n v="2"/>
    <n v="8"/>
    <n v="1"/>
    <n v="1"/>
    <n v="1"/>
    <n v="1"/>
    <x v="1"/>
  </r>
  <r>
    <s v="L1818"/>
    <x v="0"/>
    <s v="Hot"/>
    <d v="2025-10-18T00:00:00"/>
    <d v="2025-10-23T00:00:00"/>
    <d v="2025-10-27T00:00:00"/>
    <d v="2025-10-30T00:00:00"/>
    <s v="No"/>
    <m/>
    <d v="2025-11-10T00:00:00"/>
    <n v="5"/>
    <n v="4"/>
    <n v="3"/>
    <n v="8"/>
    <n v="1"/>
    <n v="1"/>
    <n v="1"/>
    <n v="1"/>
    <x v="1"/>
  </r>
  <r>
    <s v="L1819"/>
    <x v="1"/>
    <s v="Cold"/>
    <d v="2025-10-14T00:00:00"/>
    <m/>
    <m/>
    <m/>
    <s v="Yes"/>
    <s v="Financing Issue"/>
    <m/>
    <m/>
    <m/>
    <m/>
    <m/>
    <n v="1"/>
    <n v="0"/>
    <n v="0"/>
    <n v="0"/>
    <x v="2"/>
  </r>
  <r>
    <s v="L1820"/>
    <x v="0"/>
    <s v="Warm"/>
    <d v="2025-10-19T00:00:00"/>
    <d v="2025-10-24T00:00:00"/>
    <d v="2025-10-27T00:00:00"/>
    <d v="2025-10-31T00:00:00"/>
    <s v="No"/>
    <m/>
    <d v="2025-11-29T00:00:00"/>
    <n v="5"/>
    <n v="3"/>
    <n v="4"/>
    <n v="2"/>
    <n v="1"/>
    <n v="1"/>
    <n v="1"/>
    <n v="1"/>
    <x v="0"/>
  </r>
  <r>
    <s v="L1821"/>
    <x v="3"/>
    <s v="Cold"/>
    <d v="2025-10-24T00:00:00"/>
    <m/>
    <m/>
    <m/>
    <s v="Yes"/>
    <s v="Changed Mind"/>
    <m/>
    <m/>
    <m/>
    <m/>
    <m/>
    <n v="1"/>
    <n v="0"/>
    <n v="0"/>
    <n v="0"/>
    <x v="2"/>
  </r>
  <r>
    <s v="L1822"/>
    <x v="2"/>
    <s v="Warm"/>
    <d v="2025-10-24T00:00:00"/>
    <d v="2025-10-27T00:00:00"/>
    <d v="2025-10-31T00:00:00"/>
    <d v="2025-11-03T00:00:00"/>
    <s v="No"/>
    <m/>
    <d v="2025-11-14T00:00:00"/>
    <n v="3"/>
    <n v="4"/>
    <n v="3"/>
    <n v="3"/>
    <n v="1"/>
    <n v="1"/>
    <n v="1"/>
    <n v="1"/>
    <x v="0"/>
  </r>
  <r>
    <s v="L1823"/>
    <x v="3"/>
    <s v="Hot"/>
    <d v="2025-10-05T00:00:00"/>
    <d v="2025-10-10T00:00:00"/>
    <d v="2025-10-13T00:00:00"/>
    <d v="2025-10-15T00:00:00"/>
    <s v="No"/>
    <m/>
    <d v="2025-10-28T00:00:00"/>
    <n v="5"/>
    <n v="3"/>
    <n v="2"/>
    <n v="4"/>
    <n v="1"/>
    <n v="1"/>
    <n v="1"/>
    <n v="1"/>
    <x v="0"/>
  </r>
  <r>
    <s v="L1824"/>
    <x v="1"/>
    <s v="Warm"/>
    <d v="2025-10-29T00:00:00"/>
    <d v="2025-10-30T00:00:00"/>
    <d v="2025-11-03T00:00:00"/>
    <d v="2025-11-10T00:00:00"/>
    <s v="Yes"/>
    <s v="Financing Issue"/>
    <m/>
    <n v="1"/>
    <n v="4"/>
    <n v="7"/>
    <m/>
    <n v="1"/>
    <n v="1"/>
    <n v="1"/>
    <n v="0"/>
    <x v="2"/>
  </r>
  <r>
    <s v="L1825"/>
    <x v="1"/>
    <s v="Hot"/>
    <d v="2025-10-14T00:00:00"/>
    <d v="2025-10-15T00:00:00"/>
    <d v="2025-10-16T00:00:00"/>
    <d v="2025-10-19T00:00:00"/>
    <s v="No"/>
    <m/>
    <d v="2025-11-18T00:00:00"/>
    <n v="1"/>
    <n v="1"/>
    <n v="3"/>
    <n v="3"/>
    <n v="1"/>
    <n v="1"/>
    <n v="1"/>
    <n v="1"/>
    <x v="0"/>
  </r>
  <r>
    <s v="L1826"/>
    <x v="3"/>
    <s v="Warm"/>
    <d v="2025-10-21T00:00:00"/>
    <d v="2025-10-22T00:00:00"/>
    <d v="2025-10-25T00:00:00"/>
    <d v="2025-10-29T00:00:00"/>
    <s v="No"/>
    <m/>
    <d v="2025-11-08T00:00:00"/>
    <n v="1"/>
    <n v="3"/>
    <n v="4"/>
    <n v="6"/>
    <n v="1"/>
    <n v="1"/>
    <n v="1"/>
    <n v="1"/>
    <x v="0"/>
  </r>
  <r>
    <s v="L1827"/>
    <x v="3"/>
    <s v="Cold"/>
    <d v="2025-10-04T00:00:00"/>
    <m/>
    <m/>
    <m/>
    <s v="Yes"/>
    <s v="Financing Issue"/>
    <m/>
    <m/>
    <m/>
    <m/>
    <m/>
    <n v="1"/>
    <n v="0"/>
    <n v="0"/>
    <n v="0"/>
    <x v="2"/>
  </r>
  <r>
    <s v="L1828"/>
    <x v="0"/>
    <s v="Warm"/>
    <d v="2025-10-27T00:00:00"/>
    <d v="2025-10-28T00:00:00"/>
    <d v="2025-10-31T00:00:00"/>
    <d v="2025-11-05T00:00:00"/>
    <s v="No"/>
    <m/>
    <d v="2025-11-16T00:00:00"/>
    <n v="1"/>
    <n v="3"/>
    <n v="5"/>
    <n v="2"/>
    <n v="1"/>
    <n v="1"/>
    <n v="1"/>
    <n v="1"/>
    <x v="0"/>
  </r>
  <r>
    <s v="L1829"/>
    <x v="1"/>
    <s v="Warm"/>
    <d v="2025-10-16T00:00:00"/>
    <d v="2025-10-21T00:00:00"/>
    <d v="2025-10-23T00:00:00"/>
    <d v="2025-10-29T00:00:00"/>
    <s v="Yes"/>
    <s v="Model Unavailable"/>
    <m/>
    <n v="5"/>
    <n v="2"/>
    <n v="6"/>
    <m/>
    <n v="1"/>
    <n v="1"/>
    <n v="1"/>
    <n v="0"/>
    <x v="2"/>
  </r>
  <r>
    <s v="L1830"/>
    <x v="1"/>
    <s v="Hot"/>
    <d v="2025-10-20T00:00:00"/>
    <d v="2025-10-23T00:00:00"/>
    <d v="2025-10-27T00:00:00"/>
    <d v="2025-10-29T00:00:00"/>
    <s v="Yes"/>
    <s v="Price"/>
    <m/>
    <n v="3"/>
    <n v="4"/>
    <n v="2"/>
    <m/>
    <n v="1"/>
    <n v="1"/>
    <n v="1"/>
    <n v="0"/>
    <x v="2"/>
  </r>
  <r>
    <s v="L1831"/>
    <x v="3"/>
    <s v="Hot"/>
    <d v="2025-10-14T00:00:00"/>
    <d v="2025-10-16T00:00:00"/>
    <d v="2025-10-21T00:00:00"/>
    <d v="2025-10-28T00:00:00"/>
    <s v="No"/>
    <m/>
    <d v="2025-11-10T00:00:00"/>
    <n v="2"/>
    <n v="5"/>
    <n v="7"/>
    <n v="9"/>
    <n v="1"/>
    <n v="1"/>
    <n v="1"/>
    <n v="1"/>
    <x v="3"/>
  </r>
  <r>
    <s v="L1832"/>
    <x v="2"/>
    <s v="Hot"/>
    <d v="2025-10-31T00:00:00"/>
    <d v="2025-11-05T00:00:00"/>
    <d v="2025-11-10T00:00:00"/>
    <d v="2025-11-14T00:00:00"/>
    <s v="No"/>
    <m/>
    <d v="2025-12-07T00:00:00"/>
    <n v="5"/>
    <n v="5"/>
    <n v="4"/>
    <n v="9"/>
    <n v="1"/>
    <n v="1"/>
    <n v="1"/>
    <n v="1"/>
    <x v="3"/>
  </r>
  <r>
    <s v="L1833"/>
    <x v="1"/>
    <s v="Warm"/>
    <d v="2025-10-31T00:00:00"/>
    <d v="2025-11-04T00:00:00"/>
    <d v="2025-11-06T00:00:00"/>
    <d v="2025-11-10T00:00:00"/>
    <s v="No"/>
    <m/>
    <d v="2025-12-04T00:00:00"/>
    <n v="4"/>
    <n v="2"/>
    <n v="4"/>
    <n v="6"/>
    <n v="1"/>
    <n v="1"/>
    <n v="1"/>
    <n v="1"/>
    <x v="0"/>
  </r>
  <r>
    <s v="L1834"/>
    <x v="2"/>
    <s v="Hot"/>
    <d v="2025-10-09T00:00:00"/>
    <d v="2025-10-14T00:00:00"/>
    <d v="2025-10-18T00:00:00"/>
    <d v="2025-10-21T00:00:00"/>
    <s v="No"/>
    <m/>
    <d v="2025-11-12T00:00:00"/>
    <n v="5"/>
    <n v="4"/>
    <n v="3"/>
    <n v="8"/>
    <n v="1"/>
    <n v="1"/>
    <n v="1"/>
    <n v="1"/>
    <x v="1"/>
  </r>
  <r>
    <s v="L1835"/>
    <x v="3"/>
    <s v="Warm"/>
    <d v="2025-10-02T00:00:00"/>
    <d v="2025-10-03T00:00:00"/>
    <d v="2025-10-04T00:00:00"/>
    <d v="2025-10-06T00:00:00"/>
    <s v="Yes"/>
    <s v="Changed Mind"/>
    <m/>
    <n v="1"/>
    <n v="1"/>
    <n v="2"/>
    <m/>
    <n v="1"/>
    <n v="1"/>
    <n v="1"/>
    <n v="0"/>
    <x v="2"/>
  </r>
  <r>
    <s v="L1836"/>
    <x v="3"/>
    <s v="Warm"/>
    <d v="2025-10-23T00:00:00"/>
    <d v="2025-10-27T00:00:00"/>
    <d v="2025-10-29T00:00:00"/>
    <d v="2025-11-03T00:00:00"/>
    <s v="No"/>
    <m/>
    <d v="2025-11-16T00:00:00"/>
    <n v="4"/>
    <n v="2"/>
    <n v="5"/>
    <n v="2"/>
    <n v="1"/>
    <n v="1"/>
    <n v="1"/>
    <n v="1"/>
    <x v="0"/>
  </r>
  <r>
    <s v="L1837"/>
    <x v="0"/>
    <s v="Warm"/>
    <d v="2025-10-12T00:00:00"/>
    <d v="2025-10-17T00:00:00"/>
    <d v="2025-10-20T00:00:00"/>
    <d v="2025-10-25T00:00:00"/>
    <s v="No"/>
    <m/>
    <d v="2025-11-21T00:00:00"/>
    <n v="5"/>
    <n v="3"/>
    <n v="5"/>
    <n v="6"/>
    <n v="1"/>
    <n v="1"/>
    <n v="1"/>
    <n v="1"/>
    <x v="0"/>
  </r>
  <r>
    <s v="L1838"/>
    <x v="1"/>
    <s v="Hot"/>
    <d v="2025-10-07T00:00:00"/>
    <d v="2025-10-10T00:00:00"/>
    <d v="2025-10-11T00:00:00"/>
    <d v="2025-10-17T00:00:00"/>
    <s v="No"/>
    <m/>
    <d v="2025-11-04T00:00:00"/>
    <n v="3"/>
    <n v="1"/>
    <n v="6"/>
    <n v="6"/>
    <n v="1"/>
    <n v="1"/>
    <n v="1"/>
    <n v="1"/>
    <x v="0"/>
  </r>
  <r>
    <s v="L1839"/>
    <x v="2"/>
    <s v="Hot"/>
    <d v="2025-10-15T00:00:00"/>
    <d v="2025-10-18T00:00:00"/>
    <d v="2025-10-22T00:00:00"/>
    <d v="2025-10-29T00:00:00"/>
    <s v="No"/>
    <m/>
    <d v="2025-11-23T00:00:00"/>
    <n v="3"/>
    <n v="4"/>
    <n v="7"/>
    <n v="9"/>
    <n v="1"/>
    <n v="1"/>
    <n v="1"/>
    <n v="1"/>
    <x v="3"/>
  </r>
  <r>
    <s v="L1840"/>
    <x v="0"/>
    <s v="Cold"/>
    <d v="2025-10-15T00:00:00"/>
    <m/>
    <m/>
    <m/>
    <s v="Yes"/>
    <s v="Changed Mind"/>
    <m/>
    <m/>
    <m/>
    <m/>
    <m/>
    <n v="1"/>
    <n v="0"/>
    <n v="0"/>
    <n v="0"/>
    <x v="2"/>
  </r>
  <r>
    <s v="L1841"/>
    <x v="1"/>
    <s v="Warm"/>
    <d v="2025-10-31T00:00:00"/>
    <d v="2025-11-04T00:00:00"/>
    <d v="2025-11-07T00:00:00"/>
    <d v="2025-11-13T00:00:00"/>
    <s v="No"/>
    <m/>
    <d v="2025-11-27T00:00:00"/>
    <n v="4"/>
    <n v="3"/>
    <n v="6"/>
    <n v="9"/>
    <n v="1"/>
    <n v="1"/>
    <n v="1"/>
    <n v="1"/>
    <x v="3"/>
  </r>
  <r>
    <s v="L1842"/>
    <x v="0"/>
    <s v="Warm"/>
    <d v="2025-10-08T00:00:00"/>
    <d v="2025-10-10T00:00:00"/>
    <d v="2025-10-15T00:00:00"/>
    <d v="2025-10-18T00:00:00"/>
    <s v="No"/>
    <m/>
    <d v="2025-11-03T00:00:00"/>
    <n v="2"/>
    <n v="5"/>
    <n v="3"/>
    <n v="0"/>
    <n v="1"/>
    <n v="1"/>
    <n v="1"/>
    <n v="1"/>
    <x v="0"/>
  </r>
  <r>
    <s v="L1843"/>
    <x v="3"/>
    <s v="Hot"/>
    <d v="2025-10-28T00:00:00"/>
    <d v="2025-11-01T00:00:00"/>
    <d v="2025-11-05T00:00:00"/>
    <d v="2025-11-07T00:00:00"/>
    <s v="Yes"/>
    <s v="Changed Mind"/>
    <m/>
    <n v="4"/>
    <n v="4"/>
    <n v="2"/>
    <m/>
    <n v="1"/>
    <n v="1"/>
    <n v="1"/>
    <n v="0"/>
    <x v="2"/>
  </r>
  <r>
    <s v="L1844"/>
    <x v="1"/>
    <s v="Cold"/>
    <d v="2025-10-12T00:00:00"/>
    <m/>
    <m/>
    <m/>
    <s v="Yes"/>
    <s v="Model Unavailable"/>
    <m/>
    <m/>
    <m/>
    <m/>
    <m/>
    <n v="1"/>
    <n v="0"/>
    <n v="0"/>
    <n v="0"/>
    <x v="2"/>
  </r>
  <r>
    <s v="L1845"/>
    <x v="0"/>
    <s v="Warm"/>
    <d v="2025-10-04T00:00:00"/>
    <d v="2025-10-07T00:00:00"/>
    <d v="2025-10-10T00:00:00"/>
    <d v="2025-10-15T00:00:00"/>
    <s v="No"/>
    <m/>
    <d v="2025-11-14T00:00:00"/>
    <n v="3"/>
    <n v="3"/>
    <n v="5"/>
    <n v="7"/>
    <n v="1"/>
    <n v="1"/>
    <n v="1"/>
    <n v="1"/>
    <x v="1"/>
  </r>
  <r>
    <s v="L1846"/>
    <x v="0"/>
    <s v="Warm"/>
    <d v="2025-10-22T00:00:00"/>
    <d v="2025-10-26T00:00:00"/>
    <d v="2025-10-30T00:00:00"/>
    <d v="2025-11-01T00:00:00"/>
    <s v="No"/>
    <m/>
    <d v="2025-11-11T00:00:00"/>
    <n v="4"/>
    <n v="4"/>
    <n v="2"/>
    <n v="3"/>
    <n v="1"/>
    <n v="1"/>
    <n v="1"/>
    <n v="1"/>
    <x v="0"/>
  </r>
  <r>
    <s v="L1847"/>
    <x v="2"/>
    <s v="Cold"/>
    <d v="2025-10-12T00:00:00"/>
    <m/>
    <m/>
    <m/>
    <s v="Yes"/>
    <s v="Financing Issue"/>
    <m/>
    <m/>
    <m/>
    <m/>
    <m/>
    <n v="1"/>
    <n v="0"/>
    <n v="0"/>
    <n v="0"/>
    <x v="2"/>
  </r>
  <r>
    <s v="L1848"/>
    <x v="0"/>
    <s v="Hot"/>
    <d v="2025-10-18T00:00:00"/>
    <d v="2025-10-19T00:00:00"/>
    <d v="2025-10-22T00:00:00"/>
    <d v="2025-10-25T00:00:00"/>
    <s v="No"/>
    <m/>
    <d v="2025-11-13T00:00:00"/>
    <n v="1"/>
    <n v="3"/>
    <n v="3"/>
    <n v="5"/>
    <n v="1"/>
    <n v="1"/>
    <n v="1"/>
    <n v="1"/>
    <x v="0"/>
  </r>
  <r>
    <s v="L1849"/>
    <x v="1"/>
    <s v="Warm"/>
    <d v="2025-10-29T00:00:00"/>
    <d v="2025-10-30T00:00:00"/>
    <d v="2025-11-03T00:00:00"/>
    <d v="2025-11-05T00:00:00"/>
    <s v="No"/>
    <m/>
    <d v="2025-11-28T00:00:00"/>
    <n v="1"/>
    <n v="4"/>
    <n v="2"/>
    <n v="6"/>
    <n v="1"/>
    <n v="1"/>
    <n v="1"/>
    <n v="1"/>
    <x v="0"/>
  </r>
  <r>
    <s v="L1850"/>
    <x v="1"/>
    <s v="Warm"/>
    <d v="2025-10-21T00:00:00"/>
    <d v="2025-10-23T00:00:00"/>
    <d v="2025-10-28T00:00:00"/>
    <d v="2025-10-30T00:00:00"/>
    <s v="No"/>
    <m/>
    <d v="2025-11-12T00:00:00"/>
    <n v="2"/>
    <n v="5"/>
    <n v="2"/>
    <n v="4"/>
    <n v="1"/>
    <n v="1"/>
    <n v="1"/>
    <n v="1"/>
    <x v="0"/>
  </r>
  <r>
    <s v="L1851"/>
    <x v="2"/>
    <s v="Hot"/>
    <d v="2025-10-12T00:00:00"/>
    <d v="2025-10-16T00:00:00"/>
    <d v="2025-10-18T00:00:00"/>
    <d v="2025-10-20T00:00:00"/>
    <s v="No"/>
    <m/>
    <d v="2025-11-15T00:00:00"/>
    <n v="4"/>
    <n v="2"/>
    <n v="2"/>
    <n v="9"/>
    <n v="1"/>
    <n v="1"/>
    <n v="1"/>
    <n v="1"/>
    <x v="3"/>
  </r>
  <r>
    <s v="L1852"/>
    <x v="1"/>
    <s v="Cold"/>
    <d v="2025-10-02T00:00:00"/>
    <m/>
    <m/>
    <m/>
    <s v="Yes"/>
    <s v="Price"/>
    <m/>
    <m/>
    <m/>
    <m/>
    <m/>
    <n v="1"/>
    <n v="0"/>
    <n v="0"/>
    <n v="0"/>
    <x v="2"/>
  </r>
  <r>
    <s v="L1853"/>
    <x v="3"/>
    <s v="Warm"/>
    <d v="2025-10-13T00:00:00"/>
    <d v="2025-10-17T00:00:00"/>
    <d v="2025-10-20T00:00:00"/>
    <d v="2025-10-23T00:00:00"/>
    <s v="Yes"/>
    <s v="Other"/>
    <m/>
    <n v="4"/>
    <n v="3"/>
    <n v="3"/>
    <m/>
    <n v="1"/>
    <n v="1"/>
    <n v="1"/>
    <n v="0"/>
    <x v="2"/>
  </r>
  <r>
    <s v="L1854"/>
    <x v="1"/>
    <s v="Warm"/>
    <d v="2025-10-09T00:00:00"/>
    <d v="2025-10-13T00:00:00"/>
    <d v="2025-10-16T00:00:00"/>
    <d v="2025-10-19T00:00:00"/>
    <s v="No"/>
    <m/>
    <d v="2025-11-06T00:00:00"/>
    <n v="4"/>
    <n v="3"/>
    <n v="3"/>
    <n v="2"/>
    <n v="1"/>
    <n v="1"/>
    <n v="1"/>
    <n v="1"/>
    <x v="0"/>
  </r>
  <r>
    <s v="L1855"/>
    <x v="1"/>
    <s v="Hot"/>
    <d v="2025-10-07T00:00:00"/>
    <d v="2025-10-11T00:00:00"/>
    <d v="2025-10-16T00:00:00"/>
    <d v="2025-10-19T00:00:00"/>
    <s v="No"/>
    <m/>
    <d v="2025-11-17T00:00:00"/>
    <n v="4"/>
    <n v="5"/>
    <n v="3"/>
    <n v="7"/>
    <n v="1"/>
    <n v="1"/>
    <n v="1"/>
    <n v="1"/>
    <x v="1"/>
  </r>
  <r>
    <s v="L1856"/>
    <x v="0"/>
    <s v="Hot"/>
    <d v="2025-10-31T00:00:00"/>
    <d v="2025-11-02T00:00:00"/>
    <d v="2025-11-04T00:00:00"/>
    <d v="2025-11-09T00:00:00"/>
    <s v="No"/>
    <m/>
    <d v="2025-12-08T00:00:00"/>
    <n v="2"/>
    <n v="2"/>
    <n v="5"/>
    <n v="1"/>
    <n v="1"/>
    <n v="1"/>
    <n v="1"/>
    <n v="1"/>
    <x v="0"/>
  </r>
  <r>
    <s v="L1857"/>
    <x v="0"/>
    <s v="Warm"/>
    <d v="2025-10-04T00:00:00"/>
    <d v="2025-10-07T00:00:00"/>
    <d v="2025-10-11T00:00:00"/>
    <d v="2025-10-15T00:00:00"/>
    <s v="No"/>
    <m/>
    <d v="2025-10-29T00:00:00"/>
    <n v="3"/>
    <n v="4"/>
    <n v="4"/>
    <n v="3"/>
    <n v="1"/>
    <n v="1"/>
    <n v="1"/>
    <n v="1"/>
    <x v="0"/>
  </r>
  <r>
    <s v="L1858"/>
    <x v="1"/>
    <s v="Warm"/>
    <d v="2025-10-31T00:00:00"/>
    <d v="2025-11-05T00:00:00"/>
    <d v="2025-11-08T00:00:00"/>
    <d v="2025-11-15T00:00:00"/>
    <s v="No"/>
    <m/>
    <d v="2025-12-08T00:00:00"/>
    <n v="5"/>
    <n v="3"/>
    <n v="7"/>
    <n v="7"/>
    <n v="1"/>
    <n v="1"/>
    <n v="1"/>
    <n v="1"/>
    <x v="1"/>
  </r>
  <r>
    <s v="L1859"/>
    <x v="2"/>
    <s v="Hot"/>
    <d v="2025-10-28T00:00:00"/>
    <d v="2025-10-30T00:00:00"/>
    <d v="2025-11-01T00:00:00"/>
    <d v="2025-11-08T00:00:00"/>
    <s v="No"/>
    <m/>
    <d v="2025-11-21T00:00:00"/>
    <n v="2"/>
    <n v="2"/>
    <n v="7"/>
    <n v="4"/>
    <n v="1"/>
    <n v="1"/>
    <n v="1"/>
    <n v="1"/>
    <x v="0"/>
  </r>
  <r>
    <s v="L1860"/>
    <x v="0"/>
    <s v="Warm"/>
    <d v="2025-10-27T00:00:00"/>
    <d v="2025-10-30T00:00:00"/>
    <d v="2025-11-03T00:00:00"/>
    <d v="2025-11-10T00:00:00"/>
    <s v="No"/>
    <m/>
    <d v="2025-12-06T00:00:00"/>
    <n v="3"/>
    <n v="4"/>
    <n v="7"/>
    <n v="2"/>
    <n v="1"/>
    <n v="1"/>
    <n v="1"/>
    <n v="1"/>
    <x v="0"/>
  </r>
  <r>
    <s v="L1861"/>
    <x v="2"/>
    <s v="Warm"/>
    <d v="2025-10-15T00:00:00"/>
    <d v="2025-10-18T00:00:00"/>
    <d v="2025-10-21T00:00:00"/>
    <d v="2025-10-23T00:00:00"/>
    <s v="No"/>
    <m/>
    <d v="2025-11-21T00:00:00"/>
    <n v="3"/>
    <n v="3"/>
    <n v="2"/>
    <n v="5"/>
    <n v="1"/>
    <n v="1"/>
    <n v="1"/>
    <n v="1"/>
    <x v="0"/>
  </r>
  <r>
    <s v="L1862"/>
    <x v="1"/>
    <s v="Hot"/>
    <d v="2025-10-03T00:00:00"/>
    <d v="2025-10-06T00:00:00"/>
    <d v="2025-10-09T00:00:00"/>
    <d v="2025-10-15T00:00:00"/>
    <s v="Yes"/>
    <s v="Financing Issue"/>
    <m/>
    <n v="3"/>
    <n v="3"/>
    <n v="6"/>
    <m/>
    <n v="1"/>
    <n v="1"/>
    <n v="1"/>
    <n v="0"/>
    <x v="2"/>
  </r>
  <r>
    <s v="L1863"/>
    <x v="1"/>
    <s v="Warm"/>
    <d v="2025-10-22T00:00:00"/>
    <d v="2025-10-26T00:00:00"/>
    <d v="2025-10-30T00:00:00"/>
    <d v="2025-11-05T00:00:00"/>
    <s v="No"/>
    <m/>
    <d v="2025-11-18T00:00:00"/>
    <n v="4"/>
    <n v="4"/>
    <n v="6"/>
    <n v="9"/>
    <n v="1"/>
    <n v="1"/>
    <n v="1"/>
    <n v="1"/>
    <x v="3"/>
  </r>
  <r>
    <s v="L1864"/>
    <x v="3"/>
    <s v="Hot"/>
    <d v="2025-10-07T00:00:00"/>
    <d v="2025-10-09T00:00:00"/>
    <d v="2025-10-14T00:00:00"/>
    <d v="2025-10-18T00:00:00"/>
    <s v="No"/>
    <m/>
    <d v="2025-11-06T00:00:00"/>
    <n v="2"/>
    <n v="5"/>
    <n v="4"/>
    <n v="4"/>
    <n v="1"/>
    <n v="1"/>
    <n v="1"/>
    <n v="1"/>
    <x v="0"/>
  </r>
  <r>
    <s v="L1865"/>
    <x v="0"/>
    <s v="Cold"/>
    <d v="2025-10-21T00:00:00"/>
    <m/>
    <m/>
    <m/>
    <s v="Yes"/>
    <s v="Model Unavailable"/>
    <m/>
    <m/>
    <m/>
    <m/>
    <m/>
    <n v="1"/>
    <n v="0"/>
    <n v="0"/>
    <n v="0"/>
    <x v="2"/>
  </r>
  <r>
    <s v="L1866"/>
    <x v="1"/>
    <s v="Warm"/>
    <d v="2025-10-21T00:00:00"/>
    <d v="2025-10-24T00:00:00"/>
    <d v="2025-10-26T00:00:00"/>
    <d v="2025-10-28T00:00:00"/>
    <s v="No"/>
    <m/>
    <d v="2025-11-10T00:00:00"/>
    <n v="3"/>
    <n v="2"/>
    <n v="2"/>
    <n v="9"/>
    <n v="1"/>
    <n v="1"/>
    <n v="1"/>
    <n v="1"/>
    <x v="3"/>
  </r>
  <r>
    <s v="L1867"/>
    <x v="3"/>
    <s v="Hot"/>
    <d v="2025-10-20T00:00:00"/>
    <d v="2025-10-25T00:00:00"/>
    <d v="2025-10-28T00:00:00"/>
    <d v="2025-10-30T00:00:00"/>
    <s v="No"/>
    <m/>
    <d v="2025-11-12T00:00:00"/>
    <n v="5"/>
    <n v="3"/>
    <n v="2"/>
    <n v="9"/>
    <n v="1"/>
    <n v="1"/>
    <n v="1"/>
    <n v="1"/>
    <x v="3"/>
  </r>
  <r>
    <s v="L1868"/>
    <x v="0"/>
    <s v="Warm"/>
    <d v="2025-10-01T00:00:00"/>
    <d v="2025-10-06T00:00:00"/>
    <d v="2025-10-10T00:00:00"/>
    <d v="2025-10-12T00:00:00"/>
    <s v="No"/>
    <m/>
    <d v="2025-11-06T00:00:00"/>
    <n v="5"/>
    <n v="4"/>
    <n v="2"/>
    <n v="5"/>
    <n v="1"/>
    <n v="1"/>
    <n v="1"/>
    <n v="1"/>
    <x v="0"/>
  </r>
  <r>
    <s v="L1869"/>
    <x v="1"/>
    <s v="Warm"/>
    <d v="2025-10-02T00:00:00"/>
    <d v="2025-10-03T00:00:00"/>
    <d v="2025-10-06T00:00:00"/>
    <d v="2025-10-09T00:00:00"/>
    <s v="No"/>
    <m/>
    <d v="2025-10-25T00:00:00"/>
    <n v="1"/>
    <n v="3"/>
    <n v="3"/>
    <n v="1"/>
    <n v="1"/>
    <n v="1"/>
    <n v="1"/>
    <n v="1"/>
    <x v="0"/>
  </r>
  <r>
    <s v="L1870"/>
    <x v="1"/>
    <s v="Warm"/>
    <d v="2025-10-26T00:00:00"/>
    <d v="2025-10-29T00:00:00"/>
    <d v="2025-11-02T00:00:00"/>
    <d v="2025-11-09T00:00:00"/>
    <s v="No"/>
    <m/>
    <d v="2025-12-08T00:00:00"/>
    <n v="3"/>
    <n v="4"/>
    <n v="7"/>
    <n v="8"/>
    <n v="1"/>
    <n v="1"/>
    <n v="1"/>
    <n v="1"/>
    <x v="1"/>
  </r>
  <r>
    <s v="L1871"/>
    <x v="0"/>
    <s v="Warm"/>
    <d v="2025-10-11T00:00:00"/>
    <d v="2025-10-13T00:00:00"/>
    <d v="2025-10-16T00:00:00"/>
    <d v="2025-10-21T00:00:00"/>
    <s v="No"/>
    <m/>
    <d v="2025-11-06T00:00:00"/>
    <n v="2"/>
    <n v="3"/>
    <n v="5"/>
    <n v="7"/>
    <n v="1"/>
    <n v="1"/>
    <n v="1"/>
    <n v="1"/>
    <x v="1"/>
  </r>
  <r>
    <s v="L1872"/>
    <x v="0"/>
    <s v="Warm"/>
    <d v="2025-10-08T00:00:00"/>
    <d v="2025-10-12T00:00:00"/>
    <d v="2025-10-13T00:00:00"/>
    <d v="2025-10-16T00:00:00"/>
    <s v="No"/>
    <m/>
    <d v="2025-11-03T00:00:00"/>
    <n v="4"/>
    <n v="1"/>
    <n v="3"/>
    <n v="5"/>
    <n v="1"/>
    <n v="1"/>
    <n v="1"/>
    <n v="1"/>
    <x v="0"/>
  </r>
  <r>
    <s v="L1873"/>
    <x v="0"/>
    <s v="Hot"/>
    <d v="2025-10-05T00:00:00"/>
    <d v="2025-10-06T00:00:00"/>
    <d v="2025-10-11T00:00:00"/>
    <d v="2025-10-13T00:00:00"/>
    <s v="No"/>
    <m/>
    <d v="2025-11-08T00:00:00"/>
    <n v="1"/>
    <n v="5"/>
    <n v="2"/>
    <n v="4"/>
    <n v="1"/>
    <n v="1"/>
    <n v="1"/>
    <n v="1"/>
    <x v="0"/>
  </r>
  <r>
    <s v="L1874"/>
    <x v="1"/>
    <s v="Hot"/>
    <d v="2025-10-26T00:00:00"/>
    <d v="2025-10-29T00:00:00"/>
    <d v="2025-10-31T00:00:00"/>
    <d v="2025-11-04T00:00:00"/>
    <s v="No"/>
    <m/>
    <d v="2025-11-20T00:00:00"/>
    <n v="3"/>
    <n v="2"/>
    <n v="4"/>
    <n v="3"/>
    <n v="1"/>
    <n v="1"/>
    <n v="1"/>
    <n v="1"/>
    <x v="0"/>
  </r>
  <r>
    <s v="L1875"/>
    <x v="1"/>
    <s v="Hot"/>
    <d v="2025-10-19T00:00:00"/>
    <d v="2025-10-23T00:00:00"/>
    <d v="2025-10-28T00:00:00"/>
    <d v="2025-10-30T00:00:00"/>
    <s v="No"/>
    <m/>
    <d v="2025-11-20T00:00:00"/>
    <n v="4"/>
    <n v="5"/>
    <n v="2"/>
    <n v="6"/>
    <n v="1"/>
    <n v="1"/>
    <n v="1"/>
    <n v="1"/>
    <x v="0"/>
  </r>
  <r>
    <s v="L1876"/>
    <x v="3"/>
    <s v="Warm"/>
    <d v="2025-10-07T00:00:00"/>
    <d v="2025-10-09T00:00:00"/>
    <d v="2025-10-14T00:00:00"/>
    <d v="2025-10-16T00:00:00"/>
    <s v="No"/>
    <m/>
    <d v="2025-11-08T00:00:00"/>
    <n v="2"/>
    <n v="5"/>
    <n v="2"/>
    <n v="2"/>
    <n v="1"/>
    <n v="1"/>
    <n v="1"/>
    <n v="1"/>
    <x v="0"/>
  </r>
  <r>
    <s v="L1877"/>
    <x v="2"/>
    <s v="Cold"/>
    <d v="2025-10-03T00:00:00"/>
    <m/>
    <m/>
    <m/>
    <s v="Yes"/>
    <s v="Financing Issue"/>
    <m/>
    <m/>
    <m/>
    <m/>
    <m/>
    <n v="1"/>
    <n v="0"/>
    <n v="0"/>
    <n v="0"/>
    <x v="2"/>
  </r>
  <r>
    <s v="L1878"/>
    <x v="0"/>
    <s v="Warm"/>
    <d v="2025-10-27T00:00:00"/>
    <d v="2025-10-29T00:00:00"/>
    <d v="2025-10-31T00:00:00"/>
    <d v="2025-11-05T00:00:00"/>
    <s v="No"/>
    <m/>
    <d v="2025-11-24T00:00:00"/>
    <n v="2"/>
    <n v="2"/>
    <n v="5"/>
    <n v="4"/>
    <n v="1"/>
    <n v="1"/>
    <n v="1"/>
    <n v="1"/>
    <x v="0"/>
  </r>
  <r>
    <s v="L1879"/>
    <x v="1"/>
    <s v="Hot"/>
    <d v="2025-10-25T00:00:00"/>
    <d v="2025-10-26T00:00:00"/>
    <d v="2025-10-31T00:00:00"/>
    <d v="2025-11-02T00:00:00"/>
    <s v="No"/>
    <m/>
    <d v="2025-11-17T00:00:00"/>
    <n v="1"/>
    <n v="5"/>
    <n v="2"/>
    <n v="4"/>
    <n v="1"/>
    <n v="1"/>
    <n v="1"/>
    <n v="1"/>
    <x v="0"/>
  </r>
  <r>
    <s v="L1880"/>
    <x v="1"/>
    <s v="Warm"/>
    <d v="2025-10-18T00:00:00"/>
    <d v="2025-10-19T00:00:00"/>
    <d v="2025-10-20T00:00:00"/>
    <d v="2025-10-23T00:00:00"/>
    <s v="No"/>
    <m/>
    <d v="2025-11-03T00:00:00"/>
    <n v="1"/>
    <n v="1"/>
    <n v="3"/>
    <n v="2"/>
    <n v="1"/>
    <n v="1"/>
    <n v="1"/>
    <n v="1"/>
    <x v="0"/>
  </r>
  <r>
    <s v="L1881"/>
    <x v="0"/>
    <s v="Cold"/>
    <d v="2025-10-07T00:00:00"/>
    <m/>
    <m/>
    <m/>
    <s v="Yes"/>
    <s v="Financing Issue"/>
    <m/>
    <m/>
    <m/>
    <m/>
    <m/>
    <n v="1"/>
    <n v="0"/>
    <n v="0"/>
    <n v="0"/>
    <x v="2"/>
  </r>
  <r>
    <s v="L1882"/>
    <x v="2"/>
    <s v="Warm"/>
    <d v="2025-10-19T00:00:00"/>
    <d v="2025-10-22T00:00:00"/>
    <d v="2025-10-26T00:00:00"/>
    <d v="2025-11-01T00:00:00"/>
    <s v="No"/>
    <m/>
    <d v="2025-11-28T00:00:00"/>
    <n v="3"/>
    <n v="4"/>
    <n v="6"/>
    <n v="4"/>
    <n v="1"/>
    <n v="1"/>
    <n v="1"/>
    <n v="1"/>
    <x v="0"/>
  </r>
  <r>
    <s v="L1883"/>
    <x v="0"/>
    <s v="Cold"/>
    <d v="2025-10-07T00:00:00"/>
    <m/>
    <m/>
    <m/>
    <s v="Yes"/>
    <s v="Model Unavailable"/>
    <m/>
    <m/>
    <m/>
    <m/>
    <m/>
    <n v="1"/>
    <n v="0"/>
    <n v="0"/>
    <n v="0"/>
    <x v="2"/>
  </r>
  <r>
    <s v="L1884"/>
    <x v="2"/>
    <s v="Hot"/>
    <d v="2025-10-27T00:00:00"/>
    <d v="2025-10-31T00:00:00"/>
    <d v="2025-11-02T00:00:00"/>
    <d v="2025-11-07T00:00:00"/>
    <s v="No"/>
    <m/>
    <d v="2025-12-02T00:00:00"/>
    <n v="4"/>
    <n v="2"/>
    <n v="5"/>
    <n v="7"/>
    <n v="1"/>
    <n v="1"/>
    <n v="1"/>
    <n v="1"/>
    <x v="1"/>
  </r>
  <r>
    <s v="L1885"/>
    <x v="1"/>
    <s v="Hot"/>
    <d v="2025-10-28T00:00:00"/>
    <d v="2025-11-02T00:00:00"/>
    <d v="2025-11-06T00:00:00"/>
    <d v="2025-11-13T00:00:00"/>
    <s v="No"/>
    <m/>
    <d v="2025-11-29T00:00:00"/>
    <n v="5"/>
    <n v="4"/>
    <n v="7"/>
    <n v="3"/>
    <n v="1"/>
    <n v="1"/>
    <n v="1"/>
    <n v="1"/>
    <x v="0"/>
  </r>
  <r>
    <s v="L1886"/>
    <x v="2"/>
    <s v="Cold"/>
    <d v="2025-10-08T00:00:00"/>
    <m/>
    <m/>
    <m/>
    <s v="Yes"/>
    <s v="Changed Mind"/>
    <m/>
    <m/>
    <m/>
    <m/>
    <m/>
    <n v="1"/>
    <n v="0"/>
    <n v="0"/>
    <n v="0"/>
    <x v="2"/>
  </r>
  <r>
    <s v="L1887"/>
    <x v="3"/>
    <s v="Warm"/>
    <d v="2025-10-11T00:00:00"/>
    <d v="2025-10-15T00:00:00"/>
    <d v="2025-10-18T00:00:00"/>
    <d v="2025-10-23T00:00:00"/>
    <s v="No"/>
    <m/>
    <d v="2025-11-17T00:00:00"/>
    <n v="4"/>
    <n v="3"/>
    <n v="5"/>
    <n v="7"/>
    <n v="1"/>
    <n v="1"/>
    <n v="1"/>
    <n v="1"/>
    <x v="1"/>
  </r>
  <r>
    <s v="L1888"/>
    <x v="1"/>
    <s v="Warm"/>
    <d v="2025-10-25T00:00:00"/>
    <d v="2025-10-27T00:00:00"/>
    <d v="2025-10-28T00:00:00"/>
    <d v="2025-11-02T00:00:00"/>
    <s v="No"/>
    <m/>
    <d v="2025-11-22T00:00:00"/>
    <n v="2"/>
    <n v="1"/>
    <n v="5"/>
    <n v="9"/>
    <n v="1"/>
    <n v="1"/>
    <n v="1"/>
    <n v="1"/>
    <x v="3"/>
  </r>
  <r>
    <s v="L1889"/>
    <x v="3"/>
    <s v="Warm"/>
    <d v="2025-10-05T00:00:00"/>
    <d v="2025-10-07T00:00:00"/>
    <d v="2025-10-11T00:00:00"/>
    <d v="2025-10-13T00:00:00"/>
    <s v="No"/>
    <m/>
    <d v="2025-10-30T00:00:00"/>
    <n v="2"/>
    <n v="4"/>
    <n v="2"/>
    <n v="4"/>
    <n v="1"/>
    <n v="1"/>
    <n v="1"/>
    <n v="1"/>
    <x v="0"/>
  </r>
  <r>
    <s v="L1890"/>
    <x v="0"/>
    <s v="Cold"/>
    <d v="2025-10-26T00:00:00"/>
    <m/>
    <m/>
    <m/>
    <s v="Yes"/>
    <s v="Changed Mind"/>
    <m/>
    <m/>
    <m/>
    <m/>
    <m/>
    <n v="1"/>
    <n v="0"/>
    <n v="0"/>
    <n v="0"/>
    <x v="2"/>
  </r>
  <r>
    <s v="L1891"/>
    <x v="0"/>
    <s v="Warm"/>
    <d v="2025-10-29T00:00:00"/>
    <d v="2025-11-01T00:00:00"/>
    <d v="2025-11-05T00:00:00"/>
    <d v="2025-11-10T00:00:00"/>
    <s v="No"/>
    <m/>
    <d v="2025-11-20T00:00:00"/>
    <n v="3"/>
    <n v="4"/>
    <n v="5"/>
    <n v="7"/>
    <n v="1"/>
    <n v="1"/>
    <n v="1"/>
    <n v="1"/>
    <x v="1"/>
  </r>
  <r>
    <s v="L1892"/>
    <x v="0"/>
    <s v="Warm"/>
    <d v="2025-10-20T00:00:00"/>
    <d v="2025-10-25T00:00:00"/>
    <d v="2025-10-27T00:00:00"/>
    <d v="2025-11-03T00:00:00"/>
    <s v="No"/>
    <m/>
    <d v="2025-11-13T00:00:00"/>
    <n v="5"/>
    <n v="2"/>
    <n v="7"/>
    <n v="7"/>
    <n v="1"/>
    <n v="1"/>
    <n v="1"/>
    <n v="1"/>
    <x v="1"/>
  </r>
  <r>
    <s v="L1893"/>
    <x v="2"/>
    <s v="Warm"/>
    <d v="2025-10-01T00:00:00"/>
    <d v="2025-10-04T00:00:00"/>
    <d v="2025-10-07T00:00:00"/>
    <d v="2025-10-12T00:00:00"/>
    <s v="No"/>
    <m/>
    <d v="2025-10-24T00:00:00"/>
    <n v="3"/>
    <n v="3"/>
    <n v="5"/>
    <n v="7"/>
    <n v="1"/>
    <n v="1"/>
    <n v="1"/>
    <n v="1"/>
    <x v="1"/>
  </r>
  <r>
    <s v="L1894"/>
    <x v="1"/>
    <s v="Warm"/>
    <d v="2025-10-09T00:00:00"/>
    <d v="2025-10-11T00:00:00"/>
    <d v="2025-10-13T00:00:00"/>
    <d v="2025-10-16T00:00:00"/>
    <s v="No"/>
    <m/>
    <d v="2025-10-29T00:00:00"/>
    <n v="2"/>
    <n v="2"/>
    <n v="3"/>
    <n v="1"/>
    <n v="1"/>
    <n v="1"/>
    <n v="1"/>
    <n v="1"/>
    <x v="0"/>
  </r>
  <r>
    <s v="L1895"/>
    <x v="0"/>
    <s v="Warm"/>
    <d v="2025-10-28T00:00:00"/>
    <d v="2025-10-30T00:00:00"/>
    <d v="2025-11-02T00:00:00"/>
    <d v="2025-11-06T00:00:00"/>
    <s v="Yes"/>
    <s v="Price"/>
    <m/>
    <n v="2"/>
    <n v="3"/>
    <n v="4"/>
    <m/>
    <n v="1"/>
    <n v="1"/>
    <n v="1"/>
    <n v="0"/>
    <x v="2"/>
  </r>
  <r>
    <s v="L1896"/>
    <x v="0"/>
    <s v="Cold"/>
    <d v="2025-10-05T00:00:00"/>
    <m/>
    <m/>
    <m/>
    <s v="Yes"/>
    <s v="Price"/>
    <m/>
    <m/>
    <m/>
    <m/>
    <m/>
    <n v="1"/>
    <n v="0"/>
    <n v="0"/>
    <n v="0"/>
    <x v="2"/>
  </r>
  <r>
    <s v="L1897"/>
    <x v="1"/>
    <s v="Cold"/>
    <d v="2025-10-05T00:00:00"/>
    <m/>
    <m/>
    <m/>
    <s v="Yes"/>
    <s v="Changed Mind"/>
    <m/>
    <m/>
    <m/>
    <m/>
    <m/>
    <n v="1"/>
    <n v="0"/>
    <n v="0"/>
    <n v="0"/>
    <x v="2"/>
  </r>
  <r>
    <s v="L1898"/>
    <x v="0"/>
    <s v="Cold"/>
    <d v="2025-10-18T00:00:00"/>
    <m/>
    <m/>
    <m/>
    <s v="Yes"/>
    <s v="Other"/>
    <m/>
    <m/>
    <m/>
    <m/>
    <m/>
    <n v="1"/>
    <n v="0"/>
    <n v="0"/>
    <n v="0"/>
    <x v="2"/>
  </r>
  <r>
    <s v="L1899"/>
    <x v="3"/>
    <s v="Hot"/>
    <d v="2025-10-09T00:00:00"/>
    <d v="2025-10-13T00:00:00"/>
    <d v="2025-10-15T00:00:00"/>
    <d v="2025-10-18T00:00:00"/>
    <s v="No"/>
    <m/>
    <d v="2025-11-15T00:00:00"/>
    <n v="4"/>
    <n v="2"/>
    <n v="3"/>
    <n v="9"/>
    <n v="1"/>
    <n v="1"/>
    <n v="1"/>
    <n v="1"/>
    <x v="3"/>
  </r>
  <r>
    <s v="L1900"/>
    <x v="1"/>
    <s v="Warm"/>
    <d v="2025-10-26T00:00:00"/>
    <d v="2025-10-31T00:00:00"/>
    <d v="2025-11-04T00:00:00"/>
    <d v="2025-11-07T00:00:00"/>
    <s v="No"/>
    <m/>
    <d v="2025-12-02T00:00:00"/>
    <n v="5"/>
    <n v="4"/>
    <n v="3"/>
    <n v="10"/>
    <n v="1"/>
    <n v="1"/>
    <n v="1"/>
    <n v="1"/>
    <x v="3"/>
  </r>
  <r>
    <s v="L1901"/>
    <x v="1"/>
    <s v="Warm"/>
    <d v="2025-10-06T00:00:00"/>
    <d v="2025-10-10T00:00:00"/>
    <d v="2025-10-14T00:00:00"/>
    <d v="2025-10-18T00:00:00"/>
    <s v="No"/>
    <m/>
    <d v="2025-11-01T00:00:00"/>
    <n v="4"/>
    <n v="4"/>
    <n v="4"/>
    <n v="0"/>
    <n v="1"/>
    <n v="1"/>
    <n v="1"/>
    <n v="1"/>
    <x v="0"/>
  </r>
  <r>
    <s v="L1902"/>
    <x v="1"/>
    <s v="Warm"/>
    <d v="2025-10-04T00:00:00"/>
    <d v="2025-10-08T00:00:00"/>
    <d v="2025-10-09T00:00:00"/>
    <d v="2025-10-13T00:00:00"/>
    <s v="No"/>
    <m/>
    <d v="2025-10-25T00:00:00"/>
    <n v="4"/>
    <n v="1"/>
    <n v="4"/>
    <n v="5"/>
    <n v="1"/>
    <n v="1"/>
    <n v="1"/>
    <n v="1"/>
    <x v="0"/>
  </r>
  <r>
    <s v="L1903"/>
    <x v="3"/>
    <s v="Warm"/>
    <d v="2025-10-22T00:00:00"/>
    <d v="2025-10-25T00:00:00"/>
    <d v="2025-10-29T00:00:00"/>
    <d v="2025-11-03T00:00:00"/>
    <s v="No"/>
    <m/>
    <d v="2025-11-29T00:00:00"/>
    <n v="3"/>
    <n v="4"/>
    <n v="5"/>
    <n v="9"/>
    <n v="1"/>
    <n v="1"/>
    <n v="1"/>
    <n v="1"/>
    <x v="3"/>
  </r>
  <r>
    <s v="L1904"/>
    <x v="1"/>
    <s v="Cold"/>
    <d v="2025-10-28T00:00:00"/>
    <m/>
    <m/>
    <m/>
    <s v="Yes"/>
    <s v="Financing Issue"/>
    <m/>
    <m/>
    <m/>
    <m/>
    <m/>
    <n v="1"/>
    <n v="0"/>
    <n v="0"/>
    <n v="0"/>
    <x v="2"/>
  </r>
  <r>
    <s v="L1905"/>
    <x v="3"/>
    <s v="Warm"/>
    <d v="2025-10-01T00:00:00"/>
    <d v="2025-10-05T00:00:00"/>
    <d v="2025-10-10T00:00:00"/>
    <d v="2025-10-13T00:00:00"/>
    <s v="No"/>
    <m/>
    <d v="2025-10-25T00:00:00"/>
    <n v="4"/>
    <n v="5"/>
    <n v="3"/>
    <n v="7"/>
    <n v="1"/>
    <n v="1"/>
    <n v="1"/>
    <n v="1"/>
    <x v="1"/>
  </r>
  <r>
    <s v="L1906"/>
    <x v="1"/>
    <s v="Warm"/>
    <d v="2025-10-05T00:00:00"/>
    <d v="2025-10-06T00:00:00"/>
    <d v="2025-10-10T00:00:00"/>
    <d v="2025-10-12T00:00:00"/>
    <s v="No"/>
    <m/>
    <d v="2025-10-25T00:00:00"/>
    <n v="1"/>
    <n v="4"/>
    <n v="2"/>
    <n v="4"/>
    <n v="1"/>
    <n v="1"/>
    <n v="1"/>
    <n v="1"/>
    <x v="0"/>
  </r>
  <r>
    <s v="L1907"/>
    <x v="2"/>
    <s v="Hot"/>
    <d v="2025-10-01T00:00:00"/>
    <d v="2025-10-02T00:00:00"/>
    <d v="2025-10-07T00:00:00"/>
    <d v="2025-10-13T00:00:00"/>
    <s v="No"/>
    <m/>
    <d v="2025-10-31T00:00:00"/>
    <n v="1"/>
    <n v="5"/>
    <n v="6"/>
    <n v="2"/>
    <n v="1"/>
    <n v="1"/>
    <n v="1"/>
    <n v="1"/>
    <x v="0"/>
  </r>
  <r>
    <s v="L1908"/>
    <x v="0"/>
    <s v="Warm"/>
    <d v="2025-10-12T00:00:00"/>
    <d v="2025-10-16T00:00:00"/>
    <d v="2025-10-20T00:00:00"/>
    <d v="2025-10-26T00:00:00"/>
    <s v="No"/>
    <m/>
    <d v="2025-11-25T00:00:00"/>
    <n v="4"/>
    <n v="4"/>
    <n v="6"/>
    <n v="8"/>
    <n v="1"/>
    <n v="1"/>
    <n v="1"/>
    <n v="1"/>
    <x v="1"/>
  </r>
  <r>
    <s v="L1909"/>
    <x v="2"/>
    <s v="Warm"/>
    <d v="2025-10-26T00:00:00"/>
    <d v="2025-10-31T00:00:00"/>
    <d v="2025-11-05T00:00:00"/>
    <d v="2025-11-11T00:00:00"/>
    <s v="No"/>
    <m/>
    <d v="2025-11-28T00:00:00"/>
    <n v="5"/>
    <n v="5"/>
    <n v="6"/>
    <n v="2"/>
    <n v="1"/>
    <n v="1"/>
    <n v="1"/>
    <n v="1"/>
    <x v="0"/>
  </r>
  <r>
    <s v="L1910"/>
    <x v="0"/>
    <s v="Warm"/>
    <d v="2025-10-26T00:00:00"/>
    <d v="2025-10-30T00:00:00"/>
    <d v="2025-11-04T00:00:00"/>
    <d v="2025-11-07T00:00:00"/>
    <s v="No"/>
    <m/>
    <d v="2025-12-01T00:00:00"/>
    <n v="4"/>
    <n v="5"/>
    <n v="3"/>
    <n v="4"/>
    <n v="1"/>
    <n v="1"/>
    <n v="1"/>
    <n v="1"/>
    <x v="0"/>
  </r>
  <r>
    <s v="L1911"/>
    <x v="3"/>
    <s v="Hot"/>
    <d v="2025-10-08T00:00:00"/>
    <d v="2025-10-10T00:00:00"/>
    <d v="2025-10-14T00:00:00"/>
    <d v="2025-10-21T00:00:00"/>
    <s v="No"/>
    <m/>
    <d v="2025-11-09T00:00:00"/>
    <n v="2"/>
    <n v="4"/>
    <n v="7"/>
    <n v="1"/>
    <n v="1"/>
    <n v="1"/>
    <n v="1"/>
    <n v="1"/>
    <x v="0"/>
  </r>
  <r>
    <s v="L1912"/>
    <x v="2"/>
    <s v="Hot"/>
    <d v="2025-10-19T00:00:00"/>
    <d v="2025-10-21T00:00:00"/>
    <d v="2025-10-26T00:00:00"/>
    <d v="2025-10-30T00:00:00"/>
    <s v="No"/>
    <m/>
    <d v="2025-11-17T00:00:00"/>
    <n v="2"/>
    <n v="5"/>
    <n v="4"/>
    <n v="8"/>
    <n v="1"/>
    <n v="1"/>
    <n v="1"/>
    <n v="1"/>
    <x v="1"/>
  </r>
  <r>
    <s v="L1913"/>
    <x v="1"/>
    <s v="Warm"/>
    <d v="2025-10-11T00:00:00"/>
    <d v="2025-10-16T00:00:00"/>
    <d v="2025-10-17T00:00:00"/>
    <d v="2025-10-22T00:00:00"/>
    <s v="No"/>
    <m/>
    <d v="2025-11-15T00:00:00"/>
    <n v="5"/>
    <n v="1"/>
    <n v="5"/>
    <n v="9"/>
    <n v="1"/>
    <n v="1"/>
    <n v="1"/>
    <n v="1"/>
    <x v="3"/>
  </r>
  <r>
    <s v="L1914"/>
    <x v="0"/>
    <s v="Hot"/>
    <d v="2025-10-01T00:00:00"/>
    <d v="2025-10-04T00:00:00"/>
    <d v="2025-10-07T00:00:00"/>
    <d v="2025-10-12T00:00:00"/>
    <s v="No"/>
    <m/>
    <d v="2025-10-23T00:00:00"/>
    <n v="3"/>
    <n v="3"/>
    <n v="5"/>
    <n v="4"/>
    <n v="1"/>
    <n v="1"/>
    <n v="1"/>
    <n v="1"/>
    <x v="0"/>
  </r>
  <r>
    <s v="L1915"/>
    <x v="0"/>
    <s v="Hot"/>
    <d v="2025-10-06T00:00:00"/>
    <d v="2025-10-07T00:00:00"/>
    <d v="2025-10-12T00:00:00"/>
    <d v="2025-10-18T00:00:00"/>
    <s v="No"/>
    <m/>
    <d v="2025-10-31T00:00:00"/>
    <n v="1"/>
    <n v="5"/>
    <n v="6"/>
    <n v="1"/>
    <n v="1"/>
    <n v="1"/>
    <n v="1"/>
    <n v="1"/>
    <x v="0"/>
  </r>
  <r>
    <s v="L1916"/>
    <x v="2"/>
    <s v="Hot"/>
    <d v="2025-10-09T00:00:00"/>
    <d v="2025-10-10T00:00:00"/>
    <d v="2025-10-15T00:00:00"/>
    <d v="2025-10-20T00:00:00"/>
    <s v="No"/>
    <m/>
    <d v="2025-11-04T00:00:00"/>
    <n v="1"/>
    <n v="5"/>
    <n v="5"/>
    <n v="6"/>
    <n v="1"/>
    <n v="1"/>
    <n v="1"/>
    <n v="1"/>
    <x v="0"/>
  </r>
  <r>
    <s v="L1917"/>
    <x v="3"/>
    <s v="Hot"/>
    <d v="2025-10-02T00:00:00"/>
    <d v="2025-10-05T00:00:00"/>
    <d v="2025-10-06T00:00:00"/>
    <d v="2025-10-08T00:00:00"/>
    <s v="No"/>
    <m/>
    <d v="2025-10-19T00:00:00"/>
    <n v="3"/>
    <n v="1"/>
    <n v="2"/>
    <n v="8"/>
    <n v="1"/>
    <n v="1"/>
    <n v="1"/>
    <n v="1"/>
    <x v="1"/>
  </r>
  <r>
    <s v="L1918"/>
    <x v="2"/>
    <s v="Hot"/>
    <d v="2025-10-05T00:00:00"/>
    <d v="2025-10-09T00:00:00"/>
    <d v="2025-10-10T00:00:00"/>
    <d v="2025-10-12T00:00:00"/>
    <s v="No"/>
    <m/>
    <d v="2025-10-31T00:00:00"/>
    <n v="4"/>
    <n v="1"/>
    <n v="2"/>
    <n v="1"/>
    <n v="1"/>
    <n v="1"/>
    <n v="1"/>
    <n v="1"/>
    <x v="0"/>
  </r>
  <r>
    <s v="L1919"/>
    <x v="3"/>
    <s v="Warm"/>
    <d v="2025-10-24T00:00:00"/>
    <d v="2025-10-29T00:00:00"/>
    <d v="2025-10-31T00:00:00"/>
    <d v="2025-11-04T00:00:00"/>
    <s v="No"/>
    <m/>
    <d v="2025-11-25T00:00:00"/>
    <n v="5"/>
    <n v="2"/>
    <n v="4"/>
    <n v="6"/>
    <n v="1"/>
    <n v="1"/>
    <n v="1"/>
    <n v="1"/>
    <x v="0"/>
  </r>
  <r>
    <s v="L1920"/>
    <x v="3"/>
    <s v="Warm"/>
    <d v="2025-10-14T00:00:00"/>
    <d v="2025-10-18T00:00:00"/>
    <d v="2025-10-21T00:00:00"/>
    <d v="2025-10-26T00:00:00"/>
    <s v="No"/>
    <m/>
    <d v="2025-11-15T00:00:00"/>
    <n v="4"/>
    <n v="3"/>
    <n v="5"/>
    <n v="0"/>
    <n v="1"/>
    <n v="1"/>
    <n v="1"/>
    <n v="1"/>
    <x v="0"/>
  </r>
  <r>
    <s v="L1921"/>
    <x v="0"/>
    <s v="Cold"/>
    <d v="2025-10-17T00:00:00"/>
    <m/>
    <m/>
    <m/>
    <s v="Yes"/>
    <s v="Other"/>
    <m/>
    <m/>
    <m/>
    <m/>
    <m/>
    <n v="1"/>
    <n v="0"/>
    <n v="0"/>
    <n v="0"/>
    <x v="2"/>
  </r>
  <r>
    <s v="L1922"/>
    <x v="2"/>
    <s v="Warm"/>
    <d v="2025-10-04T00:00:00"/>
    <d v="2025-10-07T00:00:00"/>
    <d v="2025-10-09T00:00:00"/>
    <d v="2025-10-12T00:00:00"/>
    <s v="No"/>
    <m/>
    <d v="2025-11-04T00:00:00"/>
    <n v="3"/>
    <n v="2"/>
    <n v="3"/>
    <n v="6"/>
    <n v="1"/>
    <n v="1"/>
    <n v="1"/>
    <n v="1"/>
    <x v="0"/>
  </r>
  <r>
    <s v="L1923"/>
    <x v="2"/>
    <s v="Warm"/>
    <d v="2025-10-24T00:00:00"/>
    <d v="2025-10-29T00:00:00"/>
    <d v="2025-11-03T00:00:00"/>
    <d v="2025-11-08T00:00:00"/>
    <s v="No"/>
    <m/>
    <d v="2025-11-21T00:00:00"/>
    <n v="5"/>
    <n v="5"/>
    <n v="5"/>
    <n v="6"/>
    <n v="1"/>
    <n v="1"/>
    <n v="1"/>
    <n v="1"/>
    <x v="0"/>
  </r>
  <r>
    <s v="L1924"/>
    <x v="3"/>
    <s v="Hot"/>
    <d v="2025-10-03T00:00:00"/>
    <d v="2025-10-04T00:00:00"/>
    <d v="2025-10-05T00:00:00"/>
    <d v="2025-10-08T00:00:00"/>
    <s v="No"/>
    <m/>
    <d v="2025-10-21T00:00:00"/>
    <n v="1"/>
    <n v="1"/>
    <n v="3"/>
    <n v="6"/>
    <n v="1"/>
    <n v="1"/>
    <n v="1"/>
    <n v="1"/>
    <x v="0"/>
  </r>
  <r>
    <s v="L1925"/>
    <x v="2"/>
    <s v="Hot"/>
    <d v="2025-10-16T00:00:00"/>
    <d v="2025-10-17T00:00:00"/>
    <d v="2025-10-22T00:00:00"/>
    <d v="2025-10-29T00:00:00"/>
    <s v="No"/>
    <m/>
    <d v="2025-11-09T00:00:00"/>
    <n v="1"/>
    <n v="5"/>
    <n v="7"/>
    <n v="2"/>
    <n v="1"/>
    <n v="1"/>
    <n v="1"/>
    <n v="1"/>
    <x v="0"/>
  </r>
  <r>
    <s v="L1926"/>
    <x v="1"/>
    <s v="Warm"/>
    <d v="2025-10-15T00:00:00"/>
    <d v="2025-10-19T00:00:00"/>
    <d v="2025-10-23T00:00:00"/>
    <d v="2025-10-29T00:00:00"/>
    <s v="No"/>
    <m/>
    <d v="2025-11-08T00:00:00"/>
    <n v="4"/>
    <n v="4"/>
    <n v="6"/>
    <n v="7"/>
    <n v="1"/>
    <n v="1"/>
    <n v="1"/>
    <n v="1"/>
    <x v="1"/>
  </r>
  <r>
    <s v="L1927"/>
    <x v="1"/>
    <s v="Hot"/>
    <d v="2025-10-25T00:00:00"/>
    <d v="2025-10-27T00:00:00"/>
    <d v="2025-10-30T00:00:00"/>
    <d v="2025-11-02T00:00:00"/>
    <s v="Yes"/>
    <s v="Financing Issue"/>
    <m/>
    <n v="2"/>
    <n v="3"/>
    <n v="3"/>
    <m/>
    <n v="1"/>
    <n v="1"/>
    <n v="1"/>
    <n v="0"/>
    <x v="2"/>
  </r>
  <r>
    <s v="L1928"/>
    <x v="2"/>
    <s v="Warm"/>
    <d v="2025-10-12T00:00:00"/>
    <d v="2025-10-15T00:00:00"/>
    <d v="2025-10-19T00:00:00"/>
    <d v="2025-10-26T00:00:00"/>
    <s v="No"/>
    <m/>
    <d v="2025-11-09T00:00:00"/>
    <n v="3"/>
    <n v="4"/>
    <n v="7"/>
    <n v="8"/>
    <n v="1"/>
    <n v="1"/>
    <n v="1"/>
    <n v="1"/>
    <x v="1"/>
  </r>
  <r>
    <s v="L1929"/>
    <x v="2"/>
    <s v="Warm"/>
    <d v="2025-10-17T00:00:00"/>
    <d v="2025-10-20T00:00:00"/>
    <d v="2025-10-21T00:00:00"/>
    <d v="2025-10-27T00:00:00"/>
    <s v="No"/>
    <m/>
    <d v="2025-11-26T00:00:00"/>
    <n v="3"/>
    <n v="1"/>
    <n v="6"/>
    <n v="1"/>
    <n v="1"/>
    <n v="1"/>
    <n v="1"/>
    <n v="1"/>
    <x v="0"/>
  </r>
  <r>
    <s v="L1930"/>
    <x v="3"/>
    <s v="Warm"/>
    <d v="2025-10-19T00:00:00"/>
    <d v="2025-10-23T00:00:00"/>
    <d v="2025-10-24T00:00:00"/>
    <d v="2025-10-26T00:00:00"/>
    <s v="No"/>
    <m/>
    <d v="2025-11-10T00:00:00"/>
    <n v="4"/>
    <n v="1"/>
    <n v="2"/>
    <n v="7"/>
    <n v="1"/>
    <n v="1"/>
    <n v="1"/>
    <n v="1"/>
    <x v="1"/>
  </r>
  <r>
    <s v="L1931"/>
    <x v="1"/>
    <s v="Hot"/>
    <d v="2025-10-04T00:00:00"/>
    <d v="2025-10-07T00:00:00"/>
    <d v="2025-10-08T00:00:00"/>
    <d v="2025-10-13T00:00:00"/>
    <s v="No"/>
    <m/>
    <d v="2025-11-02T00:00:00"/>
    <n v="3"/>
    <n v="1"/>
    <n v="5"/>
    <n v="9"/>
    <n v="1"/>
    <n v="1"/>
    <n v="1"/>
    <n v="1"/>
    <x v="3"/>
  </r>
  <r>
    <s v="L1932"/>
    <x v="1"/>
    <s v="Warm"/>
    <d v="2025-10-15T00:00:00"/>
    <d v="2025-10-16T00:00:00"/>
    <d v="2025-10-19T00:00:00"/>
    <d v="2025-10-26T00:00:00"/>
    <s v="No"/>
    <m/>
    <d v="2025-11-16T00:00:00"/>
    <n v="1"/>
    <n v="3"/>
    <n v="7"/>
    <n v="2"/>
    <n v="1"/>
    <n v="1"/>
    <n v="1"/>
    <n v="1"/>
    <x v="0"/>
  </r>
  <r>
    <s v="L1933"/>
    <x v="0"/>
    <s v="Warm"/>
    <d v="2025-10-17T00:00:00"/>
    <d v="2025-10-21T00:00:00"/>
    <d v="2025-10-23T00:00:00"/>
    <d v="2025-10-27T00:00:00"/>
    <s v="Yes"/>
    <s v="Changed Mind"/>
    <m/>
    <n v="4"/>
    <n v="2"/>
    <n v="4"/>
    <m/>
    <n v="1"/>
    <n v="1"/>
    <n v="1"/>
    <n v="0"/>
    <x v="2"/>
  </r>
  <r>
    <s v="L1934"/>
    <x v="3"/>
    <s v="Hot"/>
    <d v="2025-10-08T00:00:00"/>
    <d v="2025-10-09T00:00:00"/>
    <d v="2025-10-14T00:00:00"/>
    <d v="2025-10-19T00:00:00"/>
    <s v="No"/>
    <m/>
    <d v="2025-11-12T00:00:00"/>
    <n v="1"/>
    <n v="5"/>
    <n v="5"/>
    <n v="9"/>
    <n v="1"/>
    <n v="1"/>
    <n v="1"/>
    <n v="1"/>
    <x v="3"/>
  </r>
  <r>
    <s v="L1935"/>
    <x v="0"/>
    <s v="Warm"/>
    <d v="2025-10-31T00:00:00"/>
    <d v="2025-11-05T00:00:00"/>
    <d v="2025-11-10T00:00:00"/>
    <d v="2025-11-16T00:00:00"/>
    <s v="No"/>
    <m/>
    <d v="2025-12-15T00:00:00"/>
    <n v="5"/>
    <n v="5"/>
    <n v="6"/>
    <n v="2"/>
    <n v="1"/>
    <n v="1"/>
    <n v="1"/>
    <n v="1"/>
    <x v="0"/>
  </r>
  <r>
    <s v="L1936"/>
    <x v="1"/>
    <s v="Warm"/>
    <d v="2025-10-20T00:00:00"/>
    <d v="2025-10-25T00:00:00"/>
    <d v="2025-10-30T00:00:00"/>
    <d v="2025-11-04T00:00:00"/>
    <s v="No"/>
    <m/>
    <d v="2025-11-22T00:00:00"/>
    <n v="5"/>
    <n v="5"/>
    <n v="5"/>
    <n v="4"/>
    <n v="1"/>
    <n v="1"/>
    <n v="1"/>
    <n v="1"/>
    <x v="0"/>
  </r>
  <r>
    <s v="L1937"/>
    <x v="3"/>
    <s v="Cold"/>
    <d v="2025-10-02T00:00:00"/>
    <m/>
    <m/>
    <m/>
    <s v="Yes"/>
    <s v="Price"/>
    <m/>
    <m/>
    <m/>
    <m/>
    <m/>
    <n v="1"/>
    <n v="0"/>
    <n v="0"/>
    <n v="0"/>
    <x v="2"/>
  </r>
  <r>
    <s v="L1938"/>
    <x v="2"/>
    <s v="Hot"/>
    <d v="2025-10-24T00:00:00"/>
    <d v="2025-10-26T00:00:00"/>
    <d v="2025-10-31T00:00:00"/>
    <d v="2025-11-04T00:00:00"/>
    <s v="No"/>
    <m/>
    <d v="2025-11-16T00:00:00"/>
    <n v="2"/>
    <n v="5"/>
    <n v="4"/>
    <n v="7"/>
    <n v="1"/>
    <n v="1"/>
    <n v="1"/>
    <n v="1"/>
    <x v="1"/>
  </r>
  <r>
    <s v="L1939"/>
    <x v="3"/>
    <s v="Cold"/>
    <d v="2025-10-26T00:00:00"/>
    <m/>
    <m/>
    <m/>
    <s v="Yes"/>
    <s v="Price"/>
    <m/>
    <m/>
    <m/>
    <m/>
    <m/>
    <n v="1"/>
    <n v="0"/>
    <n v="0"/>
    <n v="0"/>
    <x v="2"/>
  </r>
  <r>
    <s v="L1940"/>
    <x v="2"/>
    <s v="Warm"/>
    <d v="2025-10-30T00:00:00"/>
    <d v="2025-11-02T00:00:00"/>
    <d v="2025-11-07T00:00:00"/>
    <d v="2025-11-13T00:00:00"/>
    <s v="No"/>
    <m/>
    <d v="2025-12-04T00:00:00"/>
    <n v="3"/>
    <n v="5"/>
    <n v="6"/>
    <n v="8"/>
    <n v="1"/>
    <n v="1"/>
    <n v="1"/>
    <n v="1"/>
    <x v="1"/>
  </r>
  <r>
    <s v="L1941"/>
    <x v="2"/>
    <s v="Warm"/>
    <d v="2025-10-28T00:00:00"/>
    <d v="2025-11-02T00:00:00"/>
    <d v="2025-11-04T00:00:00"/>
    <d v="2025-11-10T00:00:00"/>
    <s v="No"/>
    <m/>
    <d v="2025-11-30T00:00:00"/>
    <n v="5"/>
    <n v="2"/>
    <n v="6"/>
    <n v="5"/>
    <n v="1"/>
    <n v="1"/>
    <n v="1"/>
    <n v="1"/>
    <x v="0"/>
  </r>
  <r>
    <s v="L1942"/>
    <x v="3"/>
    <s v="Hot"/>
    <d v="2025-10-22T00:00:00"/>
    <d v="2025-10-25T00:00:00"/>
    <d v="2025-10-29T00:00:00"/>
    <d v="2025-11-02T00:00:00"/>
    <s v="No"/>
    <m/>
    <d v="2025-11-17T00:00:00"/>
    <n v="3"/>
    <n v="4"/>
    <n v="4"/>
    <n v="4"/>
    <n v="1"/>
    <n v="1"/>
    <n v="1"/>
    <n v="1"/>
    <x v="0"/>
  </r>
  <r>
    <s v="L1943"/>
    <x v="2"/>
    <s v="Warm"/>
    <d v="2025-10-17T00:00:00"/>
    <d v="2025-10-18T00:00:00"/>
    <d v="2025-10-21T00:00:00"/>
    <d v="2025-10-26T00:00:00"/>
    <s v="No"/>
    <m/>
    <d v="2025-11-08T00:00:00"/>
    <n v="1"/>
    <n v="3"/>
    <n v="5"/>
    <n v="2"/>
    <n v="1"/>
    <n v="1"/>
    <n v="1"/>
    <n v="1"/>
    <x v="0"/>
  </r>
  <r>
    <s v="L1944"/>
    <x v="0"/>
    <s v="Hot"/>
    <d v="2025-10-10T00:00:00"/>
    <d v="2025-10-14T00:00:00"/>
    <d v="2025-10-18T00:00:00"/>
    <d v="2025-10-22T00:00:00"/>
    <s v="No"/>
    <m/>
    <d v="2025-11-13T00:00:00"/>
    <n v="4"/>
    <n v="4"/>
    <n v="4"/>
    <n v="3"/>
    <n v="1"/>
    <n v="1"/>
    <n v="1"/>
    <n v="1"/>
    <x v="0"/>
  </r>
  <r>
    <s v="L1945"/>
    <x v="1"/>
    <s v="Warm"/>
    <d v="2025-10-15T00:00:00"/>
    <d v="2025-10-20T00:00:00"/>
    <d v="2025-10-24T00:00:00"/>
    <d v="2025-10-27T00:00:00"/>
    <s v="No"/>
    <m/>
    <d v="2025-11-18T00:00:00"/>
    <n v="5"/>
    <n v="4"/>
    <n v="3"/>
    <n v="6"/>
    <n v="1"/>
    <n v="1"/>
    <n v="1"/>
    <n v="1"/>
    <x v="0"/>
  </r>
  <r>
    <s v="L1946"/>
    <x v="2"/>
    <s v="Hot"/>
    <d v="2025-10-21T00:00:00"/>
    <d v="2025-10-25T00:00:00"/>
    <d v="2025-10-30T00:00:00"/>
    <d v="2025-11-01T00:00:00"/>
    <s v="No"/>
    <m/>
    <d v="2025-11-25T00:00:00"/>
    <n v="4"/>
    <n v="5"/>
    <n v="2"/>
    <n v="6"/>
    <n v="1"/>
    <n v="1"/>
    <n v="1"/>
    <n v="1"/>
    <x v="0"/>
  </r>
  <r>
    <s v="L1947"/>
    <x v="0"/>
    <s v="Cold"/>
    <d v="2025-10-31T00:00:00"/>
    <m/>
    <m/>
    <m/>
    <s v="Yes"/>
    <s v="Other"/>
    <m/>
    <m/>
    <m/>
    <m/>
    <m/>
    <n v="1"/>
    <n v="0"/>
    <n v="0"/>
    <n v="0"/>
    <x v="2"/>
  </r>
  <r>
    <s v="L1948"/>
    <x v="2"/>
    <s v="Warm"/>
    <d v="2025-10-01T00:00:00"/>
    <d v="2025-10-06T00:00:00"/>
    <d v="2025-10-11T00:00:00"/>
    <d v="2025-10-15T00:00:00"/>
    <s v="No"/>
    <m/>
    <d v="2025-11-02T00:00:00"/>
    <n v="5"/>
    <n v="5"/>
    <n v="4"/>
    <n v="8"/>
    <n v="1"/>
    <n v="1"/>
    <n v="1"/>
    <n v="1"/>
    <x v="1"/>
  </r>
  <r>
    <s v="L1949"/>
    <x v="1"/>
    <s v="Warm"/>
    <d v="2025-10-02T00:00:00"/>
    <d v="2025-10-05T00:00:00"/>
    <d v="2025-10-07T00:00:00"/>
    <d v="2025-10-13T00:00:00"/>
    <s v="No"/>
    <m/>
    <d v="2025-11-04T00:00:00"/>
    <n v="3"/>
    <n v="2"/>
    <n v="6"/>
    <n v="2"/>
    <n v="1"/>
    <n v="1"/>
    <n v="1"/>
    <n v="1"/>
    <x v="0"/>
  </r>
  <r>
    <s v="L1950"/>
    <x v="0"/>
    <s v="Hot"/>
    <d v="2025-10-16T00:00:00"/>
    <d v="2025-10-21T00:00:00"/>
    <d v="2025-10-24T00:00:00"/>
    <d v="2025-10-27T00:00:00"/>
    <s v="No"/>
    <m/>
    <d v="2025-11-21T00:00:00"/>
    <n v="5"/>
    <n v="3"/>
    <n v="3"/>
    <n v="3"/>
    <n v="1"/>
    <n v="1"/>
    <n v="1"/>
    <n v="1"/>
    <x v="0"/>
  </r>
  <r>
    <s v="L1951"/>
    <x v="1"/>
    <s v="Hot"/>
    <d v="2025-10-28T00:00:00"/>
    <d v="2025-11-02T00:00:00"/>
    <d v="2025-11-03T00:00:00"/>
    <d v="2025-11-05T00:00:00"/>
    <s v="No"/>
    <m/>
    <d v="2025-11-28T00:00:00"/>
    <n v="5"/>
    <n v="1"/>
    <n v="2"/>
    <n v="1"/>
    <n v="1"/>
    <n v="1"/>
    <n v="1"/>
    <n v="1"/>
    <x v="0"/>
  </r>
  <r>
    <s v="L1952"/>
    <x v="1"/>
    <s v="Warm"/>
    <d v="2025-10-13T00:00:00"/>
    <d v="2025-10-14T00:00:00"/>
    <d v="2025-10-18T00:00:00"/>
    <d v="2025-10-22T00:00:00"/>
    <s v="No"/>
    <m/>
    <d v="2025-11-21T00:00:00"/>
    <n v="1"/>
    <n v="4"/>
    <n v="4"/>
    <n v="1"/>
    <n v="1"/>
    <n v="1"/>
    <n v="1"/>
    <n v="1"/>
    <x v="0"/>
  </r>
  <r>
    <s v="L1953"/>
    <x v="0"/>
    <s v="Warm"/>
    <d v="2025-10-14T00:00:00"/>
    <d v="2025-10-16T00:00:00"/>
    <d v="2025-10-17T00:00:00"/>
    <d v="2025-10-19T00:00:00"/>
    <s v="No"/>
    <m/>
    <d v="2025-11-03T00:00:00"/>
    <n v="2"/>
    <n v="1"/>
    <n v="2"/>
    <n v="6"/>
    <n v="1"/>
    <n v="1"/>
    <n v="1"/>
    <n v="1"/>
    <x v="0"/>
  </r>
  <r>
    <s v="L1954"/>
    <x v="0"/>
    <s v="Hot"/>
    <d v="2025-10-22T00:00:00"/>
    <d v="2025-10-23T00:00:00"/>
    <d v="2025-10-26T00:00:00"/>
    <d v="2025-10-31T00:00:00"/>
    <s v="No"/>
    <m/>
    <d v="2025-11-13T00:00:00"/>
    <n v="1"/>
    <n v="3"/>
    <n v="5"/>
    <n v="1"/>
    <n v="1"/>
    <n v="1"/>
    <n v="1"/>
    <n v="1"/>
    <x v="0"/>
  </r>
  <r>
    <s v="L1955"/>
    <x v="0"/>
    <s v="Warm"/>
    <d v="2025-10-04T00:00:00"/>
    <d v="2025-10-08T00:00:00"/>
    <d v="2025-10-12T00:00:00"/>
    <d v="2025-10-18T00:00:00"/>
    <s v="No"/>
    <m/>
    <d v="2025-11-01T00:00:00"/>
    <n v="4"/>
    <n v="4"/>
    <n v="6"/>
    <n v="2"/>
    <n v="1"/>
    <n v="1"/>
    <n v="1"/>
    <n v="1"/>
    <x v="0"/>
  </r>
  <r>
    <s v="L1956"/>
    <x v="3"/>
    <s v="Cold"/>
    <d v="2025-10-16T00:00:00"/>
    <m/>
    <m/>
    <m/>
    <s v="Yes"/>
    <s v="Price"/>
    <m/>
    <m/>
    <m/>
    <m/>
    <m/>
    <n v="1"/>
    <n v="0"/>
    <n v="0"/>
    <n v="0"/>
    <x v="2"/>
  </r>
  <r>
    <s v="L1957"/>
    <x v="0"/>
    <s v="Warm"/>
    <d v="2025-10-23T00:00:00"/>
    <d v="2025-10-26T00:00:00"/>
    <d v="2025-10-27T00:00:00"/>
    <d v="2025-10-31T00:00:00"/>
    <s v="No"/>
    <m/>
    <d v="2025-11-11T00:00:00"/>
    <n v="3"/>
    <n v="1"/>
    <n v="4"/>
    <n v="10"/>
    <n v="1"/>
    <n v="1"/>
    <n v="1"/>
    <n v="1"/>
    <x v="3"/>
  </r>
  <r>
    <s v="L1958"/>
    <x v="0"/>
    <s v="Warm"/>
    <d v="2025-10-30T00:00:00"/>
    <d v="2025-11-02T00:00:00"/>
    <d v="2025-11-03T00:00:00"/>
    <d v="2025-11-09T00:00:00"/>
    <s v="No"/>
    <m/>
    <d v="2025-11-24T00:00:00"/>
    <n v="3"/>
    <n v="1"/>
    <n v="6"/>
    <n v="1"/>
    <n v="1"/>
    <n v="1"/>
    <n v="1"/>
    <n v="1"/>
    <x v="0"/>
  </r>
  <r>
    <s v="L1959"/>
    <x v="0"/>
    <s v="Cold"/>
    <d v="2025-10-15T00:00:00"/>
    <m/>
    <m/>
    <m/>
    <s v="Yes"/>
    <s v="Changed Mind"/>
    <m/>
    <m/>
    <m/>
    <m/>
    <m/>
    <n v="1"/>
    <n v="0"/>
    <n v="0"/>
    <n v="0"/>
    <x v="2"/>
  </r>
  <r>
    <s v="L1960"/>
    <x v="0"/>
    <s v="Hot"/>
    <d v="2025-10-03T00:00:00"/>
    <d v="2025-10-08T00:00:00"/>
    <d v="2025-10-10T00:00:00"/>
    <d v="2025-10-13T00:00:00"/>
    <s v="No"/>
    <m/>
    <d v="2025-10-26T00:00:00"/>
    <n v="5"/>
    <n v="2"/>
    <n v="3"/>
    <n v="8"/>
    <n v="1"/>
    <n v="1"/>
    <n v="1"/>
    <n v="1"/>
    <x v="1"/>
  </r>
  <r>
    <s v="L1961"/>
    <x v="2"/>
    <s v="Warm"/>
    <d v="2025-10-29T00:00:00"/>
    <d v="2025-11-01T00:00:00"/>
    <d v="2025-11-04T00:00:00"/>
    <d v="2025-11-07T00:00:00"/>
    <s v="No"/>
    <m/>
    <d v="2025-11-30T00:00:00"/>
    <n v="3"/>
    <n v="3"/>
    <n v="3"/>
    <n v="6"/>
    <n v="1"/>
    <n v="1"/>
    <n v="1"/>
    <n v="1"/>
    <x v="0"/>
  </r>
  <r>
    <s v="L1962"/>
    <x v="3"/>
    <s v="Cold"/>
    <d v="2025-10-03T00:00:00"/>
    <m/>
    <m/>
    <m/>
    <s v="Yes"/>
    <s v="Other"/>
    <m/>
    <m/>
    <m/>
    <m/>
    <m/>
    <n v="1"/>
    <n v="0"/>
    <n v="0"/>
    <n v="0"/>
    <x v="2"/>
  </r>
  <r>
    <s v="L1963"/>
    <x v="1"/>
    <s v="Hot"/>
    <d v="2025-10-11T00:00:00"/>
    <d v="2025-10-13T00:00:00"/>
    <d v="2025-10-16T00:00:00"/>
    <d v="2025-10-18T00:00:00"/>
    <s v="No"/>
    <m/>
    <d v="2025-11-15T00:00:00"/>
    <n v="2"/>
    <n v="3"/>
    <n v="2"/>
    <n v="3"/>
    <n v="1"/>
    <n v="1"/>
    <n v="1"/>
    <n v="1"/>
    <x v="0"/>
  </r>
  <r>
    <s v="L1964"/>
    <x v="0"/>
    <s v="Warm"/>
    <d v="2025-10-20T00:00:00"/>
    <d v="2025-10-22T00:00:00"/>
    <d v="2025-10-25T00:00:00"/>
    <d v="2025-10-28T00:00:00"/>
    <s v="No"/>
    <m/>
    <d v="2025-11-22T00:00:00"/>
    <n v="2"/>
    <n v="3"/>
    <n v="3"/>
    <n v="9"/>
    <n v="1"/>
    <n v="1"/>
    <n v="1"/>
    <n v="1"/>
    <x v="3"/>
  </r>
  <r>
    <s v="L1965"/>
    <x v="2"/>
    <s v="Warm"/>
    <d v="2025-10-05T00:00:00"/>
    <d v="2025-10-10T00:00:00"/>
    <d v="2025-10-14T00:00:00"/>
    <d v="2025-10-21T00:00:00"/>
    <s v="No"/>
    <m/>
    <d v="2025-11-18T00:00:00"/>
    <n v="5"/>
    <n v="4"/>
    <n v="7"/>
    <n v="7"/>
    <n v="1"/>
    <n v="1"/>
    <n v="1"/>
    <n v="1"/>
    <x v="1"/>
  </r>
  <r>
    <s v="L1966"/>
    <x v="2"/>
    <s v="Warm"/>
    <d v="2025-10-03T00:00:00"/>
    <d v="2025-10-08T00:00:00"/>
    <d v="2025-10-10T00:00:00"/>
    <d v="2025-10-13T00:00:00"/>
    <s v="No"/>
    <m/>
    <d v="2025-11-06T00:00:00"/>
    <n v="5"/>
    <n v="2"/>
    <n v="3"/>
    <n v="4"/>
    <n v="1"/>
    <n v="1"/>
    <n v="1"/>
    <n v="1"/>
    <x v="0"/>
  </r>
  <r>
    <s v="L1967"/>
    <x v="2"/>
    <s v="Warm"/>
    <d v="2025-10-05T00:00:00"/>
    <d v="2025-10-09T00:00:00"/>
    <d v="2025-10-14T00:00:00"/>
    <d v="2025-10-18T00:00:00"/>
    <s v="No"/>
    <m/>
    <d v="2025-11-02T00:00:00"/>
    <n v="4"/>
    <n v="5"/>
    <n v="4"/>
    <n v="7"/>
    <n v="1"/>
    <n v="1"/>
    <n v="1"/>
    <n v="1"/>
    <x v="1"/>
  </r>
  <r>
    <s v="L1968"/>
    <x v="1"/>
    <s v="Cold"/>
    <d v="2025-10-09T00:00:00"/>
    <m/>
    <m/>
    <m/>
    <s v="Yes"/>
    <s v="Financing Issue"/>
    <m/>
    <m/>
    <m/>
    <m/>
    <m/>
    <n v="1"/>
    <n v="0"/>
    <n v="0"/>
    <n v="0"/>
    <x v="2"/>
  </r>
  <r>
    <s v="L1969"/>
    <x v="0"/>
    <s v="Warm"/>
    <d v="2025-10-20T00:00:00"/>
    <d v="2025-10-25T00:00:00"/>
    <d v="2025-10-29T00:00:00"/>
    <d v="2025-11-04T00:00:00"/>
    <s v="No"/>
    <m/>
    <d v="2025-12-03T00:00:00"/>
    <n v="5"/>
    <n v="4"/>
    <n v="6"/>
    <n v="6"/>
    <n v="1"/>
    <n v="1"/>
    <n v="1"/>
    <n v="1"/>
    <x v="0"/>
  </r>
  <r>
    <s v="L1970"/>
    <x v="3"/>
    <s v="Hot"/>
    <d v="2025-10-21T00:00:00"/>
    <d v="2025-10-22T00:00:00"/>
    <d v="2025-10-25T00:00:00"/>
    <d v="2025-11-01T00:00:00"/>
    <s v="No"/>
    <m/>
    <d v="2025-11-23T00:00:00"/>
    <n v="1"/>
    <n v="3"/>
    <n v="7"/>
    <n v="10"/>
    <n v="1"/>
    <n v="1"/>
    <n v="1"/>
    <n v="1"/>
    <x v="3"/>
  </r>
  <r>
    <s v="L1971"/>
    <x v="3"/>
    <s v="Cold"/>
    <d v="2025-10-19T00:00:00"/>
    <m/>
    <m/>
    <m/>
    <s v="Yes"/>
    <s v="Price"/>
    <m/>
    <m/>
    <m/>
    <m/>
    <m/>
    <n v="1"/>
    <n v="0"/>
    <n v="0"/>
    <n v="0"/>
    <x v="2"/>
  </r>
  <r>
    <s v="L1972"/>
    <x v="2"/>
    <s v="Hot"/>
    <d v="2025-10-18T00:00:00"/>
    <d v="2025-10-19T00:00:00"/>
    <d v="2025-10-23T00:00:00"/>
    <d v="2025-10-25T00:00:00"/>
    <s v="No"/>
    <m/>
    <d v="2025-11-15T00:00:00"/>
    <n v="1"/>
    <n v="4"/>
    <n v="2"/>
    <n v="10"/>
    <n v="1"/>
    <n v="1"/>
    <n v="1"/>
    <n v="1"/>
    <x v="3"/>
  </r>
  <r>
    <s v="L1973"/>
    <x v="1"/>
    <s v="Warm"/>
    <d v="2025-10-23T00:00:00"/>
    <d v="2025-10-24T00:00:00"/>
    <d v="2025-10-25T00:00:00"/>
    <d v="2025-10-28T00:00:00"/>
    <s v="No"/>
    <m/>
    <d v="2025-11-26T00:00:00"/>
    <n v="1"/>
    <n v="1"/>
    <n v="3"/>
    <n v="9"/>
    <n v="1"/>
    <n v="1"/>
    <n v="1"/>
    <n v="1"/>
    <x v="3"/>
  </r>
  <r>
    <s v="L1974"/>
    <x v="1"/>
    <s v="Warm"/>
    <d v="2025-10-11T00:00:00"/>
    <d v="2025-10-13T00:00:00"/>
    <d v="2025-10-17T00:00:00"/>
    <d v="2025-10-23T00:00:00"/>
    <s v="No"/>
    <m/>
    <d v="2025-11-02T00:00:00"/>
    <n v="2"/>
    <n v="4"/>
    <n v="6"/>
    <n v="7"/>
    <n v="1"/>
    <n v="1"/>
    <n v="1"/>
    <n v="1"/>
    <x v="1"/>
  </r>
  <r>
    <s v="L1975"/>
    <x v="1"/>
    <s v="Warm"/>
    <d v="2025-10-13T00:00:00"/>
    <d v="2025-10-16T00:00:00"/>
    <d v="2025-10-20T00:00:00"/>
    <d v="2025-10-25T00:00:00"/>
    <s v="Yes"/>
    <s v="Model Unavailable"/>
    <m/>
    <n v="3"/>
    <n v="4"/>
    <n v="5"/>
    <m/>
    <n v="1"/>
    <n v="1"/>
    <n v="1"/>
    <n v="0"/>
    <x v="2"/>
  </r>
  <r>
    <s v="L1976"/>
    <x v="3"/>
    <s v="Warm"/>
    <d v="2025-10-20T00:00:00"/>
    <d v="2025-10-24T00:00:00"/>
    <d v="2025-10-27T00:00:00"/>
    <d v="2025-10-31T00:00:00"/>
    <s v="Yes"/>
    <s v="Price"/>
    <m/>
    <n v="4"/>
    <n v="3"/>
    <n v="4"/>
    <m/>
    <n v="1"/>
    <n v="1"/>
    <n v="1"/>
    <n v="0"/>
    <x v="2"/>
  </r>
  <r>
    <s v="L1977"/>
    <x v="2"/>
    <s v="Cold"/>
    <d v="2025-10-17T00:00:00"/>
    <m/>
    <m/>
    <m/>
    <s v="Yes"/>
    <s v="Financing Issue"/>
    <m/>
    <m/>
    <m/>
    <m/>
    <m/>
    <n v="1"/>
    <n v="0"/>
    <n v="0"/>
    <n v="0"/>
    <x v="2"/>
  </r>
  <r>
    <s v="L1978"/>
    <x v="0"/>
    <s v="Warm"/>
    <d v="2025-10-10T00:00:00"/>
    <d v="2025-10-15T00:00:00"/>
    <d v="2025-10-16T00:00:00"/>
    <d v="2025-10-19T00:00:00"/>
    <s v="No"/>
    <m/>
    <d v="2025-11-02T00:00:00"/>
    <n v="5"/>
    <n v="1"/>
    <n v="3"/>
    <n v="8"/>
    <n v="1"/>
    <n v="1"/>
    <n v="1"/>
    <n v="1"/>
    <x v="1"/>
  </r>
  <r>
    <s v="L1979"/>
    <x v="3"/>
    <s v="Warm"/>
    <d v="2025-10-15T00:00:00"/>
    <d v="2025-10-19T00:00:00"/>
    <d v="2025-10-22T00:00:00"/>
    <d v="2025-10-25T00:00:00"/>
    <s v="No"/>
    <m/>
    <d v="2025-11-19T00:00:00"/>
    <n v="4"/>
    <n v="3"/>
    <n v="3"/>
    <n v="5"/>
    <n v="1"/>
    <n v="1"/>
    <n v="1"/>
    <n v="1"/>
    <x v="0"/>
  </r>
  <r>
    <s v="L1980"/>
    <x v="2"/>
    <s v="Hot"/>
    <d v="2025-10-17T00:00:00"/>
    <d v="2025-10-19T00:00:00"/>
    <d v="2025-10-20T00:00:00"/>
    <d v="2025-10-23T00:00:00"/>
    <s v="No"/>
    <m/>
    <d v="2025-11-17T00:00:00"/>
    <n v="2"/>
    <n v="1"/>
    <n v="3"/>
    <n v="0"/>
    <n v="1"/>
    <n v="1"/>
    <n v="1"/>
    <n v="1"/>
    <x v="0"/>
  </r>
  <r>
    <s v="L1981"/>
    <x v="2"/>
    <s v="Cold"/>
    <d v="2025-10-20T00:00:00"/>
    <m/>
    <m/>
    <m/>
    <s v="Yes"/>
    <s v="Other"/>
    <m/>
    <m/>
    <m/>
    <m/>
    <m/>
    <n v="1"/>
    <n v="0"/>
    <n v="0"/>
    <n v="0"/>
    <x v="2"/>
  </r>
  <r>
    <s v="L1982"/>
    <x v="0"/>
    <s v="Cold"/>
    <d v="2025-10-14T00:00:00"/>
    <m/>
    <m/>
    <m/>
    <s v="Yes"/>
    <s v="Financing Issue"/>
    <m/>
    <m/>
    <m/>
    <m/>
    <m/>
    <n v="1"/>
    <n v="0"/>
    <n v="0"/>
    <n v="0"/>
    <x v="2"/>
  </r>
  <r>
    <s v="L1983"/>
    <x v="0"/>
    <s v="Warm"/>
    <d v="2025-10-04T00:00:00"/>
    <d v="2025-10-09T00:00:00"/>
    <d v="2025-10-10T00:00:00"/>
    <d v="2025-10-16T00:00:00"/>
    <s v="No"/>
    <m/>
    <d v="2025-10-29T00:00:00"/>
    <n v="5"/>
    <n v="1"/>
    <n v="6"/>
    <n v="2"/>
    <n v="1"/>
    <n v="1"/>
    <n v="1"/>
    <n v="1"/>
    <x v="0"/>
  </r>
  <r>
    <s v="L1984"/>
    <x v="0"/>
    <s v="Hot"/>
    <d v="2025-10-26T00:00:00"/>
    <d v="2025-10-31T00:00:00"/>
    <d v="2025-11-01T00:00:00"/>
    <d v="2025-11-05T00:00:00"/>
    <s v="No"/>
    <m/>
    <d v="2025-11-28T00:00:00"/>
    <n v="5"/>
    <n v="1"/>
    <n v="4"/>
    <n v="2"/>
    <n v="1"/>
    <n v="1"/>
    <n v="1"/>
    <n v="1"/>
    <x v="0"/>
  </r>
  <r>
    <s v="L1985"/>
    <x v="1"/>
    <s v="Hot"/>
    <d v="2025-10-23T00:00:00"/>
    <d v="2025-10-25T00:00:00"/>
    <d v="2025-10-28T00:00:00"/>
    <d v="2025-11-04T00:00:00"/>
    <s v="No"/>
    <m/>
    <d v="2025-11-28T00:00:00"/>
    <n v="2"/>
    <n v="3"/>
    <n v="7"/>
    <n v="7"/>
    <n v="1"/>
    <n v="1"/>
    <n v="1"/>
    <n v="1"/>
    <x v="1"/>
  </r>
  <r>
    <s v="L1986"/>
    <x v="0"/>
    <s v="Hot"/>
    <d v="2025-10-04T00:00:00"/>
    <d v="2025-10-07T00:00:00"/>
    <d v="2025-10-08T00:00:00"/>
    <d v="2025-10-15T00:00:00"/>
    <s v="No"/>
    <m/>
    <d v="2025-10-26T00:00:00"/>
    <n v="3"/>
    <n v="1"/>
    <n v="7"/>
    <n v="8"/>
    <n v="1"/>
    <n v="1"/>
    <n v="1"/>
    <n v="1"/>
    <x v="1"/>
  </r>
  <r>
    <s v="L1987"/>
    <x v="2"/>
    <s v="Hot"/>
    <d v="2025-10-28T00:00:00"/>
    <d v="2025-11-02T00:00:00"/>
    <d v="2025-11-04T00:00:00"/>
    <d v="2025-11-08T00:00:00"/>
    <s v="No"/>
    <m/>
    <d v="2025-11-20T00:00:00"/>
    <n v="5"/>
    <n v="2"/>
    <n v="4"/>
    <n v="0"/>
    <n v="1"/>
    <n v="1"/>
    <n v="1"/>
    <n v="1"/>
    <x v="0"/>
  </r>
  <r>
    <s v="L1988"/>
    <x v="0"/>
    <s v="Warm"/>
    <d v="2025-10-21T00:00:00"/>
    <d v="2025-10-24T00:00:00"/>
    <d v="2025-10-26T00:00:00"/>
    <d v="2025-11-01T00:00:00"/>
    <s v="No"/>
    <m/>
    <d v="2025-11-19T00:00:00"/>
    <n v="3"/>
    <n v="2"/>
    <n v="6"/>
    <n v="4"/>
    <n v="1"/>
    <n v="1"/>
    <n v="1"/>
    <n v="1"/>
    <x v="0"/>
  </r>
  <r>
    <s v="L1989"/>
    <x v="2"/>
    <s v="Cold"/>
    <d v="2025-10-21T00:00:00"/>
    <m/>
    <m/>
    <m/>
    <s v="Yes"/>
    <s v="Model Unavailable"/>
    <m/>
    <m/>
    <m/>
    <m/>
    <m/>
    <n v="1"/>
    <n v="0"/>
    <n v="0"/>
    <n v="0"/>
    <x v="2"/>
  </r>
  <r>
    <s v="L1990"/>
    <x v="3"/>
    <s v="Warm"/>
    <d v="2025-10-29T00:00:00"/>
    <d v="2025-10-31T00:00:00"/>
    <d v="2025-11-05T00:00:00"/>
    <d v="2025-11-07T00:00:00"/>
    <s v="No"/>
    <m/>
    <d v="2025-12-07T00:00:00"/>
    <n v="2"/>
    <n v="5"/>
    <n v="2"/>
    <n v="6"/>
    <n v="1"/>
    <n v="1"/>
    <n v="1"/>
    <n v="1"/>
    <x v="0"/>
  </r>
  <r>
    <s v="L1991"/>
    <x v="1"/>
    <s v="Hot"/>
    <d v="2025-10-25T00:00:00"/>
    <d v="2025-10-29T00:00:00"/>
    <d v="2025-10-31T00:00:00"/>
    <d v="2025-11-07T00:00:00"/>
    <s v="No"/>
    <m/>
    <d v="2025-11-27T00:00:00"/>
    <n v="4"/>
    <n v="2"/>
    <n v="7"/>
    <n v="3"/>
    <n v="1"/>
    <n v="1"/>
    <n v="1"/>
    <n v="1"/>
    <x v="0"/>
  </r>
  <r>
    <s v="L1992"/>
    <x v="3"/>
    <s v="Hot"/>
    <d v="2025-10-18T00:00:00"/>
    <d v="2025-10-23T00:00:00"/>
    <d v="2025-10-28T00:00:00"/>
    <d v="2025-11-04T00:00:00"/>
    <s v="No"/>
    <m/>
    <d v="2025-11-14T00:00:00"/>
    <n v="5"/>
    <n v="5"/>
    <n v="7"/>
    <n v="5"/>
    <n v="1"/>
    <n v="1"/>
    <n v="1"/>
    <n v="1"/>
    <x v="0"/>
  </r>
  <r>
    <s v="L1993"/>
    <x v="3"/>
    <s v="Hot"/>
    <d v="2025-10-24T00:00:00"/>
    <d v="2025-10-27T00:00:00"/>
    <d v="2025-10-29T00:00:00"/>
    <d v="2025-11-02T00:00:00"/>
    <s v="No"/>
    <m/>
    <d v="2025-11-28T00:00:00"/>
    <n v="3"/>
    <n v="2"/>
    <n v="4"/>
    <n v="7"/>
    <n v="1"/>
    <n v="1"/>
    <n v="1"/>
    <n v="1"/>
    <x v="1"/>
  </r>
  <r>
    <s v="L1994"/>
    <x v="2"/>
    <s v="Hot"/>
    <d v="2025-10-28T00:00:00"/>
    <d v="2025-11-02T00:00:00"/>
    <d v="2025-11-05T00:00:00"/>
    <d v="2025-11-11T00:00:00"/>
    <s v="No"/>
    <m/>
    <d v="2025-12-09T00:00:00"/>
    <n v="5"/>
    <n v="3"/>
    <n v="6"/>
    <n v="1"/>
    <n v="1"/>
    <n v="1"/>
    <n v="1"/>
    <n v="1"/>
    <x v="0"/>
  </r>
  <r>
    <s v="L1995"/>
    <x v="3"/>
    <s v="Hot"/>
    <d v="2025-10-07T00:00:00"/>
    <d v="2025-10-10T00:00:00"/>
    <d v="2025-10-15T00:00:00"/>
    <d v="2025-10-21T00:00:00"/>
    <s v="No"/>
    <m/>
    <d v="2025-11-18T00:00:00"/>
    <n v="3"/>
    <n v="5"/>
    <n v="6"/>
    <n v="5"/>
    <n v="1"/>
    <n v="1"/>
    <n v="1"/>
    <n v="1"/>
    <x v="0"/>
  </r>
  <r>
    <s v="L1996"/>
    <x v="2"/>
    <s v="Hot"/>
    <d v="2025-10-14T00:00:00"/>
    <d v="2025-10-19T00:00:00"/>
    <d v="2025-10-23T00:00:00"/>
    <d v="2025-10-26T00:00:00"/>
    <s v="No"/>
    <m/>
    <d v="2025-11-12T00:00:00"/>
    <n v="5"/>
    <n v="4"/>
    <n v="3"/>
    <n v="7"/>
    <n v="1"/>
    <n v="1"/>
    <n v="1"/>
    <n v="1"/>
    <x v="1"/>
  </r>
  <r>
    <s v="L1997"/>
    <x v="0"/>
    <s v="Warm"/>
    <d v="2025-10-15T00:00:00"/>
    <d v="2025-10-20T00:00:00"/>
    <d v="2025-10-24T00:00:00"/>
    <d v="2025-10-30T00:00:00"/>
    <s v="No"/>
    <m/>
    <d v="2025-11-19T00:00:00"/>
    <n v="5"/>
    <n v="4"/>
    <n v="6"/>
    <n v="3"/>
    <n v="1"/>
    <n v="1"/>
    <n v="1"/>
    <n v="1"/>
    <x v="0"/>
  </r>
  <r>
    <s v="L1998"/>
    <x v="0"/>
    <s v="Cold"/>
    <d v="2025-10-29T00:00:00"/>
    <m/>
    <m/>
    <m/>
    <s v="Yes"/>
    <s v="Changed Mind"/>
    <m/>
    <m/>
    <m/>
    <m/>
    <m/>
    <n v="1"/>
    <n v="0"/>
    <n v="0"/>
    <n v="0"/>
    <x v="2"/>
  </r>
  <r>
    <s v="L1999"/>
    <x v="2"/>
    <s v="Warm"/>
    <d v="2025-10-08T00:00:00"/>
    <d v="2025-10-13T00:00:00"/>
    <d v="2025-10-15T00:00:00"/>
    <d v="2025-10-18T00:00:00"/>
    <s v="No"/>
    <m/>
    <d v="2025-11-13T00:00:00"/>
    <n v="5"/>
    <n v="2"/>
    <n v="3"/>
    <n v="4"/>
    <n v="1"/>
    <n v="1"/>
    <n v="1"/>
    <n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d v="2025-10-25T00:00:00"/>
    <x v="0"/>
    <x v="0"/>
    <x v="0"/>
    <x v="0"/>
    <d v="2025-11-28T00:00:00"/>
    <n v="4"/>
    <n v="4"/>
    <n v="5"/>
    <x v="0"/>
    <n v="1"/>
    <n v="1"/>
    <n v="1"/>
    <n v="1"/>
  </r>
  <r>
    <x v="1"/>
    <x v="1"/>
    <x v="0"/>
    <x v="1"/>
    <d v="2025-10-14T00:00:00"/>
    <x v="1"/>
    <x v="1"/>
    <x v="0"/>
    <x v="0"/>
    <d v="2025-11-22T00:00:00"/>
    <n v="3"/>
    <n v="5"/>
    <n v="7"/>
    <x v="1"/>
    <n v="1"/>
    <n v="1"/>
    <n v="1"/>
    <n v="1"/>
  </r>
  <r>
    <x v="2"/>
    <x v="2"/>
    <x v="1"/>
    <x v="2"/>
    <m/>
    <x v="2"/>
    <x v="2"/>
    <x v="1"/>
    <x v="1"/>
    <m/>
    <m/>
    <m/>
    <m/>
    <x v="2"/>
    <n v="1"/>
    <n v="0"/>
    <n v="0"/>
    <n v="0"/>
  </r>
  <r>
    <x v="3"/>
    <x v="0"/>
    <x v="1"/>
    <x v="3"/>
    <m/>
    <x v="2"/>
    <x v="2"/>
    <x v="1"/>
    <x v="2"/>
    <m/>
    <m/>
    <m/>
    <m/>
    <x v="2"/>
    <n v="1"/>
    <n v="0"/>
    <n v="0"/>
    <n v="0"/>
  </r>
  <r>
    <x v="4"/>
    <x v="1"/>
    <x v="0"/>
    <x v="4"/>
    <d v="2025-10-18T00:00:00"/>
    <x v="3"/>
    <x v="3"/>
    <x v="0"/>
    <x v="0"/>
    <d v="2025-11-12T00:00:00"/>
    <n v="4"/>
    <n v="3"/>
    <n v="3"/>
    <x v="1"/>
    <n v="1"/>
    <n v="1"/>
    <n v="1"/>
    <n v="1"/>
  </r>
  <r>
    <x v="5"/>
    <x v="1"/>
    <x v="0"/>
    <x v="5"/>
    <d v="2025-10-31T00:00:00"/>
    <x v="4"/>
    <x v="4"/>
    <x v="0"/>
    <x v="0"/>
    <d v="2025-11-22T00:00:00"/>
    <n v="4"/>
    <n v="4"/>
    <n v="3"/>
    <x v="3"/>
    <n v="1"/>
    <n v="1"/>
    <n v="1"/>
    <n v="1"/>
  </r>
  <r>
    <x v="6"/>
    <x v="2"/>
    <x v="2"/>
    <x v="6"/>
    <d v="2025-10-20T00:00:00"/>
    <x v="3"/>
    <x v="5"/>
    <x v="0"/>
    <x v="0"/>
    <d v="2025-11-22T00:00:00"/>
    <n v="4"/>
    <n v="1"/>
    <n v="7"/>
    <x v="4"/>
    <n v="1"/>
    <n v="1"/>
    <n v="1"/>
    <n v="1"/>
  </r>
  <r>
    <x v="7"/>
    <x v="3"/>
    <x v="0"/>
    <x v="7"/>
    <d v="2025-10-05T00:00:00"/>
    <x v="5"/>
    <x v="6"/>
    <x v="1"/>
    <x v="3"/>
    <m/>
    <n v="1"/>
    <n v="3"/>
    <n v="7"/>
    <x v="2"/>
    <n v="1"/>
    <n v="1"/>
    <n v="1"/>
    <n v="0"/>
  </r>
  <r>
    <x v="8"/>
    <x v="0"/>
    <x v="2"/>
    <x v="4"/>
    <d v="2025-10-17T00:00:00"/>
    <x v="6"/>
    <x v="7"/>
    <x v="0"/>
    <x v="0"/>
    <d v="2025-11-05T00:00:00"/>
    <n v="3"/>
    <n v="3"/>
    <n v="5"/>
    <x v="1"/>
    <n v="1"/>
    <n v="1"/>
    <n v="1"/>
    <n v="1"/>
  </r>
  <r>
    <x v="9"/>
    <x v="2"/>
    <x v="0"/>
    <x v="8"/>
    <d v="2025-11-04T00:00:00"/>
    <x v="7"/>
    <x v="8"/>
    <x v="0"/>
    <x v="0"/>
    <d v="2025-11-22T00:00:00"/>
    <n v="4"/>
    <n v="1"/>
    <n v="5"/>
    <x v="5"/>
    <n v="1"/>
    <n v="1"/>
    <n v="1"/>
    <n v="1"/>
  </r>
  <r>
    <x v="10"/>
    <x v="0"/>
    <x v="1"/>
    <x v="9"/>
    <m/>
    <x v="2"/>
    <x v="2"/>
    <x v="1"/>
    <x v="1"/>
    <m/>
    <m/>
    <m/>
    <m/>
    <x v="2"/>
    <n v="1"/>
    <n v="0"/>
    <n v="0"/>
    <n v="0"/>
  </r>
  <r>
    <x v="11"/>
    <x v="1"/>
    <x v="0"/>
    <x v="0"/>
    <d v="2025-10-24T00:00:00"/>
    <x v="8"/>
    <x v="9"/>
    <x v="0"/>
    <x v="0"/>
    <d v="2025-11-10T00:00:00"/>
    <n v="3"/>
    <n v="4"/>
    <n v="2"/>
    <x v="6"/>
    <n v="1"/>
    <n v="1"/>
    <n v="1"/>
    <n v="1"/>
  </r>
  <r>
    <x v="12"/>
    <x v="1"/>
    <x v="0"/>
    <x v="10"/>
    <d v="2025-11-01T00:00:00"/>
    <x v="9"/>
    <x v="10"/>
    <x v="0"/>
    <x v="0"/>
    <d v="2025-11-30T00:00:00"/>
    <n v="3"/>
    <n v="5"/>
    <n v="7"/>
    <x v="4"/>
    <n v="1"/>
    <n v="1"/>
    <n v="1"/>
    <n v="1"/>
  </r>
  <r>
    <x v="13"/>
    <x v="3"/>
    <x v="0"/>
    <x v="5"/>
    <d v="2025-10-30T00:00:00"/>
    <x v="10"/>
    <x v="11"/>
    <x v="0"/>
    <x v="0"/>
    <d v="2025-12-07T00:00:00"/>
    <n v="3"/>
    <n v="3"/>
    <n v="6"/>
    <x v="0"/>
    <n v="1"/>
    <n v="1"/>
    <n v="1"/>
    <n v="1"/>
  </r>
  <r>
    <x v="14"/>
    <x v="1"/>
    <x v="2"/>
    <x v="11"/>
    <d v="2025-10-17T00:00:00"/>
    <x v="11"/>
    <x v="12"/>
    <x v="1"/>
    <x v="3"/>
    <m/>
    <n v="2"/>
    <n v="1"/>
    <n v="3"/>
    <x v="2"/>
    <n v="1"/>
    <n v="1"/>
    <n v="1"/>
    <n v="0"/>
  </r>
  <r>
    <x v="15"/>
    <x v="1"/>
    <x v="0"/>
    <x v="12"/>
    <d v="2025-10-27T00:00:00"/>
    <x v="12"/>
    <x v="13"/>
    <x v="0"/>
    <x v="0"/>
    <d v="2025-11-23T00:00:00"/>
    <n v="4"/>
    <n v="5"/>
    <n v="5"/>
    <x v="1"/>
    <n v="1"/>
    <n v="1"/>
    <n v="1"/>
    <n v="1"/>
  </r>
  <r>
    <x v="16"/>
    <x v="2"/>
    <x v="2"/>
    <x v="13"/>
    <d v="2025-10-06T00:00:00"/>
    <x v="13"/>
    <x v="14"/>
    <x v="0"/>
    <x v="0"/>
    <d v="2025-10-26T00:00:00"/>
    <n v="1"/>
    <n v="4"/>
    <n v="6"/>
    <x v="0"/>
    <n v="1"/>
    <n v="1"/>
    <n v="1"/>
    <n v="1"/>
  </r>
  <r>
    <x v="17"/>
    <x v="0"/>
    <x v="2"/>
    <x v="4"/>
    <d v="2025-10-15T00:00:00"/>
    <x v="11"/>
    <x v="15"/>
    <x v="0"/>
    <x v="0"/>
    <d v="2025-11-18T00:00:00"/>
    <n v="1"/>
    <n v="3"/>
    <n v="5"/>
    <x v="6"/>
    <n v="1"/>
    <n v="1"/>
    <n v="1"/>
    <n v="1"/>
  </r>
  <r>
    <x v="18"/>
    <x v="0"/>
    <x v="0"/>
    <x v="14"/>
    <d v="2025-10-07T00:00:00"/>
    <x v="14"/>
    <x v="16"/>
    <x v="0"/>
    <x v="0"/>
    <d v="2025-11-11T00:00:00"/>
    <n v="1"/>
    <n v="5"/>
    <n v="5"/>
    <x v="7"/>
    <n v="1"/>
    <n v="1"/>
    <n v="1"/>
    <n v="1"/>
  </r>
  <r>
    <x v="19"/>
    <x v="2"/>
    <x v="0"/>
    <x v="15"/>
    <d v="2025-10-25T00:00:00"/>
    <x v="15"/>
    <x v="17"/>
    <x v="0"/>
    <x v="0"/>
    <d v="2025-11-11T00:00:00"/>
    <n v="1"/>
    <n v="5"/>
    <n v="2"/>
    <x v="8"/>
    <n v="1"/>
    <n v="1"/>
    <n v="1"/>
    <n v="1"/>
  </r>
  <r>
    <x v="20"/>
    <x v="3"/>
    <x v="0"/>
    <x v="16"/>
    <d v="2025-10-21T00:00:00"/>
    <x v="16"/>
    <x v="9"/>
    <x v="0"/>
    <x v="0"/>
    <d v="2025-11-19T00:00:00"/>
    <n v="4"/>
    <n v="2"/>
    <n v="7"/>
    <x v="5"/>
    <n v="1"/>
    <n v="1"/>
    <n v="1"/>
    <n v="1"/>
  </r>
  <r>
    <x v="21"/>
    <x v="0"/>
    <x v="2"/>
    <x v="8"/>
    <d v="2025-11-01T00:00:00"/>
    <x v="10"/>
    <x v="18"/>
    <x v="0"/>
    <x v="0"/>
    <d v="2025-12-04T00:00:00"/>
    <n v="1"/>
    <n v="1"/>
    <n v="3"/>
    <x v="9"/>
    <n v="1"/>
    <n v="1"/>
    <n v="1"/>
    <n v="1"/>
  </r>
  <r>
    <x v="22"/>
    <x v="1"/>
    <x v="0"/>
    <x v="0"/>
    <d v="2025-10-24T00:00:00"/>
    <x v="0"/>
    <x v="17"/>
    <x v="0"/>
    <x v="0"/>
    <d v="2025-11-17T00:00:00"/>
    <n v="3"/>
    <n v="5"/>
    <n v="3"/>
    <x v="1"/>
    <n v="1"/>
    <n v="1"/>
    <n v="1"/>
    <n v="1"/>
  </r>
  <r>
    <x v="23"/>
    <x v="0"/>
    <x v="0"/>
    <x v="17"/>
    <d v="2025-10-11T00:00:00"/>
    <x v="17"/>
    <x v="19"/>
    <x v="0"/>
    <x v="0"/>
    <d v="2025-11-02T00:00:00"/>
    <n v="2"/>
    <n v="4"/>
    <n v="4"/>
    <x v="9"/>
    <n v="1"/>
    <n v="1"/>
    <n v="1"/>
    <n v="1"/>
  </r>
  <r>
    <x v="24"/>
    <x v="1"/>
    <x v="0"/>
    <x v="18"/>
    <d v="2025-10-25T00:00:00"/>
    <x v="18"/>
    <x v="0"/>
    <x v="0"/>
    <x v="0"/>
    <d v="2025-11-23T00:00:00"/>
    <n v="5"/>
    <n v="2"/>
    <n v="7"/>
    <x v="10"/>
    <n v="1"/>
    <n v="1"/>
    <n v="1"/>
    <n v="1"/>
  </r>
  <r>
    <x v="25"/>
    <x v="3"/>
    <x v="0"/>
    <x v="19"/>
    <d v="2025-10-27T00:00:00"/>
    <x v="12"/>
    <x v="0"/>
    <x v="0"/>
    <x v="0"/>
    <d v="2025-11-18T00:00:00"/>
    <n v="1"/>
    <n v="5"/>
    <n v="2"/>
    <x v="8"/>
    <n v="1"/>
    <n v="1"/>
    <n v="1"/>
    <n v="1"/>
  </r>
  <r>
    <x v="26"/>
    <x v="2"/>
    <x v="0"/>
    <x v="20"/>
    <d v="2025-11-04T00:00:00"/>
    <x v="19"/>
    <x v="20"/>
    <x v="0"/>
    <x v="0"/>
    <d v="2025-12-05T00:00:00"/>
    <n v="5"/>
    <n v="5"/>
    <n v="6"/>
    <x v="10"/>
    <n v="1"/>
    <n v="1"/>
    <n v="1"/>
    <n v="1"/>
  </r>
  <r>
    <x v="27"/>
    <x v="0"/>
    <x v="0"/>
    <x v="21"/>
    <d v="2025-10-23T00:00:00"/>
    <x v="18"/>
    <x v="21"/>
    <x v="0"/>
    <x v="0"/>
    <d v="2025-11-09T00:00:00"/>
    <n v="5"/>
    <n v="4"/>
    <n v="2"/>
    <x v="9"/>
    <n v="1"/>
    <n v="1"/>
    <n v="1"/>
    <n v="1"/>
  </r>
  <r>
    <x v="28"/>
    <x v="2"/>
    <x v="0"/>
    <x v="22"/>
    <d v="2025-10-30T00:00:00"/>
    <x v="12"/>
    <x v="4"/>
    <x v="0"/>
    <x v="0"/>
    <d v="2025-11-17T00:00:00"/>
    <n v="5"/>
    <n v="2"/>
    <n v="6"/>
    <x v="9"/>
    <n v="1"/>
    <n v="1"/>
    <n v="1"/>
    <n v="1"/>
  </r>
  <r>
    <x v="29"/>
    <x v="0"/>
    <x v="1"/>
    <x v="6"/>
    <m/>
    <x v="2"/>
    <x v="2"/>
    <x v="1"/>
    <x v="3"/>
    <m/>
    <m/>
    <m/>
    <m/>
    <x v="2"/>
    <n v="1"/>
    <n v="0"/>
    <n v="0"/>
    <n v="0"/>
  </r>
  <r>
    <x v="30"/>
    <x v="1"/>
    <x v="0"/>
    <x v="11"/>
    <d v="2025-10-18T00:00:00"/>
    <x v="6"/>
    <x v="15"/>
    <x v="0"/>
    <x v="0"/>
    <d v="2025-11-06T00:00:00"/>
    <n v="3"/>
    <n v="2"/>
    <n v="3"/>
    <x v="9"/>
    <n v="1"/>
    <n v="1"/>
    <n v="1"/>
    <n v="1"/>
  </r>
  <r>
    <x v="31"/>
    <x v="2"/>
    <x v="0"/>
    <x v="4"/>
    <d v="2025-10-15T00:00:00"/>
    <x v="20"/>
    <x v="22"/>
    <x v="0"/>
    <x v="0"/>
    <d v="2025-11-17T00:00:00"/>
    <n v="1"/>
    <n v="1"/>
    <n v="4"/>
    <x v="7"/>
    <n v="1"/>
    <n v="1"/>
    <n v="1"/>
    <n v="1"/>
  </r>
  <r>
    <x v="32"/>
    <x v="0"/>
    <x v="0"/>
    <x v="5"/>
    <d v="2025-10-31T00:00:00"/>
    <x v="7"/>
    <x v="23"/>
    <x v="0"/>
    <x v="0"/>
    <d v="2025-11-23T00:00:00"/>
    <n v="4"/>
    <n v="5"/>
    <n v="4"/>
    <x v="9"/>
    <n v="1"/>
    <n v="1"/>
    <n v="1"/>
    <n v="1"/>
  </r>
  <r>
    <x v="33"/>
    <x v="1"/>
    <x v="0"/>
    <x v="15"/>
    <d v="2025-10-27T00:00:00"/>
    <x v="8"/>
    <x v="24"/>
    <x v="0"/>
    <x v="0"/>
    <d v="2025-11-13T00:00:00"/>
    <n v="3"/>
    <n v="1"/>
    <n v="3"/>
    <x v="9"/>
    <n v="1"/>
    <n v="1"/>
    <n v="1"/>
    <n v="1"/>
  </r>
  <r>
    <x v="34"/>
    <x v="2"/>
    <x v="1"/>
    <x v="23"/>
    <m/>
    <x v="2"/>
    <x v="2"/>
    <x v="1"/>
    <x v="2"/>
    <m/>
    <m/>
    <m/>
    <m/>
    <x v="2"/>
    <n v="1"/>
    <n v="0"/>
    <n v="0"/>
    <n v="0"/>
  </r>
  <r>
    <x v="35"/>
    <x v="2"/>
    <x v="0"/>
    <x v="17"/>
    <d v="2025-10-13T00:00:00"/>
    <x v="17"/>
    <x v="22"/>
    <x v="0"/>
    <x v="0"/>
    <d v="2025-11-15T00:00:00"/>
    <n v="4"/>
    <n v="2"/>
    <n v="5"/>
    <x v="3"/>
    <n v="1"/>
    <n v="1"/>
    <n v="1"/>
    <n v="1"/>
  </r>
  <r>
    <x v="36"/>
    <x v="0"/>
    <x v="0"/>
    <x v="1"/>
    <d v="2025-10-12T00:00:00"/>
    <x v="21"/>
    <x v="6"/>
    <x v="1"/>
    <x v="4"/>
    <m/>
    <n v="1"/>
    <n v="1"/>
    <n v="2"/>
    <x v="2"/>
    <n v="1"/>
    <n v="1"/>
    <n v="1"/>
    <n v="0"/>
  </r>
  <r>
    <x v="37"/>
    <x v="0"/>
    <x v="0"/>
    <x v="3"/>
    <d v="2025-10-31T00:00:00"/>
    <x v="4"/>
    <x v="11"/>
    <x v="0"/>
    <x v="0"/>
    <d v="2025-11-29T00:00:00"/>
    <n v="3"/>
    <n v="4"/>
    <n v="4"/>
    <x v="0"/>
    <n v="1"/>
    <n v="1"/>
    <n v="1"/>
    <n v="1"/>
  </r>
  <r>
    <x v="38"/>
    <x v="0"/>
    <x v="0"/>
    <x v="24"/>
    <d v="2025-10-13T00:00:00"/>
    <x v="20"/>
    <x v="15"/>
    <x v="0"/>
    <x v="0"/>
    <d v="2025-11-04T00:00:00"/>
    <n v="5"/>
    <n v="3"/>
    <n v="7"/>
    <x v="3"/>
    <n v="1"/>
    <n v="1"/>
    <n v="1"/>
    <n v="1"/>
  </r>
  <r>
    <x v="39"/>
    <x v="1"/>
    <x v="0"/>
    <x v="5"/>
    <d v="2025-10-30T00:00:00"/>
    <x v="22"/>
    <x v="11"/>
    <x v="1"/>
    <x v="1"/>
    <m/>
    <n v="3"/>
    <n v="4"/>
    <n v="5"/>
    <x v="2"/>
    <n v="1"/>
    <n v="1"/>
    <n v="1"/>
    <n v="0"/>
  </r>
  <r>
    <x v="40"/>
    <x v="0"/>
    <x v="1"/>
    <x v="20"/>
    <m/>
    <x v="2"/>
    <x v="2"/>
    <x v="1"/>
    <x v="2"/>
    <m/>
    <m/>
    <m/>
    <m/>
    <x v="2"/>
    <n v="1"/>
    <n v="0"/>
    <n v="0"/>
    <n v="0"/>
  </r>
  <r>
    <x v="41"/>
    <x v="2"/>
    <x v="0"/>
    <x v="25"/>
    <d v="2025-10-06T00:00:00"/>
    <x v="5"/>
    <x v="25"/>
    <x v="0"/>
    <x v="0"/>
    <d v="2025-11-04T00:00:00"/>
    <n v="3"/>
    <n v="2"/>
    <n v="6"/>
    <x v="5"/>
    <n v="1"/>
    <n v="1"/>
    <n v="1"/>
    <n v="1"/>
  </r>
  <r>
    <x v="42"/>
    <x v="2"/>
    <x v="0"/>
    <x v="17"/>
    <d v="2025-10-10T00:00:00"/>
    <x v="23"/>
    <x v="12"/>
    <x v="0"/>
    <x v="0"/>
    <d v="2025-11-12T00:00:00"/>
    <n v="1"/>
    <n v="4"/>
    <n v="7"/>
    <x v="11"/>
    <n v="1"/>
    <n v="1"/>
    <n v="1"/>
    <n v="1"/>
  </r>
  <r>
    <x v="43"/>
    <x v="0"/>
    <x v="1"/>
    <x v="10"/>
    <m/>
    <x v="2"/>
    <x v="2"/>
    <x v="1"/>
    <x v="3"/>
    <m/>
    <m/>
    <m/>
    <m/>
    <x v="2"/>
    <n v="1"/>
    <n v="0"/>
    <n v="0"/>
    <n v="0"/>
  </r>
  <r>
    <x v="44"/>
    <x v="0"/>
    <x v="2"/>
    <x v="11"/>
    <d v="2025-10-20T00:00:00"/>
    <x v="24"/>
    <x v="1"/>
    <x v="0"/>
    <x v="0"/>
    <d v="2025-11-23T00:00:00"/>
    <n v="5"/>
    <n v="2"/>
    <n v="4"/>
    <x v="1"/>
    <n v="1"/>
    <n v="1"/>
    <n v="1"/>
    <n v="1"/>
  </r>
  <r>
    <x v="45"/>
    <x v="3"/>
    <x v="2"/>
    <x v="24"/>
    <d v="2025-10-13T00:00:00"/>
    <x v="25"/>
    <x v="15"/>
    <x v="0"/>
    <x v="0"/>
    <d v="2025-11-05T00:00:00"/>
    <n v="5"/>
    <n v="4"/>
    <n v="6"/>
    <x v="9"/>
    <n v="1"/>
    <n v="1"/>
    <n v="1"/>
    <n v="1"/>
  </r>
  <r>
    <x v="46"/>
    <x v="2"/>
    <x v="0"/>
    <x v="22"/>
    <d v="2025-10-27T00:00:00"/>
    <x v="12"/>
    <x v="13"/>
    <x v="0"/>
    <x v="0"/>
    <d v="2025-11-26T00:00:00"/>
    <n v="2"/>
    <n v="5"/>
    <n v="5"/>
    <x v="7"/>
    <n v="1"/>
    <n v="1"/>
    <n v="1"/>
    <n v="1"/>
  </r>
  <r>
    <x v="47"/>
    <x v="1"/>
    <x v="1"/>
    <x v="11"/>
    <m/>
    <x v="2"/>
    <x v="2"/>
    <x v="1"/>
    <x v="2"/>
    <m/>
    <m/>
    <m/>
    <m/>
    <x v="2"/>
    <n v="1"/>
    <n v="0"/>
    <n v="0"/>
    <n v="0"/>
  </r>
  <r>
    <x v="48"/>
    <x v="3"/>
    <x v="2"/>
    <x v="23"/>
    <d v="2025-10-21T00:00:00"/>
    <x v="26"/>
    <x v="17"/>
    <x v="0"/>
    <x v="0"/>
    <d v="2025-11-20T00:00:00"/>
    <n v="2"/>
    <n v="5"/>
    <n v="6"/>
    <x v="6"/>
    <n v="1"/>
    <n v="1"/>
    <n v="1"/>
    <n v="1"/>
  </r>
  <r>
    <x v="49"/>
    <x v="0"/>
    <x v="2"/>
    <x v="18"/>
    <d v="2025-10-24T00:00:00"/>
    <x v="8"/>
    <x v="26"/>
    <x v="0"/>
    <x v="0"/>
    <d v="2025-11-22T00:00:00"/>
    <n v="4"/>
    <n v="4"/>
    <n v="5"/>
    <x v="5"/>
    <n v="1"/>
    <n v="1"/>
    <n v="1"/>
    <n v="1"/>
  </r>
  <r>
    <x v="50"/>
    <x v="0"/>
    <x v="2"/>
    <x v="26"/>
    <d v="2025-10-24T00:00:00"/>
    <x v="27"/>
    <x v="24"/>
    <x v="0"/>
    <x v="0"/>
    <d v="2025-11-14T00:00:00"/>
    <n v="2"/>
    <n v="1"/>
    <n v="6"/>
    <x v="5"/>
    <n v="1"/>
    <n v="1"/>
    <n v="1"/>
    <n v="1"/>
  </r>
  <r>
    <x v="51"/>
    <x v="2"/>
    <x v="2"/>
    <x v="27"/>
    <d v="2025-10-14T00:00:00"/>
    <x v="20"/>
    <x v="27"/>
    <x v="0"/>
    <x v="0"/>
    <d v="2025-11-02T00:00:00"/>
    <n v="1"/>
    <n v="2"/>
    <n v="2"/>
    <x v="5"/>
    <n v="1"/>
    <n v="1"/>
    <n v="1"/>
    <n v="1"/>
  </r>
  <r>
    <x v="52"/>
    <x v="0"/>
    <x v="2"/>
    <x v="1"/>
    <d v="2025-10-14T00:00:00"/>
    <x v="1"/>
    <x v="15"/>
    <x v="0"/>
    <x v="0"/>
    <d v="2025-11-15T00:00:00"/>
    <n v="3"/>
    <n v="5"/>
    <n v="4"/>
    <x v="8"/>
    <n v="1"/>
    <n v="1"/>
    <n v="1"/>
    <n v="1"/>
  </r>
  <r>
    <x v="53"/>
    <x v="1"/>
    <x v="0"/>
    <x v="2"/>
    <d v="2025-10-06T00:00:00"/>
    <x v="5"/>
    <x v="28"/>
    <x v="0"/>
    <x v="0"/>
    <d v="2025-11-11T00:00:00"/>
    <n v="5"/>
    <n v="2"/>
    <n v="4"/>
    <x v="8"/>
    <n v="1"/>
    <n v="1"/>
    <n v="1"/>
    <n v="1"/>
  </r>
  <r>
    <x v="54"/>
    <x v="2"/>
    <x v="0"/>
    <x v="6"/>
    <d v="2025-10-19T00:00:00"/>
    <x v="28"/>
    <x v="21"/>
    <x v="0"/>
    <x v="0"/>
    <d v="2025-11-23T00:00:00"/>
    <n v="3"/>
    <n v="5"/>
    <n v="5"/>
    <x v="1"/>
    <n v="1"/>
    <n v="1"/>
    <n v="1"/>
    <n v="1"/>
  </r>
  <r>
    <x v="55"/>
    <x v="0"/>
    <x v="2"/>
    <x v="3"/>
    <d v="2025-10-29T00:00:00"/>
    <x v="12"/>
    <x v="4"/>
    <x v="0"/>
    <x v="0"/>
    <d v="2025-12-07T00:00:00"/>
    <n v="1"/>
    <n v="3"/>
    <n v="6"/>
    <x v="9"/>
    <n v="1"/>
    <n v="1"/>
    <n v="1"/>
    <n v="1"/>
  </r>
  <r>
    <x v="56"/>
    <x v="2"/>
    <x v="0"/>
    <x v="1"/>
    <d v="2025-10-14T00:00:00"/>
    <x v="11"/>
    <x v="12"/>
    <x v="0"/>
    <x v="0"/>
    <d v="2025-11-10T00:00:00"/>
    <n v="3"/>
    <n v="4"/>
    <n v="3"/>
    <x v="5"/>
    <n v="1"/>
    <n v="1"/>
    <n v="1"/>
    <n v="1"/>
  </r>
  <r>
    <x v="57"/>
    <x v="0"/>
    <x v="2"/>
    <x v="14"/>
    <d v="2025-10-11T00:00:00"/>
    <x v="20"/>
    <x v="15"/>
    <x v="0"/>
    <x v="0"/>
    <d v="2025-11-07T00:00:00"/>
    <n v="5"/>
    <n v="5"/>
    <n v="7"/>
    <x v="10"/>
    <n v="1"/>
    <n v="1"/>
    <n v="1"/>
    <n v="1"/>
  </r>
  <r>
    <x v="58"/>
    <x v="0"/>
    <x v="0"/>
    <x v="6"/>
    <d v="2025-10-18T00:00:00"/>
    <x v="24"/>
    <x v="21"/>
    <x v="1"/>
    <x v="4"/>
    <m/>
    <n v="2"/>
    <n v="4"/>
    <n v="7"/>
    <x v="2"/>
    <n v="1"/>
    <n v="1"/>
    <n v="1"/>
    <n v="0"/>
  </r>
  <r>
    <x v="59"/>
    <x v="0"/>
    <x v="0"/>
    <x v="28"/>
    <d v="2025-10-11T00:00:00"/>
    <x v="23"/>
    <x v="27"/>
    <x v="0"/>
    <x v="0"/>
    <d v="2025-11-14T00:00:00"/>
    <n v="4"/>
    <n v="3"/>
    <n v="4"/>
    <x v="0"/>
    <n v="1"/>
    <n v="1"/>
    <n v="1"/>
    <n v="1"/>
  </r>
  <r>
    <x v="60"/>
    <x v="1"/>
    <x v="0"/>
    <x v="9"/>
    <d v="2025-10-17T00:00:00"/>
    <x v="1"/>
    <x v="7"/>
    <x v="0"/>
    <x v="0"/>
    <d v="2025-11-23T00:00:00"/>
    <n v="5"/>
    <n v="2"/>
    <n v="6"/>
    <x v="11"/>
    <n v="1"/>
    <n v="1"/>
    <n v="1"/>
    <n v="1"/>
  </r>
  <r>
    <x v="61"/>
    <x v="1"/>
    <x v="2"/>
    <x v="19"/>
    <d v="2025-10-31T00:00:00"/>
    <x v="4"/>
    <x v="8"/>
    <x v="0"/>
    <x v="0"/>
    <d v="2025-12-01T00:00:00"/>
    <n v="5"/>
    <n v="4"/>
    <n v="6"/>
    <x v="3"/>
    <n v="1"/>
    <n v="1"/>
    <n v="1"/>
    <n v="1"/>
  </r>
  <r>
    <x v="62"/>
    <x v="2"/>
    <x v="0"/>
    <x v="17"/>
    <d v="2025-10-14T00:00:00"/>
    <x v="1"/>
    <x v="12"/>
    <x v="0"/>
    <x v="0"/>
    <d v="2025-11-07T00:00:00"/>
    <n v="5"/>
    <n v="5"/>
    <n v="2"/>
    <x v="9"/>
    <n v="1"/>
    <n v="1"/>
    <n v="1"/>
    <n v="1"/>
  </r>
  <r>
    <x v="63"/>
    <x v="0"/>
    <x v="2"/>
    <x v="1"/>
    <d v="2025-10-16T00:00:00"/>
    <x v="1"/>
    <x v="1"/>
    <x v="0"/>
    <x v="0"/>
    <d v="2025-11-23T00:00:00"/>
    <n v="5"/>
    <n v="3"/>
    <n v="7"/>
    <x v="9"/>
    <n v="1"/>
    <n v="1"/>
    <n v="1"/>
    <n v="1"/>
  </r>
  <r>
    <x v="64"/>
    <x v="0"/>
    <x v="1"/>
    <x v="17"/>
    <m/>
    <x v="2"/>
    <x v="2"/>
    <x v="1"/>
    <x v="1"/>
    <m/>
    <m/>
    <m/>
    <m/>
    <x v="2"/>
    <n v="1"/>
    <n v="0"/>
    <n v="0"/>
    <n v="0"/>
  </r>
  <r>
    <x v="65"/>
    <x v="1"/>
    <x v="0"/>
    <x v="10"/>
    <d v="2025-10-30T00:00:00"/>
    <x v="4"/>
    <x v="4"/>
    <x v="0"/>
    <x v="0"/>
    <d v="2025-11-22T00:00:00"/>
    <n v="1"/>
    <n v="5"/>
    <n v="3"/>
    <x v="4"/>
    <n v="1"/>
    <n v="1"/>
    <n v="1"/>
    <n v="1"/>
  </r>
  <r>
    <x v="66"/>
    <x v="0"/>
    <x v="0"/>
    <x v="18"/>
    <d v="2025-10-25T00:00:00"/>
    <x v="8"/>
    <x v="17"/>
    <x v="0"/>
    <x v="0"/>
    <d v="2025-11-23T00:00:00"/>
    <n v="5"/>
    <n v="3"/>
    <n v="4"/>
    <x v="8"/>
    <n v="1"/>
    <n v="1"/>
    <n v="1"/>
    <n v="1"/>
  </r>
  <r>
    <x v="67"/>
    <x v="1"/>
    <x v="2"/>
    <x v="12"/>
    <d v="2025-10-26T00:00:00"/>
    <x v="0"/>
    <x v="24"/>
    <x v="0"/>
    <x v="0"/>
    <d v="2025-11-19T00:00:00"/>
    <n v="3"/>
    <n v="3"/>
    <n v="2"/>
    <x v="7"/>
    <n v="1"/>
    <n v="1"/>
    <n v="1"/>
    <n v="1"/>
  </r>
  <r>
    <x v="68"/>
    <x v="0"/>
    <x v="1"/>
    <x v="10"/>
    <m/>
    <x v="2"/>
    <x v="2"/>
    <x v="1"/>
    <x v="4"/>
    <m/>
    <m/>
    <m/>
    <m/>
    <x v="2"/>
    <n v="1"/>
    <n v="0"/>
    <n v="0"/>
    <n v="0"/>
  </r>
  <r>
    <x v="69"/>
    <x v="2"/>
    <x v="2"/>
    <x v="17"/>
    <d v="2025-10-10T00:00:00"/>
    <x v="17"/>
    <x v="27"/>
    <x v="0"/>
    <x v="0"/>
    <d v="2025-11-06T00:00:00"/>
    <n v="1"/>
    <n v="5"/>
    <n v="3"/>
    <x v="10"/>
    <n v="1"/>
    <n v="1"/>
    <n v="1"/>
    <n v="1"/>
  </r>
  <r>
    <x v="70"/>
    <x v="0"/>
    <x v="2"/>
    <x v="21"/>
    <d v="2025-10-20T00:00:00"/>
    <x v="28"/>
    <x v="5"/>
    <x v="0"/>
    <x v="0"/>
    <d v="2025-11-11T00:00:00"/>
    <n v="2"/>
    <n v="4"/>
    <n v="4"/>
    <x v="4"/>
    <n v="1"/>
    <n v="1"/>
    <n v="1"/>
    <n v="1"/>
  </r>
  <r>
    <x v="71"/>
    <x v="0"/>
    <x v="0"/>
    <x v="2"/>
    <d v="2025-10-04T00:00:00"/>
    <x v="29"/>
    <x v="29"/>
    <x v="0"/>
    <x v="0"/>
    <d v="2025-10-23T00:00:00"/>
    <n v="3"/>
    <n v="2"/>
    <n v="2"/>
    <x v="11"/>
    <n v="1"/>
    <n v="1"/>
    <n v="1"/>
    <n v="1"/>
  </r>
  <r>
    <x v="72"/>
    <x v="3"/>
    <x v="2"/>
    <x v="16"/>
    <d v="2025-10-20T00:00:00"/>
    <x v="24"/>
    <x v="7"/>
    <x v="0"/>
    <x v="0"/>
    <d v="2025-11-04T00:00:00"/>
    <n v="3"/>
    <n v="2"/>
    <n v="3"/>
    <x v="5"/>
    <n v="1"/>
    <n v="1"/>
    <n v="1"/>
    <n v="1"/>
  </r>
  <r>
    <x v="73"/>
    <x v="1"/>
    <x v="1"/>
    <x v="8"/>
    <m/>
    <x v="2"/>
    <x v="2"/>
    <x v="1"/>
    <x v="5"/>
    <m/>
    <m/>
    <m/>
    <m/>
    <x v="2"/>
    <n v="1"/>
    <n v="0"/>
    <n v="0"/>
    <n v="0"/>
  </r>
  <r>
    <x v="74"/>
    <x v="0"/>
    <x v="0"/>
    <x v="28"/>
    <d v="2025-10-10T00:00:00"/>
    <x v="21"/>
    <x v="16"/>
    <x v="0"/>
    <x v="0"/>
    <d v="2025-11-14T00:00:00"/>
    <n v="3"/>
    <n v="3"/>
    <n v="4"/>
    <x v="6"/>
    <n v="1"/>
    <n v="1"/>
    <n v="1"/>
    <n v="1"/>
  </r>
  <r>
    <x v="75"/>
    <x v="0"/>
    <x v="2"/>
    <x v="25"/>
    <d v="2025-10-06T00:00:00"/>
    <x v="30"/>
    <x v="27"/>
    <x v="0"/>
    <x v="0"/>
    <d v="2025-11-09T00:00:00"/>
    <n v="3"/>
    <n v="5"/>
    <n v="7"/>
    <x v="10"/>
    <n v="1"/>
    <n v="1"/>
    <n v="1"/>
    <n v="1"/>
  </r>
  <r>
    <x v="76"/>
    <x v="3"/>
    <x v="0"/>
    <x v="24"/>
    <d v="2025-10-09T00:00:00"/>
    <x v="14"/>
    <x v="6"/>
    <x v="0"/>
    <x v="0"/>
    <d v="2025-11-12T00:00:00"/>
    <n v="1"/>
    <n v="3"/>
    <n v="3"/>
    <x v="1"/>
    <n v="1"/>
    <n v="1"/>
    <n v="1"/>
    <n v="1"/>
  </r>
  <r>
    <x v="77"/>
    <x v="3"/>
    <x v="1"/>
    <x v="15"/>
    <m/>
    <x v="2"/>
    <x v="2"/>
    <x v="1"/>
    <x v="1"/>
    <m/>
    <m/>
    <m/>
    <m/>
    <x v="2"/>
    <n v="1"/>
    <n v="0"/>
    <n v="0"/>
    <n v="0"/>
  </r>
  <r>
    <x v="78"/>
    <x v="1"/>
    <x v="1"/>
    <x v="4"/>
    <m/>
    <x v="2"/>
    <x v="2"/>
    <x v="1"/>
    <x v="4"/>
    <m/>
    <m/>
    <m/>
    <m/>
    <x v="2"/>
    <n v="1"/>
    <n v="0"/>
    <n v="0"/>
    <n v="0"/>
  </r>
  <r>
    <x v="79"/>
    <x v="3"/>
    <x v="0"/>
    <x v="6"/>
    <d v="2025-10-18T00:00:00"/>
    <x v="6"/>
    <x v="1"/>
    <x v="1"/>
    <x v="3"/>
    <m/>
    <n v="2"/>
    <n v="2"/>
    <n v="6"/>
    <x v="2"/>
    <n v="1"/>
    <n v="1"/>
    <n v="1"/>
    <n v="0"/>
  </r>
  <r>
    <x v="80"/>
    <x v="2"/>
    <x v="1"/>
    <x v="21"/>
    <m/>
    <x v="2"/>
    <x v="2"/>
    <x v="1"/>
    <x v="1"/>
    <m/>
    <m/>
    <m/>
    <m/>
    <x v="2"/>
    <n v="1"/>
    <n v="0"/>
    <n v="0"/>
    <n v="0"/>
  </r>
  <r>
    <x v="81"/>
    <x v="3"/>
    <x v="1"/>
    <x v="22"/>
    <m/>
    <x v="2"/>
    <x v="2"/>
    <x v="1"/>
    <x v="1"/>
    <m/>
    <m/>
    <m/>
    <m/>
    <x v="2"/>
    <n v="1"/>
    <n v="0"/>
    <n v="0"/>
    <n v="0"/>
  </r>
  <r>
    <x v="82"/>
    <x v="2"/>
    <x v="0"/>
    <x v="24"/>
    <d v="2025-10-10T00:00:00"/>
    <x v="21"/>
    <x v="27"/>
    <x v="0"/>
    <x v="0"/>
    <d v="2025-10-29T00:00:00"/>
    <n v="2"/>
    <n v="3"/>
    <n v="5"/>
    <x v="7"/>
    <n v="1"/>
    <n v="1"/>
    <n v="1"/>
    <n v="1"/>
  </r>
  <r>
    <x v="83"/>
    <x v="1"/>
    <x v="2"/>
    <x v="12"/>
    <d v="2025-10-28T00:00:00"/>
    <x v="31"/>
    <x v="18"/>
    <x v="0"/>
    <x v="0"/>
    <d v="2025-11-20T00:00:00"/>
    <n v="5"/>
    <n v="3"/>
    <n v="5"/>
    <x v="7"/>
    <n v="1"/>
    <n v="1"/>
    <n v="1"/>
    <n v="1"/>
  </r>
  <r>
    <x v="84"/>
    <x v="1"/>
    <x v="0"/>
    <x v="6"/>
    <d v="2025-10-20T00:00:00"/>
    <x v="24"/>
    <x v="5"/>
    <x v="0"/>
    <x v="0"/>
    <d v="2025-11-26T00:00:00"/>
    <n v="4"/>
    <n v="2"/>
    <n v="6"/>
    <x v="8"/>
    <n v="1"/>
    <n v="1"/>
    <n v="1"/>
    <n v="1"/>
  </r>
  <r>
    <x v="85"/>
    <x v="1"/>
    <x v="1"/>
    <x v="0"/>
    <m/>
    <x v="2"/>
    <x v="2"/>
    <x v="1"/>
    <x v="2"/>
    <m/>
    <m/>
    <m/>
    <m/>
    <x v="2"/>
    <n v="1"/>
    <n v="0"/>
    <n v="0"/>
    <n v="0"/>
  </r>
  <r>
    <x v="86"/>
    <x v="1"/>
    <x v="2"/>
    <x v="12"/>
    <d v="2025-10-24T00:00:00"/>
    <x v="8"/>
    <x v="24"/>
    <x v="0"/>
    <x v="0"/>
    <d v="2025-11-20T00:00:00"/>
    <n v="1"/>
    <n v="4"/>
    <n v="3"/>
    <x v="11"/>
    <n v="1"/>
    <n v="1"/>
    <n v="1"/>
    <n v="1"/>
  </r>
  <r>
    <x v="87"/>
    <x v="1"/>
    <x v="1"/>
    <x v="6"/>
    <m/>
    <x v="2"/>
    <x v="2"/>
    <x v="1"/>
    <x v="3"/>
    <m/>
    <m/>
    <m/>
    <m/>
    <x v="2"/>
    <n v="1"/>
    <n v="0"/>
    <n v="0"/>
    <n v="0"/>
  </r>
  <r>
    <x v="88"/>
    <x v="2"/>
    <x v="2"/>
    <x v="11"/>
    <d v="2025-10-17T00:00:00"/>
    <x v="6"/>
    <x v="1"/>
    <x v="0"/>
    <x v="0"/>
    <d v="2025-11-24T00:00:00"/>
    <n v="2"/>
    <n v="3"/>
    <n v="6"/>
    <x v="7"/>
    <n v="1"/>
    <n v="1"/>
    <n v="1"/>
    <n v="1"/>
  </r>
  <r>
    <x v="89"/>
    <x v="2"/>
    <x v="2"/>
    <x v="19"/>
    <d v="2025-10-27T00:00:00"/>
    <x v="31"/>
    <x v="18"/>
    <x v="0"/>
    <x v="0"/>
    <d v="2025-11-22T00:00:00"/>
    <n v="1"/>
    <n v="4"/>
    <n v="5"/>
    <x v="1"/>
    <n v="1"/>
    <n v="1"/>
    <n v="1"/>
    <n v="1"/>
  </r>
  <r>
    <x v="90"/>
    <x v="1"/>
    <x v="0"/>
    <x v="2"/>
    <d v="2025-10-02T00:00:00"/>
    <x v="32"/>
    <x v="30"/>
    <x v="0"/>
    <x v="0"/>
    <d v="2025-11-09T00:00:00"/>
    <n v="1"/>
    <n v="3"/>
    <n v="5"/>
    <x v="6"/>
    <n v="1"/>
    <n v="1"/>
    <n v="1"/>
    <n v="1"/>
  </r>
  <r>
    <x v="91"/>
    <x v="3"/>
    <x v="2"/>
    <x v="25"/>
    <d v="2025-10-08T00:00:00"/>
    <x v="21"/>
    <x v="14"/>
    <x v="0"/>
    <x v="0"/>
    <d v="2025-11-13T00:00:00"/>
    <n v="5"/>
    <n v="5"/>
    <n v="3"/>
    <x v="3"/>
    <n v="1"/>
    <n v="1"/>
    <n v="1"/>
    <n v="1"/>
  </r>
  <r>
    <x v="92"/>
    <x v="0"/>
    <x v="1"/>
    <x v="29"/>
    <m/>
    <x v="2"/>
    <x v="2"/>
    <x v="1"/>
    <x v="5"/>
    <m/>
    <m/>
    <m/>
    <m/>
    <x v="2"/>
    <n v="1"/>
    <n v="0"/>
    <n v="0"/>
    <n v="0"/>
  </r>
  <r>
    <x v="93"/>
    <x v="1"/>
    <x v="1"/>
    <x v="24"/>
    <m/>
    <x v="2"/>
    <x v="2"/>
    <x v="1"/>
    <x v="4"/>
    <m/>
    <m/>
    <m/>
    <m/>
    <x v="2"/>
    <n v="1"/>
    <n v="0"/>
    <n v="0"/>
    <n v="0"/>
  </r>
  <r>
    <x v="94"/>
    <x v="3"/>
    <x v="1"/>
    <x v="27"/>
    <m/>
    <x v="2"/>
    <x v="2"/>
    <x v="1"/>
    <x v="2"/>
    <m/>
    <m/>
    <m/>
    <m/>
    <x v="2"/>
    <n v="1"/>
    <n v="0"/>
    <n v="0"/>
    <n v="0"/>
  </r>
  <r>
    <x v="95"/>
    <x v="0"/>
    <x v="0"/>
    <x v="12"/>
    <d v="2025-10-25T00:00:00"/>
    <x v="8"/>
    <x v="26"/>
    <x v="0"/>
    <x v="0"/>
    <d v="2025-11-15T00:00:00"/>
    <n v="2"/>
    <n v="3"/>
    <n v="5"/>
    <x v="3"/>
    <n v="1"/>
    <n v="1"/>
    <n v="1"/>
    <n v="1"/>
  </r>
  <r>
    <x v="96"/>
    <x v="1"/>
    <x v="2"/>
    <x v="24"/>
    <d v="2025-10-12T00:00:00"/>
    <x v="17"/>
    <x v="31"/>
    <x v="1"/>
    <x v="4"/>
    <m/>
    <n v="4"/>
    <n v="3"/>
    <n v="7"/>
    <x v="2"/>
    <n v="1"/>
    <n v="1"/>
    <n v="1"/>
    <n v="0"/>
  </r>
  <r>
    <x v="97"/>
    <x v="1"/>
    <x v="0"/>
    <x v="29"/>
    <d v="2025-10-14T00:00:00"/>
    <x v="17"/>
    <x v="12"/>
    <x v="0"/>
    <x v="0"/>
    <d v="2025-11-15T00:00:00"/>
    <n v="4"/>
    <n v="1"/>
    <n v="6"/>
    <x v="5"/>
    <n v="1"/>
    <n v="1"/>
    <n v="1"/>
    <n v="1"/>
  </r>
  <r>
    <x v="98"/>
    <x v="2"/>
    <x v="0"/>
    <x v="26"/>
    <d v="2025-10-26T00:00:00"/>
    <x v="31"/>
    <x v="4"/>
    <x v="0"/>
    <x v="0"/>
    <d v="2025-11-21T00:00:00"/>
    <n v="4"/>
    <n v="5"/>
    <n v="7"/>
    <x v="6"/>
    <n v="1"/>
    <n v="1"/>
    <n v="1"/>
    <n v="1"/>
  </r>
  <r>
    <x v="99"/>
    <x v="0"/>
    <x v="0"/>
    <x v="23"/>
    <d v="2025-10-22T00:00:00"/>
    <x v="18"/>
    <x v="0"/>
    <x v="0"/>
    <x v="0"/>
    <d v="2025-11-23T00:00:00"/>
    <n v="3"/>
    <n v="5"/>
    <n v="7"/>
    <x v="4"/>
    <n v="1"/>
    <n v="1"/>
    <n v="1"/>
    <n v="1"/>
  </r>
  <r>
    <x v="100"/>
    <x v="0"/>
    <x v="2"/>
    <x v="9"/>
    <d v="2025-10-14T00:00:00"/>
    <x v="11"/>
    <x v="12"/>
    <x v="0"/>
    <x v="0"/>
    <d v="2025-11-02T00:00:00"/>
    <n v="2"/>
    <n v="4"/>
    <n v="3"/>
    <x v="10"/>
    <n v="1"/>
    <n v="1"/>
    <n v="1"/>
    <n v="1"/>
  </r>
  <r>
    <x v="101"/>
    <x v="3"/>
    <x v="0"/>
    <x v="6"/>
    <d v="2025-10-19T00:00:00"/>
    <x v="16"/>
    <x v="21"/>
    <x v="0"/>
    <x v="0"/>
    <d v="2025-11-15T00:00:00"/>
    <n v="3"/>
    <n v="4"/>
    <n v="6"/>
    <x v="10"/>
    <n v="1"/>
    <n v="1"/>
    <n v="1"/>
    <n v="1"/>
  </r>
  <r>
    <x v="102"/>
    <x v="2"/>
    <x v="0"/>
    <x v="21"/>
    <d v="2025-10-21T00:00:00"/>
    <x v="28"/>
    <x v="32"/>
    <x v="0"/>
    <x v="0"/>
    <d v="2025-11-17T00:00:00"/>
    <n v="3"/>
    <n v="3"/>
    <n v="3"/>
    <x v="6"/>
    <n v="1"/>
    <n v="1"/>
    <n v="1"/>
    <n v="1"/>
  </r>
  <r>
    <x v="103"/>
    <x v="2"/>
    <x v="1"/>
    <x v="16"/>
    <m/>
    <x v="2"/>
    <x v="2"/>
    <x v="1"/>
    <x v="5"/>
    <m/>
    <m/>
    <m/>
    <m/>
    <x v="2"/>
    <n v="1"/>
    <n v="0"/>
    <n v="0"/>
    <n v="0"/>
  </r>
  <r>
    <x v="104"/>
    <x v="2"/>
    <x v="1"/>
    <x v="9"/>
    <m/>
    <x v="2"/>
    <x v="2"/>
    <x v="1"/>
    <x v="5"/>
    <m/>
    <m/>
    <m/>
    <m/>
    <x v="2"/>
    <n v="1"/>
    <n v="0"/>
    <n v="0"/>
    <n v="0"/>
  </r>
  <r>
    <x v="105"/>
    <x v="2"/>
    <x v="0"/>
    <x v="4"/>
    <d v="2025-10-17T00:00:00"/>
    <x v="1"/>
    <x v="3"/>
    <x v="0"/>
    <x v="0"/>
    <d v="2025-11-13T00:00:00"/>
    <n v="3"/>
    <n v="2"/>
    <n v="5"/>
    <x v="0"/>
    <n v="1"/>
    <n v="1"/>
    <n v="1"/>
    <n v="1"/>
  </r>
  <r>
    <x v="106"/>
    <x v="0"/>
    <x v="0"/>
    <x v="15"/>
    <d v="2025-10-29T00:00:00"/>
    <x v="12"/>
    <x v="18"/>
    <x v="1"/>
    <x v="1"/>
    <m/>
    <n v="5"/>
    <n v="3"/>
    <n v="4"/>
    <x v="2"/>
    <n v="1"/>
    <n v="1"/>
    <n v="1"/>
    <n v="0"/>
  </r>
  <r>
    <x v="107"/>
    <x v="0"/>
    <x v="0"/>
    <x v="21"/>
    <d v="2025-10-23T00:00:00"/>
    <x v="28"/>
    <x v="32"/>
    <x v="0"/>
    <x v="0"/>
    <d v="2025-11-11T00:00:00"/>
    <n v="5"/>
    <n v="1"/>
    <n v="3"/>
    <x v="4"/>
    <n v="1"/>
    <n v="1"/>
    <n v="1"/>
    <n v="1"/>
  </r>
  <r>
    <x v="108"/>
    <x v="1"/>
    <x v="2"/>
    <x v="1"/>
    <d v="2025-10-12T00:00:00"/>
    <x v="17"/>
    <x v="27"/>
    <x v="0"/>
    <x v="0"/>
    <d v="2025-11-17T00:00:00"/>
    <n v="1"/>
    <n v="3"/>
    <n v="3"/>
    <x v="8"/>
    <n v="1"/>
    <n v="1"/>
    <n v="1"/>
    <n v="1"/>
  </r>
  <r>
    <x v="109"/>
    <x v="1"/>
    <x v="1"/>
    <x v="9"/>
    <m/>
    <x v="2"/>
    <x v="2"/>
    <x v="1"/>
    <x v="5"/>
    <m/>
    <m/>
    <m/>
    <m/>
    <x v="2"/>
    <n v="1"/>
    <n v="0"/>
    <n v="0"/>
    <n v="0"/>
  </r>
  <r>
    <x v="110"/>
    <x v="2"/>
    <x v="1"/>
    <x v="12"/>
    <m/>
    <x v="2"/>
    <x v="2"/>
    <x v="1"/>
    <x v="4"/>
    <m/>
    <m/>
    <m/>
    <m/>
    <x v="2"/>
    <n v="1"/>
    <n v="0"/>
    <n v="0"/>
    <n v="0"/>
  </r>
  <r>
    <x v="111"/>
    <x v="2"/>
    <x v="0"/>
    <x v="11"/>
    <d v="2025-10-16T00:00:00"/>
    <x v="25"/>
    <x v="12"/>
    <x v="0"/>
    <x v="0"/>
    <d v="2025-11-02T00:00:00"/>
    <n v="1"/>
    <n v="1"/>
    <n v="4"/>
    <x v="0"/>
    <n v="1"/>
    <n v="1"/>
    <n v="1"/>
    <n v="1"/>
  </r>
  <r>
    <x v="112"/>
    <x v="2"/>
    <x v="0"/>
    <x v="17"/>
    <d v="2025-10-11T00:00:00"/>
    <x v="23"/>
    <x v="19"/>
    <x v="1"/>
    <x v="3"/>
    <m/>
    <n v="2"/>
    <n v="3"/>
    <n v="5"/>
    <x v="2"/>
    <n v="1"/>
    <n v="1"/>
    <n v="1"/>
    <n v="0"/>
  </r>
  <r>
    <x v="113"/>
    <x v="1"/>
    <x v="2"/>
    <x v="29"/>
    <d v="2025-10-12T00:00:00"/>
    <x v="20"/>
    <x v="31"/>
    <x v="0"/>
    <x v="0"/>
    <d v="2025-11-21T00:00:00"/>
    <n v="2"/>
    <n v="4"/>
    <n v="6"/>
    <x v="5"/>
    <n v="1"/>
    <n v="1"/>
    <n v="1"/>
    <n v="1"/>
  </r>
  <r>
    <x v="114"/>
    <x v="3"/>
    <x v="0"/>
    <x v="17"/>
    <d v="2025-10-14T00:00:00"/>
    <x v="25"/>
    <x v="19"/>
    <x v="0"/>
    <x v="0"/>
    <d v="2025-11-08T00:00:00"/>
    <n v="5"/>
    <n v="3"/>
    <n v="2"/>
    <x v="4"/>
    <n v="1"/>
    <n v="1"/>
    <n v="1"/>
    <n v="1"/>
  </r>
  <r>
    <x v="115"/>
    <x v="3"/>
    <x v="2"/>
    <x v="24"/>
    <d v="2025-10-09T00:00:00"/>
    <x v="21"/>
    <x v="16"/>
    <x v="0"/>
    <x v="0"/>
    <d v="2025-11-10T00:00:00"/>
    <n v="1"/>
    <n v="4"/>
    <n v="4"/>
    <x v="1"/>
    <n v="1"/>
    <n v="1"/>
    <n v="1"/>
    <n v="1"/>
  </r>
  <r>
    <x v="116"/>
    <x v="1"/>
    <x v="1"/>
    <x v="7"/>
    <m/>
    <x v="2"/>
    <x v="2"/>
    <x v="1"/>
    <x v="3"/>
    <m/>
    <m/>
    <m/>
    <m/>
    <x v="2"/>
    <n v="1"/>
    <n v="0"/>
    <n v="0"/>
    <n v="0"/>
  </r>
  <r>
    <x v="117"/>
    <x v="1"/>
    <x v="2"/>
    <x v="15"/>
    <d v="2025-10-25T00:00:00"/>
    <x v="18"/>
    <x v="21"/>
    <x v="0"/>
    <x v="0"/>
    <d v="2025-11-08T00:00:00"/>
    <n v="1"/>
    <n v="2"/>
    <n v="2"/>
    <x v="10"/>
    <n v="1"/>
    <n v="1"/>
    <n v="1"/>
    <n v="1"/>
  </r>
  <r>
    <x v="118"/>
    <x v="1"/>
    <x v="0"/>
    <x v="28"/>
    <d v="2025-10-10T00:00:00"/>
    <x v="14"/>
    <x v="16"/>
    <x v="0"/>
    <x v="0"/>
    <d v="2025-11-04T00:00:00"/>
    <n v="3"/>
    <n v="2"/>
    <n v="5"/>
    <x v="7"/>
    <n v="1"/>
    <n v="1"/>
    <n v="1"/>
    <n v="1"/>
  </r>
  <r>
    <x v="119"/>
    <x v="1"/>
    <x v="1"/>
    <x v="1"/>
    <m/>
    <x v="2"/>
    <x v="2"/>
    <x v="1"/>
    <x v="1"/>
    <m/>
    <m/>
    <m/>
    <m/>
    <x v="2"/>
    <n v="1"/>
    <n v="0"/>
    <n v="0"/>
    <n v="0"/>
  </r>
  <r>
    <x v="120"/>
    <x v="1"/>
    <x v="0"/>
    <x v="7"/>
    <d v="2025-10-08T00:00:00"/>
    <x v="21"/>
    <x v="14"/>
    <x v="0"/>
    <x v="0"/>
    <d v="2025-11-01T00:00:00"/>
    <n v="4"/>
    <n v="5"/>
    <n v="3"/>
    <x v="10"/>
    <n v="1"/>
    <n v="1"/>
    <n v="1"/>
    <n v="1"/>
  </r>
  <r>
    <x v="121"/>
    <x v="1"/>
    <x v="2"/>
    <x v="15"/>
    <d v="2025-10-28T00:00:00"/>
    <x v="31"/>
    <x v="0"/>
    <x v="0"/>
    <x v="0"/>
    <d v="2025-11-20T00:00:00"/>
    <n v="4"/>
    <n v="3"/>
    <n v="3"/>
    <x v="0"/>
    <n v="1"/>
    <n v="1"/>
    <n v="1"/>
    <n v="1"/>
  </r>
  <r>
    <x v="122"/>
    <x v="2"/>
    <x v="2"/>
    <x v="21"/>
    <d v="2025-10-22T00:00:00"/>
    <x v="18"/>
    <x v="17"/>
    <x v="0"/>
    <x v="0"/>
    <d v="2025-11-13T00:00:00"/>
    <n v="4"/>
    <n v="5"/>
    <n v="5"/>
    <x v="5"/>
    <n v="1"/>
    <n v="1"/>
    <n v="1"/>
    <n v="1"/>
  </r>
  <r>
    <x v="123"/>
    <x v="2"/>
    <x v="2"/>
    <x v="8"/>
    <d v="2025-11-05T00:00:00"/>
    <x v="33"/>
    <x v="33"/>
    <x v="0"/>
    <x v="0"/>
    <d v="2025-12-05T00:00:00"/>
    <n v="5"/>
    <n v="3"/>
    <n v="6"/>
    <x v="7"/>
    <n v="1"/>
    <n v="1"/>
    <n v="1"/>
    <n v="1"/>
  </r>
  <r>
    <x v="124"/>
    <x v="2"/>
    <x v="0"/>
    <x v="22"/>
    <d v="2025-10-29T00:00:00"/>
    <x v="31"/>
    <x v="13"/>
    <x v="0"/>
    <x v="0"/>
    <d v="2025-11-24T00:00:00"/>
    <n v="4"/>
    <n v="2"/>
    <n v="6"/>
    <x v="8"/>
    <n v="1"/>
    <n v="1"/>
    <n v="1"/>
    <n v="1"/>
  </r>
  <r>
    <x v="125"/>
    <x v="2"/>
    <x v="2"/>
    <x v="12"/>
    <d v="2025-10-27T00:00:00"/>
    <x v="8"/>
    <x v="34"/>
    <x v="0"/>
    <x v="0"/>
    <d v="2025-11-17T00:00:00"/>
    <n v="4"/>
    <n v="1"/>
    <n v="7"/>
    <x v="6"/>
    <n v="1"/>
    <n v="1"/>
    <n v="1"/>
    <n v="1"/>
  </r>
  <r>
    <x v="126"/>
    <x v="1"/>
    <x v="0"/>
    <x v="14"/>
    <d v="2025-10-09T00:00:00"/>
    <x v="23"/>
    <x v="19"/>
    <x v="0"/>
    <x v="0"/>
    <d v="2025-10-29T00:00:00"/>
    <n v="3"/>
    <n v="5"/>
    <n v="5"/>
    <x v="8"/>
    <n v="1"/>
    <n v="1"/>
    <n v="1"/>
    <n v="1"/>
  </r>
  <r>
    <x v="127"/>
    <x v="3"/>
    <x v="1"/>
    <x v="28"/>
    <m/>
    <x v="2"/>
    <x v="2"/>
    <x v="1"/>
    <x v="4"/>
    <m/>
    <m/>
    <m/>
    <m/>
    <x v="2"/>
    <n v="1"/>
    <n v="0"/>
    <n v="0"/>
    <n v="0"/>
  </r>
  <r>
    <x v="128"/>
    <x v="0"/>
    <x v="2"/>
    <x v="28"/>
    <d v="2025-10-09T00:00:00"/>
    <x v="23"/>
    <x v="19"/>
    <x v="0"/>
    <x v="0"/>
    <d v="2025-10-30T00:00:00"/>
    <n v="2"/>
    <n v="5"/>
    <n v="5"/>
    <x v="8"/>
    <n v="1"/>
    <n v="1"/>
    <n v="1"/>
    <n v="1"/>
  </r>
  <r>
    <x v="129"/>
    <x v="1"/>
    <x v="1"/>
    <x v="15"/>
    <m/>
    <x v="2"/>
    <x v="2"/>
    <x v="1"/>
    <x v="4"/>
    <m/>
    <m/>
    <m/>
    <m/>
    <x v="2"/>
    <n v="1"/>
    <n v="0"/>
    <n v="0"/>
    <n v="0"/>
  </r>
  <r>
    <x v="130"/>
    <x v="0"/>
    <x v="1"/>
    <x v="6"/>
    <m/>
    <x v="2"/>
    <x v="2"/>
    <x v="1"/>
    <x v="5"/>
    <m/>
    <m/>
    <m/>
    <m/>
    <x v="2"/>
    <n v="1"/>
    <n v="0"/>
    <n v="0"/>
    <n v="0"/>
  </r>
  <r>
    <x v="131"/>
    <x v="3"/>
    <x v="2"/>
    <x v="17"/>
    <d v="2025-10-14T00:00:00"/>
    <x v="20"/>
    <x v="15"/>
    <x v="0"/>
    <x v="0"/>
    <d v="2025-11-14T00:00:00"/>
    <n v="5"/>
    <n v="2"/>
    <n v="7"/>
    <x v="8"/>
    <n v="1"/>
    <n v="1"/>
    <n v="1"/>
    <n v="1"/>
  </r>
  <r>
    <x v="132"/>
    <x v="2"/>
    <x v="1"/>
    <x v="15"/>
    <m/>
    <x v="2"/>
    <x v="2"/>
    <x v="1"/>
    <x v="4"/>
    <m/>
    <m/>
    <m/>
    <m/>
    <x v="2"/>
    <n v="1"/>
    <n v="0"/>
    <n v="0"/>
    <n v="0"/>
  </r>
  <r>
    <x v="133"/>
    <x v="3"/>
    <x v="0"/>
    <x v="23"/>
    <d v="2025-10-20T00:00:00"/>
    <x v="24"/>
    <x v="32"/>
    <x v="0"/>
    <x v="0"/>
    <d v="2025-11-20T00:00:00"/>
    <n v="1"/>
    <n v="2"/>
    <n v="5"/>
    <x v="0"/>
    <n v="1"/>
    <n v="1"/>
    <n v="1"/>
    <n v="1"/>
  </r>
  <r>
    <x v="134"/>
    <x v="1"/>
    <x v="1"/>
    <x v="22"/>
    <m/>
    <x v="2"/>
    <x v="2"/>
    <x v="1"/>
    <x v="2"/>
    <m/>
    <m/>
    <m/>
    <m/>
    <x v="2"/>
    <n v="1"/>
    <n v="0"/>
    <n v="0"/>
    <n v="0"/>
  </r>
  <r>
    <x v="135"/>
    <x v="2"/>
    <x v="0"/>
    <x v="16"/>
    <d v="2025-10-20T00:00:00"/>
    <x v="3"/>
    <x v="1"/>
    <x v="0"/>
    <x v="0"/>
    <d v="2025-11-18T00:00:00"/>
    <n v="3"/>
    <n v="1"/>
    <n v="5"/>
    <x v="9"/>
    <n v="1"/>
    <n v="1"/>
    <n v="1"/>
    <n v="1"/>
  </r>
  <r>
    <x v="136"/>
    <x v="1"/>
    <x v="0"/>
    <x v="18"/>
    <d v="2025-10-24T00:00:00"/>
    <x v="0"/>
    <x v="18"/>
    <x v="0"/>
    <x v="0"/>
    <d v="2025-11-20T00:00:00"/>
    <n v="4"/>
    <n v="5"/>
    <n v="7"/>
    <x v="6"/>
    <n v="1"/>
    <n v="1"/>
    <n v="1"/>
    <n v="1"/>
  </r>
  <r>
    <x v="137"/>
    <x v="2"/>
    <x v="0"/>
    <x v="29"/>
    <d v="2025-10-11T00:00:00"/>
    <x v="21"/>
    <x v="27"/>
    <x v="1"/>
    <x v="5"/>
    <m/>
    <n v="1"/>
    <n v="2"/>
    <n v="5"/>
    <x v="2"/>
    <n v="1"/>
    <n v="1"/>
    <n v="1"/>
    <n v="0"/>
  </r>
  <r>
    <x v="138"/>
    <x v="0"/>
    <x v="1"/>
    <x v="7"/>
    <m/>
    <x v="2"/>
    <x v="2"/>
    <x v="1"/>
    <x v="2"/>
    <m/>
    <m/>
    <m/>
    <m/>
    <x v="2"/>
    <n v="1"/>
    <n v="0"/>
    <n v="0"/>
    <n v="0"/>
  </r>
  <r>
    <x v="139"/>
    <x v="0"/>
    <x v="0"/>
    <x v="5"/>
    <d v="2025-10-30T00:00:00"/>
    <x v="12"/>
    <x v="13"/>
    <x v="0"/>
    <x v="0"/>
    <d v="2025-11-29T00:00:00"/>
    <n v="3"/>
    <n v="2"/>
    <n v="5"/>
    <x v="7"/>
    <n v="1"/>
    <n v="1"/>
    <n v="1"/>
    <n v="1"/>
  </r>
  <r>
    <x v="140"/>
    <x v="0"/>
    <x v="0"/>
    <x v="28"/>
    <d v="2025-10-12T00:00:00"/>
    <x v="21"/>
    <x v="14"/>
    <x v="0"/>
    <x v="0"/>
    <d v="2025-11-10T00:00:00"/>
    <n v="5"/>
    <n v="1"/>
    <n v="3"/>
    <x v="6"/>
    <n v="1"/>
    <n v="1"/>
    <n v="1"/>
    <n v="1"/>
  </r>
  <r>
    <x v="141"/>
    <x v="3"/>
    <x v="1"/>
    <x v="29"/>
    <m/>
    <x v="2"/>
    <x v="2"/>
    <x v="1"/>
    <x v="1"/>
    <m/>
    <m/>
    <m/>
    <m/>
    <x v="2"/>
    <n v="1"/>
    <n v="0"/>
    <n v="0"/>
    <n v="0"/>
  </r>
  <r>
    <x v="142"/>
    <x v="1"/>
    <x v="2"/>
    <x v="24"/>
    <d v="2025-10-12T00:00:00"/>
    <x v="21"/>
    <x v="6"/>
    <x v="0"/>
    <x v="0"/>
    <d v="2025-11-06T00:00:00"/>
    <n v="4"/>
    <n v="1"/>
    <n v="2"/>
    <x v="8"/>
    <n v="1"/>
    <n v="1"/>
    <n v="1"/>
    <n v="1"/>
  </r>
  <r>
    <x v="143"/>
    <x v="3"/>
    <x v="2"/>
    <x v="9"/>
    <d v="2025-10-17T00:00:00"/>
    <x v="3"/>
    <x v="32"/>
    <x v="0"/>
    <x v="0"/>
    <d v="2025-11-17T00:00:00"/>
    <n v="5"/>
    <n v="4"/>
    <n v="6"/>
    <x v="10"/>
    <n v="1"/>
    <n v="1"/>
    <n v="1"/>
    <n v="1"/>
  </r>
  <r>
    <x v="144"/>
    <x v="0"/>
    <x v="2"/>
    <x v="14"/>
    <d v="2025-10-09T00:00:00"/>
    <x v="14"/>
    <x v="25"/>
    <x v="0"/>
    <x v="0"/>
    <d v="2025-11-10T00:00:00"/>
    <n v="3"/>
    <n v="3"/>
    <n v="2"/>
    <x v="5"/>
    <n v="1"/>
    <n v="1"/>
    <n v="1"/>
    <n v="1"/>
  </r>
  <r>
    <x v="145"/>
    <x v="1"/>
    <x v="0"/>
    <x v="29"/>
    <d v="2025-10-11T00:00:00"/>
    <x v="17"/>
    <x v="27"/>
    <x v="0"/>
    <x v="0"/>
    <d v="2025-11-09T00:00:00"/>
    <n v="1"/>
    <n v="4"/>
    <n v="3"/>
    <x v="10"/>
    <n v="1"/>
    <n v="1"/>
    <n v="1"/>
    <n v="1"/>
  </r>
  <r>
    <x v="146"/>
    <x v="0"/>
    <x v="2"/>
    <x v="2"/>
    <d v="2025-10-03T00:00:00"/>
    <x v="34"/>
    <x v="29"/>
    <x v="0"/>
    <x v="0"/>
    <d v="2025-10-21T00:00:00"/>
    <n v="2"/>
    <n v="1"/>
    <n v="4"/>
    <x v="5"/>
    <n v="1"/>
    <n v="1"/>
    <n v="1"/>
    <n v="1"/>
  </r>
  <r>
    <x v="147"/>
    <x v="3"/>
    <x v="1"/>
    <x v="12"/>
    <m/>
    <x v="2"/>
    <x v="2"/>
    <x v="1"/>
    <x v="3"/>
    <m/>
    <m/>
    <m/>
    <m/>
    <x v="2"/>
    <n v="1"/>
    <n v="0"/>
    <n v="0"/>
    <n v="0"/>
  </r>
  <r>
    <x v="148"/>
    <x v="3"/>
    <x v="2"/>
    <x v="21"/>
    <d v="2025-10-22T00:00:00"/>
    <x v="28"/>
    <x v="1"/>
    <x v="0"/>
    <x v="0"/>
    <d v="2025-11-20T00:00:00"/>
    <n v="4"/>
    <n v="2"/>
    <n v="2"/>
    <x v="7"/>
    <n v="1"/>
    <n v="1"/>
    <n v="1"/>
    <n v="1"/>
  </r>
  <r>
    <x v="149"/>
    <x v="3"/>
    <x v="0"/>
    <x v="13"/>
    <d v="2025-10-10T00:00:00"/>
    <x v="30"/>
    <x v="6"/>
    <x v="0"/>
    <x v="0"/>
    <d v="2025-11-12T00:00:00"/>
    <n v="5"/>
    <n v="1"/>
    <n v="4"/>
    <x v="8"/>
    <n v="1"/>
    <n v="1"/>
    <n v="1"/>
    <n v="1"/>
  </r>
  <r>
    <x v="150"/>
    <x v="0"/>
    <x v="2"/>
    <x v="17"/>
    <d v="2025-10-10T00:00:00"/>
    <x v="17"/>
    <x v="27"/>
    <x v="0"/>
    <x v="0"/>
    <d v="2025-11-17T00:00:00"/>
    <n v="1"/>
    <n v="5"/>
    <n v="3"/>
    <x v="0"/>
    <n v="1"/>
    <n v="1"/>
    <n v="1"/>
    <n v="1"/>
  </r>
  <r>
    <x v="151"/>
    <x v="1"/>
    <x v="1"/>
    <x v="30"/>
    <m/>
    <x v="2"/>
    <x v="2"/>
    <x v="1"/>
    <x v="1"/>
    <m/>
    <m/>
    <m/>
    <m/>
    <x v="2"/>
    <n v="1"/>
    <n v="0"/>
    <n v="0"/>
    <n v="0"/>
  </r>
  <r>
    <x v="152"/>
    <x v="1"/>
    <x v="1"/>
    <x v="30"/>
    <m/>
    <x v="2"/>
    <x v="2"/>
    <x v="1"/>
    <x v="3"/>
    <m/>
    <m/>
    <m/>
    <m/>
    <x v="2"/>
    <n v="1"/>
    <n v="0"/>
    <n v="0"/>
    <n v="0"/>
  </r>
  <r>
    <x v="153"/>
    <x v="0"/>
    <x v="0"/>
    <x v="21"/>
    <d v="2025-10-19T00:00:00"/>
    <x v="3"/>
    <x v="32"/>
    <x v="0"/>
    <x v="0"/>
    <d v="2025-11-13T00:00:00"/>
    <n v="1"/>
    <n v="2"/>
    <n v="6"/>
    <x v="11"/>
    <n v="1"/>
    <n v="1"/>
    <n v="1"/>
    <n v="1"/>
  </r>
  <r>
    <x v="154"/>
    <x v="1"/>
    <x v="1"/>
    <x v="29"/>
    <m/>
    <x v="2"/>
    <x v="2"/>
    <x v="1"/>
    <x v="1"/>
    <m/>
    <m/>
    <m/>
    <m/>
    <x v="2"/>
    <n v="1"/>
    <n v="0"/>
    <n v="0"/>
    <n v="0"/>
  </r>
  <r>
    <x v="155"/>
    <x v="0"/>
    <x v="2"/>
    <x v="12"/>
    <d v="2025-10-25T00:00:00"/>
    <x v="0"/>
    <x v="26"/>
    <x v="0"/>
    <x v="0"/>
    <d v="2025-11-17T00:00:00"/>
    <n v="2"/>
    <n v="4"/>
    <n v="4"/>
    <x v="8"/>
    <n v="1"/>
    <n v="1"/>
    <n v="1"/>
    <n v="1"/>
  </r>
  <r>
    <x v="156"/>
    <x v="1"/>
    <x v="1"/>
    <x v="8"/>
    <m/>
    <x v="2"/>
    <x v="2"/>
    <x v="1"/>
    <x v="4"/>
    <m/>
    <m/>
    <m/>
    <m/>
    <x v="2"/>
    <n v="1"/>
    <n v="0"/>
    <n v="0"/>
    <n v="0"/>
  </r>
  <r>
    <x v="157"/>
    <x v="2"/>
    <x v="2"/>
    <x v="13"/>
    <d v="2025-10-08T00:00:00"/>
    <x v="14"/>
    <x v="6"/>
    <x v="0"/>
    <x v="0"/>
    <d v="2025-11-08T00:00:00"/>
    <n v="3"/>
    <n v="4"/>
    <n v="3"/>
    <x v="1"/>
    <n v="1"/>
    <n v="1"/>
    <n v="1"/>
    <n v="1"/>
  </r>
  <r>
    <x v="158"/>
    <x v="2"/>
    <x v="1"/>
    <x v="0"/>
    <m/>
    <x v="2"/>
    <x v="2"/>
    <x v="1"/>
    <x v="2"/>
    <m/>
    <m/>
    <m/>
    <m/>
    <x v="2"/>
    <n v="1"/>
    <n v="0"/>
    <n v="0"/>
    <n v="0"/>
  </r>
  <r>
    <x v="159"/>
    <x v="3"/>
    <x v="2"/>
    <x v="3"/>
    <d v="2025-10-30T00:00:00"/>
    <x v="22"/>
    <x v="11"/>
    <x v="0"/>
    <x v="0"/>
    <d v="2025-11-20T00:00:00"/>
    <n v="2"/>
    <n v="4"/>
    <n v="5"/>
    <x v="7"/>
    <n v="1"/>
    <n v="1"/>
    <n v="1"/>
    <n v="1"/>
  </r>
  <r>
    <x v="160"/>
    <x v="2"/>
    <x v="0"/>
    <x v="22"/>
    <d v="2025-10-27T00:00:00"/>
    <x v="0"/>
    <x v="34"/>
    <x v="0"/>
    <x v="0"/>
    <d v="2025-11-15T00:00:00"/>
    <n v="2"/>
    <n v="2"/>
    <n v="6"/>
    <x v="9"/>
    <n v="1"/>
    <n v="1"/>
    <n v="1"/>
    <n v="1"/>
  </r>
  <r>
    <x v="161"/>
    <x v="2"/>
    <x v="0"/>
    <x v="6"/>
    <d v="2025-10-19T00:00:00"/>
    <x v="24"/>
    <x v="21"/>
    <x v="0"/>
    <x v="0"/>
    <d v="2025-11-17T00:00:00"/>
    <n v="3"/>
    <n v="3"/>
    <n v="7"/>
    <x v="0"/>
    <n v="1"/>
    <n v="1"/>
    <n v="1"/>
    <n v="1"/>
  </r>
  <r>
    <x v="162"/>
    <x v="2"/>
    <x v="2"/>
    <x v="7"/>
    <d v="2025-10-07T00:00:00"/>
    <x v="13"/>
    <x v="6"/>
    <x v="0"/>
    <x v="0"/>
    <d v="2025-10-25T00:00:00"/>
    <n v="3"/>
    <n v="3"/>
    <n v="5"/>
    <x v="11"/>
    <n v="1"/>
    <n v="1"/>
    <n v="1"/>
    <n v="1"/>
  </r>
  <r>
    <x v="163"/>
    <x v="0"/>
    <x v="2"/>
    <x v="3"/>
    <d v="2025-10-31T00:00:00"/>
    <x v="22"/>
    <x v="23"/>
    <x v="0"/>
    <x v="0"/>
    <d v="2025-11-29T00:00:00"/>
    <n v="3"/>
    <n v="3"/>
    <n v="6"/>
    <x v="7"/>
    <n v="1"/>
    <n v="1"/>
    <n v="1"/>
    <n v="1"/>
  </r>
  <r>
    <x v="164"/>
    <x v="2"/>
    <x v="2"/>
    <x v="2"/>
    <d v="2025-10-02T00:00:00"/>
    <x v="35"/>
    <x v="35"/>
    <x v="0"/>
    <x v="0"/>
    <d v="2025-10-27T00:00:00"/>
    <n v="1"/>
    <n v="1"/>
    <n v="6"/>
    <x v="5"/>
    <n v="1"/>
    <n v="1"/>
    <n v="1"/>
    <n v="1"/>
  </r>
  <r>
    <x v="165"/>
    <x v="2"/>
    <x v="0"/>
    <x v="23"/>
    <d v="2025-10-20T00:00:00"/>
    <x v="3"/>
    <x v="15"/>
    <x v="0"/>
    <x v="0"/>
    <d v="2025-11-05T00:00:00"/>
    <n v="1"/>
    <n v="1"/>
    <n v="2"/>
    <x v="0"/>
    <n v="1"/>
    <n v="1"/>
    <n v="1"/>
    <n v="1"/>
  </r>
  <r>
    <x v="166"/>
    <x v="3"/>
    <x v="0"/>
    <x v="29"/>
    <d v="2025-10-14T00:00:00"/>
    <x v="1"/>
    <x v="7"/>
    <x v="1"/>
    <x v="3"/>
    <m/>
    <n v="4"/>
    <n v="5"/>
    <n v="6"/>
    <x v="2"/>
    <n v="1"/>
    <n v="1"/>
    <n v="1"/>
    <n v="0"/>
  </r>
  <r>
    <x v="167"/>
    <x v="2"/>
    <x v="2"/>
    <x v="6"/>
    <d v="2025-10-20T00:00:00"/>
    <x v="24"/>
    <x v="3"/>
    <x v="1"/>
    <x v="5"/>
    <m/>
    <n v="4"/>
    <n v="2"/>
    <n v="2"/>
    <x v="2"/>
    <n v="1"/>
    <n v="1"/>
    <n v="1"/>
    <n v="0"/>
  </r>
  <r>
    <x v="168"/>
    <x v="2"/>
    <x v="0"/>
    <x v="6"/>
    <d v="2025-10-18T00:00:00"/>
    <x v="16"/>
    <x v="32"/>
    <x v="0"/>
    <x v="0"/>
    <d v="2025-11-08T00:00:00"/>
    <n v="2"/>
    <n v="5"/>
    <n v="4"/>
    <x v="7"/>
    <n v="1"/>
    <n v="1"/>
    <n v="1"/>
    <n v="1"/>
  </r>
  <r>
    <x v="169"/>
    <x v="1"/>
    <x v="2"/>
    <x v="11"/>
    <d v="2025-10-17T00:00:00"/>
    <x v="11"/>
    <x v="3"/>
    <x v="0"/>
    <x v="0"/>
    <d v="2025-11-13T00:00:00"/>
    <n v="2"/>
    <n v="1"/>
    <n v="6"/>
    <x v="0"/>
    <n v="1"/>
    <n v="1"/>
    <n v="1"/>
    <n v="1"/>
  </r>
  <r>
    <x v="170"/>
    <x v="3"/>
    <x v="1"/>
    <x v="1"/>
    <m/>
    <x v="2"/>
    <x v="2"/>
    <x v="1"/>
    <x v="2"/>
    <m/>
    <m/>
    <m/>
    <m/>
    <x v="2"/>
    <n v="1"/>
    <n v="0"/>
    <n v="0"/>
    <n v="0"/>
  </r>
  <r>
    <x v="171"/>
    <x v="3"/>
    <x v="2"/>
    <x v="14"/>
    <d v="2025-10-10T00:00:00"/>
    <x v="14"/>
    <x v="14"/>
    <x v="0"/>
    <x v="0"/>
    <d v="2025-10-31T00:00:00"/>
    <n v="4"/>
    <n v="2"/>
    <n v="4"/>
    <x v="10"/>
    <n v="1"/>
    <n v="1"/>
    <n v="1"/>
    <n v="1"/>
  </r>
  <r>
    <x v="172"/>
    <x v="3"/>
    <x v="2"/>
    <x v="8"/>
    <d v="2025-11-05T00:00:00"/>
    <x v="19"/>
    <x v="20"/>
    <x v="0"/>
    <x v="0"/>
    <d v="2025-12-07T00:00:00"/>
    <n v="5"/>
    <n v="4"/>
    <n v="6"/>
    <x v="1"/>
    <n v="1"/>
    <n v="1"/>
    <n v="1"/>
    <n v="1"/>
  </r>
  <r>
    <x v="173"/>
    <x v="3"/>
    <x v="2"/>
    <x v="30"/>
    <d v="2025-10-04T00:00:00"/>
    <x v="29"/>
    <x v="29"/>
    <x v="0"/>
    <x v="0"/>
    <d v="2025-10-23T00:00:00"/>
    <n v="2"/>
    <n v="2"/>
    <n v="2"/>
    <x v="5"/>
    <n v="1"/>
    <n v="1"/>
    <n v="1"/>
    <n v="1"/>
  </r>
  <r>
    <x v="174"/>
    <x v="3"/>
    <x v="0"/>
    <x v="17"/>
    <d v="2025-10-14T00:00:00"/>
    <x v="17"/>
    <x v="31"/>
    <x v="0"/>
    <x v="0"/>
    <d v="2025-11-03T00:00:00"/>
    <n v="5"/>
    <n v="1"/>
    <n v="7"/>
    <x v="5"/>
    <n v="1"/>
    <n v="1"/>
    <n v="1"/>
    <n v="1"/>
  </r>
  <r>
    <x v="175"/>
    <x v="3"/>
    <x v="1"/>
    <x v="8"/>
    <m/>
    <x v="2"/>
    <x v="2"/>
    <x v="1"/>
    <x v="5"/>
    <m/>
    <m/>
    <m/>
    <m/>
    <x v="2"/>
    <n v="1"/>
    <n v="0"/>
    <n v="0"/>
    <n v="0"/>
  </r>
  <r>
    <x v="176"/>
    <x v="0"/>
    <x v="0"/>
    <x v="3"/>
    <d v="2025-11-02T00:00:00"/>
    <x v="9"/>
    <x v="36"/>
    <x v="0"/>
    <x v="0"/>
    <d v="2025-12-08T00:00:00"/>
    <n v="5"/>
    <n v="4"/>
    <n v="5"/>
    <x v="9"/>
    <n v="1"/>
    <n v="1"/>
    <n v="1"/>
    <n v="1"/>
  </r>
  <r>
    <x v="177"/>
    <x v="2"/>
    <x v="2"/>
    <x v="6"/>
    <d v="2025-10-19T00:00:00"/>
    <x v="16"/>
    <x v="21"/>
    <x v="0"/>
    <x v="0"/>
    <d v="2025-11-10T00:00:00"/>
    <n v="3"/>
    <n v="4"/>
    <n v="6"/>
    <x v="7"/>
    <n v="1"/>
    <n v="1"/>
    <n v="1"/>
    <n v="1"/>
  </r>
  <r>
    <x v="178"/>
    <x v="3"/>
    <x v="0"/>
    <x v="7"/>
    <d v="2025-10-05T00:00:00"/>
    <x v="36"/>
    <x v="30"/>
    <x v="0"/>
    <x v="0"/>
    <d v="2025-10-30T00:00:00"/>
    <n v="1"/>
    <n v="2"/>
    <n v="3"/>
    <x v="3"/>
    <n v="1"/>
    <n v="1"/>
    <n v="1"/>
    <n v="1"/>
  </r>
  <r>
    <x v="179"/>
    <x v="2"/>
    <x v="0"/>
    <x v="5"/>
    <d v="2025-10-31T00:00:00"/>
    <x v="22"/>
    <x v="11"/>
    <x v="0"/>
    <x v="0"/>
    <d v="2025-12-07T00:00:00"/>
    <n v="4"/>
    <n v="3"/>
    <n v="5"/>
    <x v="8"/>
    <n v="1"/>
    <n v="1"/>
    <n v="1"/>
    <n v="1"/>
  </r>
  <r>
    <x v="180"/>
    <x v="2"/>
    <x v="2"/>
    <x v="25"/>
    <d v="2025-10-04T00:00:00"/>
    <x v="32"/>
    <x v="37"/>
    <x v="0"/>
    <x v="0"/>
    <d v="2025-11-05T00:00:00"/>
    <n v="1"/>
    <n v="1"/>
    <n v="2"/>
    <x v="10"/>
    <n v="1"/>
    <n v="1"/>
    <n v="1"/>
    <n v="1"/>
  </r>
  <r>
    <x v="181"/>
    <x v="0"/>
    <x v="0"/>
    <x v="27"/>
    <d v="2025-10-17T00:00:00"/>
    <x v="11"/>
    <x v="7"/>
    <x v="0"/>
    <x v="0"/>
    <d v="2025-11-19T00:00:00"/>
    <n v="4"/>
    <n v="1"/>
    <n v="7"/>
    <x v="8"/>
    <n v="1"/>
    <n v="1"/>
    <n v="1"/>
    <n v="1"/>
  </r>
  <r>
    <x v="182"/>
    <x v="3"/>
    <x v="1"/>
    <x v="6"/>
    <m/>
    <x v="2"/>
    <x v="2"/>
    <x v="1"/>
    <x v="2"/>
    <m/>
    <m/>
    <m/>
    <m/>
    <x v="2"/>
    <n v="1"/>
    <n v="0"/>
    <n v="0"/>
    <n v="0"/>
  </r>
  <r>
    <x v="183"/>
    <x v="1"/>
    <x v="2"/>
    <x v="25"/>
    <d v="2025-10-04T00:00:00"/>
    <x v="36"/>
    <x v="25"/>
    <x v="0"/>
    <x v="0"/>
    <d v="2025-10-24T00:00:00"/>
    <n v="1"/>
    <n v="3"/>
    <n v="7"/>
    <x v="5"/>
    <n v="1"/>
    <n v="1"/>
    <n v="1"/>
    <n v="1"/>
  </r>
  <r>
    <x v="184"/>
    <x v="0"/>
    <x v="0"/>
    <x v="23"/>
    <d v="2025-10-23T00:00:00"/>
    <x v="8"/>
    <x v="24"/>
    <x v="0"/>
    <x v="0"/>
    <d v="2025-11-23T00:00:00"/>
    <n v="4"/>
    <n v="5"/>
    <n v="3"/>
    <x v="9"/>
    <n v="1"/>
    <n v="1"/>
    <n v="1"/>
    <n v="1"/>
  </r>
  <r>
    <x v="185"/>
    <x v="1"/>
    <x v="0"/>
    <x v="0"/>
    <d v="2025-10-22T00:00:00"/>
    <x v="18"/>
    <x v="24"/>
    <x v="0"/>
    <x v="0"/>
    <d v="2025-11-30T00:00:00"/>
    <n v="1"/>
    <n v="5"/>
    <n v="4"/>
    <x v="0"/>
    <n v="1"/>
    <n v="1"/>
    <n v="1"/>
    <n v="1"/>
  </r>
  <r>
    <x v="186"/>
    <x v="2"/>
    <x v="0"/>
    <x v="26"/>
    <d v="2025-10-25T00:00:00"/>
    <x v="26"/>
    <x v="5"/>
    <x v="0"/>
    <x v="0"/>
    <d v="2025-11-12T00:00:00"/>
    <n v="3"/>
    <n v="1"/>
    <n v="2"/>
    <x v="9"/>
    <n v="1"/>
    <n v="1"/>
    <n v="1"/>
    <n v="1"/>
  </r>
  <r>
    <x v="187"/>
    <x v="2"/>
    <x v="2"/>
    <x v="30"/>
    <d v="2025-10-07T00:00:00"/>
    <x v="13"/>
    <x v="6"/>
    <x v="0"/>
    <x v="0"/>
    <d v="2025-11-13T00:00:00"/>
    <n v="5"/>
    <n v="3"/>
    <n v="5"/>
    <x v="11"/>
    <n v="1"/>
    <n v="1"/>
    <n v="1"/>
    <n v="1"/>
  </r>
  <r>
    <x v="188"/>
    <x v="0"/>
    <x v="2"/>
    <x v="13"/>
    <d v="2025-10-09T00:00:00"/>
    <x v="14"/>
    <x v="14"/>
    <x v="0"/>
    <x v="0"/>
    <d v="2025-11-08T00:00:00"/>
    <n v="4"/>
    <n v="3"/>
    <n v="4"/>
    <x v="3"/>
    <n v="1"/>
    <n v="1"/>
    <n v="1"/>
    <n v="1"/>
  </r>
  <r>
    <x v="189"/>
    <x v="0"/>
    <x v="1"/>
    <x v="13"/>
    <m/>
    <x v="2"/>
    <x v="2"/>
    <x v="1"/>
    <x v="2"/>
    <m/>
    <m/>
    <m/>
    <m/>
    <x v="2"/>
    <n v="1"/>
    <n v="0"/>
    <n v="0"/>
    <n v="0"/>
  </r>
  <r>
    <x v="190"/>
    <x v="1"/>
    <x v="1"/>
    <x v="19"/>
    <m/>
    <x v="2"/>
    <x v="2"/>
    <x v="1"/>
    <x v="1"/>
    <m/>
    <m/>
    <m/>
    <m/>
    <x v="2"/>
    <n v="1"/>
    <n v="0"/>
    <n v="0"/>
    <n v="0"/>
  </r>
  <r>
    <x v="191"/>
    <x v="3"/>
    <x v="0"/>
    <x v="23"/>
    <d v="2025-10-24T00:00:00"/>
    <x v="8"/>
    <x v="17"/>
    <x v="0"/>
    <x v="0"/>
    <d v="2025-11-16T00:00:00"/>
    <n v="5"/>
    <n v="4"/>
    <n v="4"/>
    <x v="4"/>
    <n v="1"/>
    <n v="1"/>
    <n v="1"/>
    <n v="1"/>
  </r>
  <r>
    <x v="192"/>
    <x v="1"/>
    <x v="0"/>
    <x v="8"/>
    <d v="2025-11-04T00:00:00"/>
    <x v="19"/>
    <x v="36"/>
    <x v="1"/>
    <x v="3"/>
    <m/>
    <n v="4"/>
    <n v="5"/>
    <n v="2"/>
    <x v="2"/>
    <n v="1"/>
    <n v="1"/>
    <n v="1"/>
    <n v="0"/>
  </r>
  <r>
    <x v="193"/>
    <x v="0"/>
    <x v="0"/>
    <x v="29"/>
    <d v="2025-10-14T00:00:00"/>
    <x v="1"/>
    <x v="3"/>
    <x v="0"/>
    <x v="0"/>
    <d v="2025-11-04T00:00:00"/>
    <n v="4"/>
    <n v="5"/>
    <n v="5"/>
    <x v="7"/>
    <n v="1"/>
    <n v="1"/>
    <n v="1"/>
    <n v="1"/>
  </r>
  <r>
    <x v="194"/>
    <x v="1"/>
    <x v="0"/>
    <x v="25"/>
    <d v="2025-10-06T00:00:00"/>
    <x v="13"/>
    <x v="28"/>
    <x v="0"/>
    <x v="0"/>
    <d v="2025-10-25T00:00:00"/>
    <n v="3"/>
    <n v="4"/>
    <n v="2"/>
    <x v="9"/>
    <n v="1"/>
    <n v="1"/>
    <n v="1"/>
    <n v="1"/>
  </r>
  <r>
    <x v="195"/>
    <x v="0"/>
    <x v="0"/>
    <x v="24"/>
    <d v="2025-10-09T00:00:00"/>
    <x v="30"/>
    <x v="25"/>
    <x v="0"/>
    <x v="0"/>
    <d v="2025-11-03T00:00:00"/>
    <n v="1"/>
    <n v="2"/>
    <n v="3"/>
    <x v="3"/>
    <n v="1"/>
    <n v="1"/>
    <n v="1"/>
    <n v="1"/>
  </r>
  <r>
    <x v="196"/>
    <x v="1"/>
    <x v="2"/>
    <x v="7"/>
    <d v="2025-10-08T00:00:00"/>
    <x v="21"/>
    <x v="14"/>
    <x v="0"/>
    <x v="0"/>
    <d v="2025-11-01T00:00:00"/>
    <n v="4"/>
    <n v="5"/>
    <n v="3"/>
    <x v="4"/>
    <n v="1"/>
    <n v="1"/>
    <n v="1"/>
    <n v="1"/>
  </r>
  <r>
    <x v="197"/>
    <x v="0"/>
    <x v="1"/>
    <x v="21"/>
    <m/>
    <x v="2"/>
    <x v="2"/>
    <x v="1"/>
    <x v="3"/>
    <m/>
    <m/>
    <m/>
    <m/>
    <x v="2"/>
    <n v="1"/>
    <n v="0"/>
    <n v="0"/>
    <n v="0"/>
  </r>
  <r>
    <x v="198"/>
    <x v="0"/>
    <x v="0"/>
    <x v="22"/>
    <d v="2025-10-26T00:00:00"/>
    <x v="15"/>
    <x v="13"/>
    <x v="0"/>
    <x v="0"/>
    <d v="2025-11-22T00:00:00"/>
    <n v="1"/>
    <n v="4"/>
    <n v="7"/>
    <x v="1"/>
    <n v="1"/>
    <n v="1"/>
    <n v="1"/>
    <n v="1"/>
  </r>
  <r>
    <x v="199"/>
    <x v="0"/>
    <x v="1"/>
    <x v="4"/>
    <m/>
    <x v="2"/>
    <x v="2"/>
    <x v="1"/>
    <x v="2"/>
    <m/>
    <m/>
    <m/>
    <m/>
    <x v="2"/>
    <n v="1"/>
    <n v="0"/>
    <n v="0"/>
    <n v="0"/>
  </r>
  <r>
    <x v="200"/>
    <x v="3"/>
    <x v="2"/>
    <x v="18"/>
    <d v="2025-10-23T00:00:00"/>
    <x v="26"/>
    <x v="17"/>
    <x v="0"/>
    <x v="0"/>
    <d v="2025-11-24T00:00:00"/>
    <n v="3"/>
    <n v="3"/>
    <n v="6"/>
    <x v="5"/>
    <n v="1"/>
    <n v="1"/>
    <n v="1"/>
    <n v="1"/>
  </r>
  <r>
    <x v="201"/>
    <x v="1"/>
    <x v="2"/>
    <x v="18"/>
    <d v="2025-10-22T00:00:00"/>
    <x v="28"/>
    <x v="24"/>
    <x v="0"/>
    <x v="0"/>
    <d v="2025-11-27T00:00:00"/>
    <n v="2"/>
    <n v="2"/>
    <n v="7"/>
    <x v="0"/>
    <n v="1"/>
    <n v="1"/>
    <n v="1"/>
    <n v="1"/>
  </r>
  <r>
    <x v="202"/>
    <x v="1"/>
    <x v="2"/>
    <x v="19"/>
    <d v="2025-10-31T00:00:00"/>
    <x v="12"/>
    <x v="18"/>
    <x v="0"/>
    <x v="0"/>
    <d v="2025-12-02T00:00:00"/>
    <n v="5"/>
    <n v="1"/>
    <n v="4"/>
    <x v="0"/>
    <n v="1"/>
    <n v="1"/>
    <n v="1"/>
    <n v="1"/>
  </r>
  <r>
    <x v="203"/>
    <x v="1"/>
    <x v="0"/>
    <x v="18"/>
    <d v="2025-10-24T00:00:00"/>
    <x v="18"/>
    <x v="0"/>
    <x v="0"/>
    <x v="0"/>
    <d v="2025-11-21T00:00:00"/>
    <n v="4"/>
    <n v="3"/>
    <n v="7"/>
    <x v="3"/>
    <n v="1"/>
    <n v="1"/>
    <n v="1"/>
    <n v="1"/>
  </r>
  <r>
    <x v="204"/>
    <x v="0"/>
    <x v="1"/>
    <x v="24"/>
    <m/>
    <x v="2"/>
    <x v="2"/>
    <x v="1"/>
    <x v="4"/>
    <m/>
    <m/>
    <m/>
    <m/>
    <x v="2"/>
    <n v="1"/>
    <n v="0"/>
    <n v="0"/>
    <n v="0"/>
  </r>
  <r>
    <x v="205"/>
    <x v="1"/>
    <x v="2"/>
    <x v="22"/>
    <d v="2025-10-28T00:00:00"/>
    <x v="15"/>
    <x v="18"/>
    <x v="0"/>
    <x v="0"/>
    <d v="2025-11-24T00:00:00"/>
    <n v="3"/>
    <n v="2"/>
    <n v="6"/>
    <x v="0"/>
    <n v="1"/>
    <n v="1"/>
    <n v="1"/>
    <n v="1"/>
  </r>
  <r>
    <x v="206"/>
    <x v="1"/>
    <x v="1"/>
    <x v="16"/>
    <m/>
    <x v="2"/>
    <x v="2"/>
    <x v="1"/>
    <x v="4"/>
    <m/>
    <m/>
    <m/>
    <m/>
    <x v="2"/>
    <n v="1"/>
    <n v="0"/>
    <n v="0"/>
    <n v="0"/>
  </r>
  <r>
    <x v="207"/>
    <x v="0"/>
    <x v="0"/>
    <x v="27"/>
    <d v="2025-10-14T00:00:00"/>
    <x v="11"/>
    <x v="7"/>
    <x v="0"/>
    <x v="0"/>
    <d v="2025-11-13T00:00:00"/>
    <n v="1"/>
    <n v="4"/>
    <n v="7"/>
    <x v="11"/>
    <n v="1"/>
    <n v="1"/>
    <n v="1"/>
    <n v="1"/>
  </r>
  <r>
    <x v="208"/>
    <x v="2"/>
    <x v="1"/>
    <x v="11"/>
    <m/>
    <x v="2"/>
    <x v="2"/>
    <x v="1"/>
    <x v="5"/>
    <m/>
    <m/>
    <m/>
    <m/>
    <x v="2"/>
    <n v="1"/>
    <n v="0"/>
    <n v="0"/>
    <n v="0"/>
  </r>
  <r>
    <x v="209"/>
    <x v="0"/>
    <x v="2"/>
    <x v="20"/>
    <d v="2025-11-03T00:00:00"/>
    <x v="9"/>
    <x v="36"/>
    <x v="0"/>
    <x v="0"/>
    <d v="2025-11-28T00:00:00"/>
    <n v="4"/>
    <n v="3"/>
    <n v="5"/>
    <x v="3"/>
    <n v="1"/>
    <n v="1"/>
    <n v="1"/>
    <n v="1"/>
  </r>
  <r>
    <x v="210"/>
    <x v="1"/>
    <x v="1"/>
    <x v="11"/>
    <m/>
    <x v="2"/>
    <x v="2"/>
    <x v="1"/>
    <x v="5"/>
    <m/>
    <m/>
    <m/>
    <m/>
    <x v="2"/>
    <n v="1"/>
    <n v="0"/>
    <n v="0"/>
    <n v="0"/>
  </r>
  <r>
    <x v="211"/>
    <x v="0"/>
    <x v="0"/>
    <x v="29"/>
    <d v="2025-10-11T00:00:00"/>
    <x v="21"/>
    <x v="14"/>
    <x v="1"/>
    <x v="1"/>
    <m/>
    <n v="1"/>
    <n v="2"/>
    <n v="3"/>
    <x v="2"/>
    <n v="1"/>
    <n v="1"/>
    <n v="1"/>
    <n v="0"/>
  </r>
  <r>
    <x v="212"/>
    <x v="2"/>
    <x v="2"/>
    <x v="3"/>
    <d v="2025-10-30T00:00:00"/>
    <x v="31"/>
    <x v="13"/>
    <x v="0"/>
    <x v="0"/>
    <d v="2025-11-19T00:00:00"/>
    <n v="2"/>
    <n v="1"/>
    <n v="6"/>
    <x v="8"/>
    <n v="1"/>
    <n v="1"/>
    <n v="1"/>
    <n v="1"/>
  </r>
  <r>
    <x v="213"/>
    <x v="0"/>
    <x v="2"/>
    <x v="23"/>
    <d v="2025-10-23T00:00:00"/>
    <x v="26"/>
    <x v="21"/>
    <x v="0"/>
    <x v="0"/>
    <d v="2025-11-09T00:00:00"/>
    <n v="4"/>
    <n v="3"/>
    <n v="3"/>
    <x v="0"/>
    <n v="1"/>
    <n v="1"/>
    <n v="1"/>
    <n v="1"/>
  </r>
  <r>
    <x v="214"/>
    <x v="1"/>
    <x v="1"/>
    <x v="4"/>
    <m/>
    <x v="2"/>
    <x v="2"/>
    <x v="1"/>
    <x v="2"/>
    <m/>
    <m/>
    <m/>
    <m/>
    <x v="2"/>
    <n v="1"/>
    <n v="0"/>
    <n v="0"/>
    <n v="0"/>
  </r>
  <r>
    <x v="215"/>
    <x v="2"/>
    <x v="1"/>
    <x v="29"/>
    <m/>
    <x v="2"/>
    <x v="2"/>
    <x v="1"/>
    <x v="5"/>
    <m/>
    <m/>
    <m/>
    <m/>
    <x v="2"/>
    <n v="1"/>
    <n v="0"/>
    <n v="0"/>
    <n v="0"/>
  </r>
  <r>
    <x v="216"/>
    <x v="3"/>
    <x v="2"/>
    <x v="23"/>
    <d v="2025-10-24T00:00:00"/>
    <x v="18"/>
    <x v="9"/>
    <x v="0"/>
    <x v="0"/>
    <d v="2025-11-21T00:00:00"/>
    <n v="5"/>
    <n v="3"/>
    <n v="3"/>
    <x v="6"/>
    <n v="1"/>
    <n v="1"/>
    <n v="1"/>
    <n v="1"/>
  </r>
  <r>
    <x v="217"/>
    <x v="1"/>
    <x v="0"/>
    <x v="18"/>
    <d v="2025-10-24T00:00:00"/>
    <x v="0"/>
    <x v="17"/>
    <x v="1"/>
    <x v="5"/>
    <m/>
    <n v="4"/>
    <n v="5"/>
    <n v="3"/>
    <x v="2"/>
    <n v="1"/>
    <n v="1"/>
    <n v="1"/>
    <n v="0"/>
  </r>
  <r>
    <x v="218"/>
    <x v="2"/>
    <x v="1"/>
    <x v="30"/>
    <m/>
    <x v="2"/>
    <x v="2"/>
    <x v="1"/>
    <x v="2"/>
    <m/>
    <m/>
    <m/>
    <m/>
    <x v="2"/>
    <n v="1"/>
    <n v="0"/>
    <n v="0"/>
    <n v="0"/>
  </r>
  <r>
    <x v="219"/>
    <x v="2"/>
    <x v="1"/>
    <x v="18"/>
    <m/>
    <x v="2"/>
    <x v="2"/>
    <x v="1"/>
    <x v="1"/>
    <m/>
    <m/>
    <m/>
    <m/>
    <x v="2"/>
    <n v="1"/>
    <n v="0"/>
    <n v="0"/>
    <n v="0"/>
  </r>
  <r>
    <x v="220"/>
    <x v="3"/>
    <x v="1"/>
    <x v="8"/>
    <m/>
    <x v="2"/>
    <x v="2"/>
    <x v="1"/>
    <x v="5"/>
    <m/>
    <m/>
    <m/>
    <m/>
    <x v="2"/>
    <n v="1"/>
    <n v="0"/>
    <n v="0"/>
    <n v="0"/>
  </r>
  <r>
    <x v="221"/>
    <x v="0"/>
    <x v="0"/>
    <x v="15"/>
    <d v="2025-10-29T00:00:00"/>
    <x v="31"/>
    <x v="26"/>
    <x v="0"/>
    <x v="0"/>
    <d v="2025-11-30T00:00:00"/>
    <n v="5"/>
    <n v="2"/>
    <n v="2"/>
    <x v="9"/>
    <n v="1"/>
    <n v="1"/>
    <n v="1"/>
    <n v="1"/>
  </r>
  <r>
    <x v="222"/>
    <x v="0"/>
    <x v="0"/>
    <x v="7"/>
    <d v="2025-10-05T00:00:00"/>
    <x v="36"/>
    <x v="38"/>
    <x v="0"/>
    <x v="0"/>
    <d v="2025-11-09T00:00:00"/>
    <n v="1"/>
    <n v="2"/>
    <n v="6"/>
    <x v="10"/>
    <n v="1"/>
    <n v="1"/>
    <n v="1"/>
    <n v="1"/>
  </r>
  <r>
    <x v="223"/>
    <x v="1"/>
    <x v="0"/>
    <x v="8"/>
    <d v="2025-11-04T00:00:00"/>
    <x v="19"/>
    <x v="10"/>
    <x v="0"/>
    <x v="0"/>
    <d v="2025-12-08T00:00:00"/>
    <n v="4"/>
    <n v="5"/>
    <n v="4"/>
    <x v="11"/>
    <n v="1"/>
    <n v="1"/>
    <n v="1"/>
    <n v="1"/>
  </r>
  <r>
    <x v="224"/>
    <x v="3"/>
    <x v="0"/>
    <x v="22"/>
    <d v="2025-10-28T00:00:00"/>
    <x v="12"/>
    <x v="4"/>
    <x v="0"/>
    <x v="0"/>
    <d v="2025-11-21T00:00:00"/>
    <n v="3"/>
    <n v="4"/>
    <n v="6"/>
    <x v="9"/>
    <n v="1"/>
    <n v="1"/>
    <n v="1"/>
    <n v="1"/>
  </r>
  <r>
    <x v="225"/>
    <x v="0"/>
    <x v="0"/>
    <x v="28"/>
    <d v="2025-10-10T00:00:00"/>
    <x v="23"/>
    <x v="27"/>
    <x v="1"/>
    <x v="1"/>
    <m/>
    <n v="3"/>
    <n v="4"/>
    <n v="4"/>
    <x v="2"/>
    <n v="1"/>
    <n v="1"/>
    <n v="1"/>
    <n v="0"/>
  </r>
  <r>
    <x v="226"/>
    <x v="3"/>
    <x v="0"/>
    <x v="0"/>
    <d v="2025-10-23T00:00:00"/>
    <x v="8"/>
    <x v="0"/>
    <x v="1"/>
    <x v="3"/>
    <m/>
    <n v="2"/>
    <n v="5"/>
    <n v="6"/>
    <x v="2"/>
    <n v="1"/>
    <n v="1"/>
    <n v="1"/>
    <n v="0"/>
  </r>
  <r>
    <x v="227"/>
    <x v="0"/>
    <x v="2"/>
    <x v="28"/>
    <d v="2025-10-10T00:00:00"/>
    <x v="21"/>
    <x v="19"/>
    <x v="0"/>
    <x v="0"/>
    <d v="2025-10-30T00:00:00"/>
    <n v="3"/>
    <n v="3"/>
    <n v="6"/>
    <x v="8"/>
    <n v="1"/>
    <n v="1"/>
    <n v="1"/>
    <n v="1"/>
  </r>
  <r>
    <x v="228"/>
    <x v="2"/>
    <x v="1"/>
    <x v="17"/>
    <m/>
    <x v="2"/>
    <x v="2"/>
    <x v="1"/>
    <x v="1"/>
    <m/>
    <m/>
    <m/>
    <m/>
    <x v="2"/>
    <n v="1"/>
    <n v="0"/>
    <n v="0"/>
    <n v="0"/>
  </r>
  <r>
    <x v="229"/>
    <x v="0"/>
    <x v="0"/>
    <x v="26"/>
    <d v="2025-10-24T00:00:00"/>
    <x v="27"/>
    <x v="5"/>
    <x v="0"/>
    <x v="0"/>
    <d v="2025-11-18T00:00:00"/>
    <n v="2"/>
    <n v="1"/>
    <n v="3"/>
    <x v="0"/>
    <n v="1"/>
    <n v="1"/>
    <n v="1"/>
    <n v="1"/>
  </r>
  <r>
    <x v="230"/>
    <x v="3"/>
    <x v="0"/>
    <x v="25"/>
    <d v="2025-10-04T00:00:00"/>
    <x v="5"/>
    <x v="28"/>
    <x v="0"/>
    <x v="0"/>
    <d v="2025-10-22T00:00:00"/>
    <n v="1"/>
    <n v="4"/>
    <n v="4"/>
    <x v="0"/>
    <n v="1"/>
    <n v="1"/>
    <n v="1"/>
    <n v="1"/>
  </r>
  <r>
    <x v="231"/>
    <x v="2"/>
    <x v="0"/>
    <x v="14"/>
    <d v="2025-10-11T00:00:00"/>
    <x v="14"/>
    <x v="19"/>
    <x v="0"/>
    <x v="0"/>
    <d v="2025-11-11T00:00:00"/>
    <n v="5"/>
    <n v="1"/>
    <n v="7"/>
    <x v="1"/>
    <n v="1"/>
    <n v="1"/>
    <n v="1"/>
    <n v="1"/>
  </r>
  <r>
    <x v="232"/>
    <x v="2"/>
    <x v="0"/>
    <x v="24"/>
    <d v="2025-10-09T00:00:00"/>
    <x v="30"/>
    <x v="6"/>
    <x v="1"/>
    <x v="4"/>
    <m/>
    <n v="1"/>
    <n v="2"/>
    <n v="4"/>
    <x v="2"/>
    <n v="1"/>
    <n v="1"/>
    <n v="1"/>
    <n v="0"/>
  </r>
  <r>
    <x v="233"/>
    <x v="2"/>
    <x v="2"/>
    <x v="14"/>
    <d v="2025-10-11T00:00:00"/>
    <x v="21"/>
    <x v="16"/>
    <x v="0"/>
    <x v="0"/>
    <d v="2025-10-29T00:00:00"/>
    <n v="5"/>
    <n v="2"/>
    <n v="4"/>
    <x v="3"/>
    <n v="1"/>
    <n v="1"/>
    <n v="1"/>
    <n v="1"/>
  </r>
  <r>
    <x v="234"/>
    <x v="3"/>
    <x v="2"/>
    <x v="21"/>
    <d v="2025-10-23T00:00:00"/>
    <x v="18"/>
    <x v="26"/>
    <x v="0"/>
    <x v="0"/>
    <d v="2025-11-21T00:00:00"/>
    <n v="5"/>
    <n v="4"/>
    <n v="6"/>
    <x v="8"/>
    <n v="1"/>
    <n v="1"/>
    <n v="1"/>
    <n v="1"/>
  </r>
  <r>
    <x v="235"/>
    <x v="1"/>
    <x v="2"/>
    <x v="25"/>
    <d v="2025-10-05T00:00:00"/>
    <x v="5"/>
    <x v="28"/>
    <x v="0"/>
    <x v="0"/>
    <d v="2025-11-11T00:00:00"/>
    <n v="2"/>
    <n v="3"/>
    <n v="4"/>
    <x v="11"/>
    <n v="1"/>
    <n v="1"/>
    <n v="1"/>
    <n v="1"/>
  </r>
  <r>
    <x v="236"/>
    <x v="1"/>
    <x v="2"/>
    <x v="14"/>
    <d v="2025-10-09T00:00:00"/>
    <x v="30"/>
    <x v="16"/>
    <x v="0"/>
    <x v="0"/>
    <d v="2025-11-15T00:00:00"/>
    <n v="3"/>
    <n v="2"/>
    <n v="6"/>
    <x v="11"/>
    <n v="1"/>
    <n v="1"/>
    <n v="1"/>
    <n v="1"/>
  </r>
  <r>
    <x v="237"/>
    <x v="1"/>
    <x v="0"/>
    <x v="2"/>
    <d v="2025-10-04T00:00:00"/>
    <x v="32"/>
    <x v="28"/>
    <x v="0"/>
    <x v="0"/>
    <d v="2025-11-06T00:00:00"/>
    <n v="3"/>
    <n v="1"/>
    <n v="7"/>
    <x v="6"/>
    <n v="1"/>
    <n v="1"/>
    <n v="1"/>
    <n v="1"/>
  </r>
  <r>
    <x v="238"/>
    <x v="3"/>
    <x v="0"/>
    <x v="4"/>
    <d v="2025-10-16T00:00:00"/>
    <x v="1"/>
    <x v="12"/>
    <x v="0"/>
    <x v="0"/>
    <d v="2025-11-06T00:00:00"/>
    <n v="2"/>
    <n v="3"/>
    <n v="2"/>
    <x v="10"/>
    <n v="1"/>
    <n v="1"/>
    <n v="1"/>
    <n v="1"/>
  </r>
  <r>
    <x v="239"/>
    <x v="2"/>
    <x v="2"/>
    <x v="11"/>
    <d v="2025-10-17T00:00:00"/>
    <x v="3"/>
    <x v="3"/>
    <x v="1"/>
    <x v="4"/>
    <m/>
    <n v="2"/>
    <n v="4"/>
    <n v="3"/>
    <x v="2"/>
    <n v="1"/>
    <n v="1"/>
    <n v="1"/>
    <n v="0"/>
  </r>
  <r>
    <x v="240"/>
    <x v="1"/>
    <x v="0"/>
    <x v="12"/>
    <d v="2025-10-24T00:00:00"/>
    <x v="26"/>
    <x v="24"/>
    <x v="0"/>
    <x v="0"/>
    <d v="2025-11-13T00:00:00"/>
    <n v="1"/>
    <n v="2"/>
    <n v="5"/>
    <x v="3"/>
    <n v="1"/>
    <n v="1"/>
    <n v="1"/>
    <n v="1"/>
  </r>
  <r>
    <x v="241"/>
    <x v="3"/>
    <x v="2"/>
    <x v="18"/>
    <d v="2025-10-22T00:00:00"/>
    <x v="26"/>
    <x v="5"/>
    <x v="0"/>
    <x v="0"/>
    <d v="2025-11-07T00:00:00"/>
    <n v="2"/>
    <n v="4"/>
    <n v="2"/>
    <x v="10"/>
    <n v="1"/>
    <n v="1"/>
    <n v="1"/>
    <n v="1"/>
  </r>
  <r>
    <x v="242"/>
    <x v="1"/>
    <x v="1"/>
    <x v="6"/>
    <m/>
    <x v="2"/>
    <x v="2"/>
    <x v="1"/>
    <x v="1"/>
    <m/>
    <m/>
    <m/>
    <m/>
    <x v="2"/>
    <n v="1"/>
    <n v="0"/>
    <n v="0"/>
    <n v="0"/>
  </r>
  <r>
    <x v="243"/>
    <x v="0"/>
    <x v="1"/>
    <x v="29"/>
    <m/>
    <x v="2"/>
    <x v="2"/>
    <x v="1"/>
    <x v="4"/>
    <m/>
    <m/>
    <m/>
    <m/>
    <x v="2"/>
    <n v="1"/>
    <n v="0"/>
    <n v="0"/>
    <n v="0"/>
  </r>
  <r>
    <x v="244"/>
    <x v="1"/>
    <x v="2"/>
    <x v="30"/>
    <d v="2025-10-05T00:00:00"/>
    <x v="5"/>
    <x v="28"/>
    <x v="0"/>
    <x v="0"/>
    <d v="2025-10-28T00:00:00"/>
    <n v="3"/>
    <n v="3"/>
    <n v="4"/>
    <x v="5"/>
    <n v="1"/>
    <n v="1"/>
    <n v="1"/>
    <n v="1"/>
  </r>
  <r>
    <x v="245"/>
    <x v="1"/>
    <x v="0"/>
    <x v="24"/>
    <d v="2025-10-10T00:00:00"/>
    <x v="21"/>
    <x v="22"/>
    <x v="1"/>
    <x v="3"/>
    <m/>
    <n v="2"/>
    <n v="3"/>
    <n v="7"/>
    <x v="2"/>
    <n v="1"/>
    <n v="1"/>
    <n v="1"/>
    <n v="0"/>
  </r>
  <r>
    <x v="246"/>
    <x v="2"/>
    <x v="2"/>
    <x v="29"/>
    <d v="2025-10-12T00:00:00"/>
    <x v="17"/>
    <x v="27"/>
    <x v="0"/>
    <x v="0"/>
    <d v="2025-11-02T00:00:00"/>
    <n v="2"/>
    <n v="3"/>
    <n v="3"/>
    <x v="5"/>
    <n v="1"/>
    <n v="1"/>
    <n v="1"/>
    <n v="1"/>
  </r>
  <r>
    <x v="247"/>
    <x v="3"/>
    <x v="0"/>
    <x v="12"/>
    <d v="2025-10-28T00:00:00"/>
    <x v="10"/>
    <x v="23"/>
    <x v="0"/>
    <x v="0"/>
    <d v="2025-12-09T00:00:00"/>
    <n v="5"/>
    <n v="5"/>
    <n v="7"/>
    <x v="8"/>
    <n v="1"/>
    <n v="1"/>
    <n v="1"/>
    <n v="1"/>
  </r>
  <r>
    <x v="248"/>
    <x v="2"/>
    <x v="0"/>
    <x v="29"/>
    <d v="2025-10-12T00:00:00"/>
    <x v="25"/>
    <x v="22"/>
    <x v="0"/>
    <x v="0"/>
    <d v="2025-11-08T00:00:00"/>
    <n v="2"/>
    <n v="5"/>
    <n v="3"/>
    <x v="11"/>
    <n v="1"/>
    <n v="1"/>
    <n v="1"/>
    <n v="1"/>
  </r>
  <r>
    <x v="249"/>
    <x v="2"/>
    <x v="2"/>
    <x v="12"/>
    <d v="2025-10-24T00:00:00"/>
    <x v="27"/>
    <x v="5"/>
    <x v="0"/>
    <x v="0"/>
    <d v="2025-11-09T00:00:00"/>
    <n v="1"/>
    <n v="1"/>
    <n v="3"/>
    <x v="9"/>
    <n v="1"/>
    <n v="1"/>
    <n v="1"/>
    <n v="1"/>
  </r>
  <r>
    <x v="250"/>
    <x v="2"/>
    <x v="0"/>
    <x v="3"/>
    <d v="2025-10-30T00:00:00"/>
    <x v="10"/>
    <x v="18"/>
    <x v="0"/>
    <x v="0"/>
    <d v="2025-11-30T00:00:00"/>
    <n v="2"/>
    <n v="3"/>
    <n v="3"/>
    <x v="0"/>
    <n v="1"/>
    <n v="1"/>
    <n v="1"/>
    <n v="1"/>
  </r>
  <r>
    <x v="251"/>
    <x v="2"/>
    <x v="2"/>
    <x v="11"/>
    <d v="2025-10-19T00:00:00"/>
    <x v="24"/>
    <x v="21"/>
    <x v="0"/>
    <x v="0"/>
    <d v="2025-11-11T00:00:00"/>
    <n v="4"/>
    <n v="3"/>
    <n v="7"/>
    <x v="5"/>
    <n v="1"/>
    <n v="1"/>
    <n v="1"/>
    <n v="1"/>
  </r>
  <r>
    <x v="252"/>
    <x v="2"/>
    <x v="2"/>
    <x v="25"/>
    <d v="2025-10-07T00:00:00"/>
    <x v="37"/>
    <x v="38"/>
    <x v="0"/>
    <x v="0"/>
    <d v="2025-11-01T00:00:00"/>
    <n v="4"/>
    <n v="2"/>
    <n v="4"/>
    <x v="4"/>
    <n v="1"/>
    <n v="1"/>
    <n v="1"/>
    <n v="1"/>
  </r>
  <r>
    <x v="253"/>
    <x v="1"/>
    <x v="0"/>
    <x v="26"/>
    <d v="2025-10-27T00:00:00"/>
    <x v="8"/>
    <x v="24"/>
    <x v="0"/>
    <x v="0"/>
    <d v="2025-11-22T00:00:00"/>
    <n v="5"/>
    <n v="1"/>
    <n v="3"/>
    <x v="8"/>
    <n v="1"/>
    <n v="1"/>
    <n v="1"/>
    <n v="1"/>
  </r>
  <r>
    <x v="254"/>
    <x v="2"/>
    <x v="0"/>
    <x v="24"/>
    <d v="2025-10-13T00:00:00"/>
    <x v="23"/>
    <x v="12"/>
    <x v="0"/>
    <x v="0"/>
    <d v="2025-11-15T00:00:00"/>
    <n v="5"/>
    <n v="1"/>
    <n v="7"/>
    <x v="7"/>
    <n v="1"/>
    <n v="1"/>
    <n v="1"/>
    <n v="1"/>
  </r>
  <r>
    <x v="255"/>
    <x v="2"/>
    <x v="0"/>
    <x v="20"/>
    <d v="2025-11-03T00:00:00"/>
    <x v="38"/>
    <x v="39"/>
    <x v="1"/>
    <x v="2"/>
    <m/>
    <n v="4"/>
    <n v="4"/>
    <n v="5"/>
    <x v="2"/>
    <n v="1"/>
    <n v="1"/>
    <n v="1"/>
    <n v="0"/>
  </r>
  <r>
    <x v="256"/>
    <x v="3"/>
    <x v="0"/>
    <x v="17"/>
    <d v="2025-10-14T00:00:00"/>
    <x v="25"/>
    <x v="31"/>
    <x v="0"/>
    <x v="0"/>
    <d v="2025-11-16T00:00:00"/>
    <n v="5"/>
    <n v="3"/>
    <n v="5"/>
    <x v="9"/>
    <n v="1"/>
    <n v="1"/>
    <n v="1"/>
    <n v="1"/>
  </r>
  <r>
    <x v="257"/>
    <x v="0"/>
    <x v="1"/>
    <x v="19"/>
    <m/>
    <x v="2"/>
    <x v="2"/>
    <x v="1"/>
    <x v="4"/>
    <m/>
    <m/>
    <m/>
    <m/>
    <x v="2"/>
    <n v="1"/>
    <n v="0"/>
    <n v="0"/>
    <n v="0"/>
  </r>
  <r>
    <x v="258"/>
    <x v="1"/>
    <x v="2"/>
    <x v="19"/>
    <d v="2025-10-31T00:00:00"/>
    <x v="10"/>
    <x v="18"/>
    <x v="1"/>
    <x v="4"/>
    <m/>
    <n v="5"/>
    <n v="2"/>
    <n v="3"/>
    <x v="2"/>
    <n v="1"/>
    <n v="1"/>
    <n v="1"/>
    <n v="0"/>
  </r>
  <r>
    <x v="259"/>
    <x v="1"/>
    <x v="0"/>
    <x v="0"/>
    <d v="2025-10-24T00:00:00"/>
    <x v="8"/>
    <x v="0"/>
    <x v="0"/>
    <x v="0"/>
    <d v="2025-11-21T00:00:00"/>
    <n v="3"/>
    <n v="4"/>
    <n v="6"/>
    <x v="8"/>
    <n v="1"/>
    <n v="1"/>
    <n v="1"/>
    <n v="1"/>
  </r>
  <r>
    <x v="260"/>
    <x v="1"/>
    <x v="0"/>
    <x v="23"/>
    <d v="2025-10-22T00:00:00"/>
    <x v="18"/>
    <x v="0"/>
    <x v="0"/>
    <x v="0"/>
    <d v="2025-11-15T00:00:00"/>
    <n v="3"/>
    <n v="5"/>
    <n v="7"/>
    <x v="0"/>
    <n v="1"/>
    <n v="1"/>
    <n v="1"/>
    <n v="1"/>
  </r>
  <r>
    <x v="261"/>
    <x v="2"/>
    <x v="0"/>
    <x v="26"/>
    <d v="2025-10-24T00:00:00"/>
    <x v="18"/>
    <x v="24"/>
    <x v="0"/>
    <x v="0"/>
    <d v="2025-11-30T00:00:00"/>
    <n v="2"/>
    <n v="3"/>
    <n v="4"/>
    <x v="3"/>
    <n v="1"/>
    <n v="1"/>
    <n v="1"/>
    <n v="1"/>
  </r>
  <r>
    <x v="262"/>
    <x v="2"/>
    <x v="1"/>
    <x v="19"/>
    <m/>
    <x v="2"/>
    <x v="2"/>
    <x v="1"/>
    <x v="1"/>
    <m/>
    <m/>
    <m/>
    <m/>
    <x v="2"/>
    <n v="1"/>
    <n v="0"/>
    <n v="0"/>
    <n v="0"/>
  </r>
  <r>
    <x v="263"/>
    <x v="2"/>
    <x v="0"/>
    <x v="20"/>
    <d v="2025-11-03T00:00:00"/>
    <x v="4"/>
    <x v="36"/>
    <x v="0"/>
    <x v="0"/>
    <d v="2025-12-08T00:00:00"/>
    <n v="4"/>
    <n v="1"/>
    <n v="7"/>
    <x v="7"/>
    <n v="1"/>
    <n v="1"/>
    <n v="1"/>
    <n v="1"/>
  </r>
  <r>
    <x v="264"/>
    <x v="3"/>
    <x v="0"/>
    <x v="28"/>
    <d v="2025-10-08T00:00:00"/>
    <x v="30"/>
    <x v="14"/>
    <x v="0"/>
    <x v="0"/>
    <d v="2025-11-07T00:00:00"/>
    <n v="1"/>
    <n v="3"/>
    <n v="5"/>
    <x v="11"/>
    <n v="1"/>
    <n v="1"/>
    <n v="1"/>
    <n v="1"/>
  </r>
  <r>
    <x v="265"/>
    <x v="0"/>
    <x v="0"/>
    <x v="4"/>
    <d v="2025-10-18T00:00:00"/>
    <x v="3"/>
    <x v="1"/>
    <x v="0"/>
    <x v="0"/>
    <d v="2025-11-10T00:00:00"/>
    <n v="4"/>
    <n v="3"/>
    <n v="5"/>
    <x v="7"/>
    <n v="1"/>
    <n v="1"/>
    <n v="1"/>
    <n v="1"/>
  </r>
  <r>
    <x v="266"/>
    <x v="2"/>
    <x v="1"/>
    <x v="7"/>
    <m/>
    <x v="2"/>
    <x v="2"/>
    <x v="1"/>
    <x v="3"/>
    <m/>
    <m/>
    <m/>
    <m/>
    <x v="2"/>
    <n v="1"/>
    <n v="0"/>
    <n v="0"/>
    <n v="0"/>
  </r>
  <r>
    <x v="267"/>
    <x v="0"/>
    <x v="1"/>
    <x v="21"/>
    <m/>
    <x v="2"/>
    <x v="2"/>
    <x v="1"/>
    <x v="2"/>
    <m/>
    <m/>
    <m/>
    <m/>
    <x v="2"/>
    <n v="1"/>
    <n v="0"/>
    <n v="0"/>
    <n v="0"/>
  </r>
  <r>
    <x v="268"/>
    <x v="3"/>
    <x v="0"/>
    <x v="24"/>
    <d v="2025-10-12T00:00:00"/>
    <x v="25"/>
    <x v="31"/>
    <x v="0"/>
    <x v="0"/>
    <d v="2025-11-12T00:00:00"/>
    <n v="4"/>
    <n v="5"/>
    <n v="5"/>
    <x v="5"/>
    <n v="1"/>
    <n v="1"/>
    <n v="1"/>
    <n v="1"/>
  </r>
  <r>
    <x v="269"/>
    <x v="1"/>
    <x v="0"/>
    <x v="0"/>
    <d v="2025-10-24T00:00:00"/>
    <x v="26"/>
    <x v="5"/>
    <x v="0"/>
    <x v="0"/>
    <d v="2025-11-19T00:00:00"/>
    <n v="3"/>
    <n v="2"/>
    <n v="2"/>
    <x v="10"/>
    <n v="1"/>
    <n v="1"/>
    <n v="1"/>
    <n v="1"/>
  </r>
  <r>
    <x v="270"/>
    <x v="2"/>
    <x v="2"/>
    <x v="13"/>
    <d v="2025-10-08T00:00:00"/>
    <x v="13"/>
    <x v="16"/>
    <x v="0"/>
    <x v="0"/>
    <d v="2025-11-07T00:00:00"/>
    <n v="3"/>
    <n v="2"/>
    <n v="7"/>
    <x v="7"/>
    <n v="1"/>
    <n v="1"/>
    <n v="1"/>
    <n v="1"/>
  </r>
  <r>
    <x v="271"/>
    <x v="0"/>
    <x v="2"/>
    <x v="20"/>
    <d v="2025-11-04T00:00:00"/>
    <x v="9"/>
    <x v="11"/>
    <x v="0"/>
    <x v="0"/>
    <d v="2025-11-23T00:00:00"/>
    <n v="5"/>
    <n v="2"/>
    <n v="2"/>
    <x v="5"/>
    <n v="1"/>
    <n v="1"/>
    <n v="1"/>
    <n v="1"/>
  </r>
  <r>
    <x v="272"/>
    <x v="0"/>
    <x v="0"/>
    <x v="17"/>
    <d v="2025-10-10T00:00:00"/>
    <x v="23"/>
    <x v="19"/>
    <x v="0"/>
    <x v="0"/>
    <d v="2025-11-12T00:00:00"/>
    <n v="1"/>
    <n v="4"/>
    <n v="5"/>
    <x v="3"/>
    <n v="1"/>
    <n v="1"/>
    <n v="1"/>
    <n v="1"/>
  </r>
  <r>
    <x v="273"/>
    <x v="2"/>
    <x v="2"/>
    <x v="5"/>
    <d v="2025-10-30T00:00:00"/>
    <x v="12"/>
    <x v="4"/>
    <x v="0"/>
    <x v="0"/>
    <d v="2025-11-18T00:00:00"/>
    <n v="3"/>
    <n v="2"/>
    <n v="6"/>
    <x v="0"/>
    <n v="1"/>
    <n v="1"/>
    <n v="1"/>
    <n v="1"/>
  </r>
  <r>
    <x v="274"/>
    <x v="1"/>
    <x v="0"/>
    <x v="13"/>
    <d v="2025-10-10T00:00:00"/>
    <x v="23"/>
    <x v="12"/>
    <x v="0"/>
    <x v="0"/>
    <d v="2025-11-08T00:00:00"/>
    <n v="5"/>
    <n v="4"/>
    <n v="7"/>
    <x v="9"/>
    <n v="1"/>
    <n v="1"/>
    <n v="1"/>
    <n v="1"/>
  </r>
  <r>
    <x v="275"/>
    <x v="1"/>
    <x v="2"/>
    <x v="25"/>
    <d v="2025-10-04T00:00:00"/>
    <x v="37"/>
    <x v="38"/>
    <x v="0"/>
    <x v="0"/>
    <d v="2025-11-06T00:00:00"/>
    <n v="1"/>
    <n v="5"/>
    <n v="4"/>
    <x v="4"/>
    <n v="1"/>
    <n v="1"/>
    <n v="1"/>
    <n v="1"/>
  </r>
  <r>
    <x v="276"/>
    <x v="1"/>
    <x v="0"/>
    <x v="30"/>
    <d v="2025-10-05T00:00:00"/>
    <x v="5"/>
    <x v="6"/>
    <x v="0"/>
    <x v="0"/>
    <d v="2025-11-08T00:00:00"/>
    <n v="3"/>
    <n v="3"/>
    <n v="7"/>
    <x v="1"/>
    <n v="1"/>
    <n v="1"/>
    <n v="1"/>
    <n v="1"/>
  </r>
  <r>
    <x v="277"/>
    <x v="3"/>
    <x v="0"/>
    <x v="14"/>
    <d v="2025-10-10T00:00:00"/>
    <x v="23"/>
    <x v="27"/>
    <x v="0"/>
    <x v="0"/>
    <d v="2025-11-05T00:00:00"/>
    <n v="4"/>
    <n v="4"/>
    <n v="4"/>
    <x v="10"/>
    <n v="1"/>
    <n v="1"/>
    <n v="1"/>
    <n v="1"/>
  </r>
  <r>
    <x v="278"/>
    <x v="0"/>
    <x v="1"/>
    <x v="19"/>
    <m/>
    <x v="2"/>
    <x v="2"/>
    <x v="1"/>
    <x v="1"/>
    <m/>
    <m/>
    <m/>
    <m/>
    <x v="2"/>
    <n v="1"/>
    <n v="0"/>
    <n v="0"/>
    <n v="0"/>
  </r>
  <r>
    <x v="279"/>
    <x v="0"/>
    <x v="2"/>
    <x v="29"/>
    <d v="2025-10-14T00:00:00"/>
    <x v="1"/>
    <x v="3"/>
    <x v="1"/>
    <x v="1"/>
    <m/>
    <n v="4"/>
    <n v="5"/>
    <n v="5"/>
    <x v="2"/>
    <n v="1"/>
    <n v="1"/>
    <n v="1"/>
    <n v="0"/>
  </r>
  <r>
    <x v="280"/>
    <x v="0"/>
    <x v="0"/>
    <x v="18"/>
    <d v="2025-10-21T00:00:00"/>
    <x v="27"/>
    <x v="9"/>
    <x v="0"/>
    <x v="0"/>
    <d v="2025-11-16T00:00:00"/>
    <n v="1"/>
    <n v="4"/>
    <n v="5"/>
    <x v="1"/>
    <n v="1"/>
    <n v="1"/>
    <n v="1"/>
    <n v="1"/>
  </r>
  <r>
    <x v="281"/>
    <x v="3"/>
    <x v="1"/>
    <x v="15"/>
    <m/>
    <x v="2"/>
    <x v="2"/>
    <x v="1"/>
    <x v="3"/>
    <m/>
    <m/>
    <m/>
    <m/>
    <x v="2"/>
    <n v="1"/>
    <n v="0"/>
    <n v="0"/>
    <n v="0"/>
  </r>
  <r>
    <x v="282"/>
    <x v="0"/>
    <x v="2"/>
    <x v="5"/>
    <d v="2025-10-28T00:00:00"/>
    <x v="10"/>
    <x v="13"/>
    <x v="1"/>
    <x v="2"/>
    <m/>
    <n v="1"/>
    <n v="5"/>
    <n v="4"/>
    <x v="2"/>
    <n v="1"/>
    <n v="1"/>
    <n v="1"/>
    <n v="0"/>
  </r>
  <r>
    <x v="283"/>
    <x v="3"/>
    <x v="1"/>
    <x v="23"/>
    <m/>
    <x v="2"/>
    <x v="2"/>
    <x v="1"/>
    <x v="3"/>
    <m/>
    <m/>
    <m/>
    <m/>
    <x v="2"/>
    <n v="1"/>
    <n v="0"/>
    <n v="0"/>
    <n v="0"/>
  </r>
  <r>
    <x v="284"/>
    <x v="1"/>
    <x v="0"/>
    <x v="20"/>
    <d v="2025-11-02T00:00:00"/>
    <x v="4"/>
    <x v="8"/>
    <x v="0"/>
    <x v="0"/>
    <d v="2025-11-28T00:00:00"/>
    <n v="3"/>
    <n v="2"/>
    <n v="6"/>
    <x v="8"/>
    <n v="1"/>
    <n v="1"/>
    <n v="1"/>
    <n v="1"/>
  </r>
  <r>
    <x v="285"/>
    <x v="2"/>
    <x v="0"/>
    <x v="29"/>
    <d v="2025-10-13T00:00:00"/>
    <x v="17"/>
    <x v="16"/>
    <x v="0"/>
    <x v="0"/>
    <d v="2025-11-14T00:00:00"/>
    <n v="3"/>
    <n v="2"/>
    <n v="2"/>
    <x v="3"/>
    <n v="1"/>
    <n v="1"/>
    <n v="1"/>
    <n v="1"/>
  </r>
  <r>
    <x v="286"/>
    <x v="0"/>
    <x v="1"/>
    <x v="11"/>
    <m/>
    <x v="2"/>
    <x v="2"/>
    <x v="1"/>
    <x v="2"/>
    <m/>
    <m/>
    <m/>
    <m/>
    <x v="2"/>
    <n v="1"/>
    <n v="0"/>
    <n v="0"/>
    <n v="0"/>
  </r>
  <r>
    <x v="287"/>
    <x v="0"/>
    <x v="2"/>
    <x v="7"/>
    <d v="2025-10-05T00:00:00"/>
    <x v="13"/>
    <x v="16"/>
    <x v="0"/>
    <x v="0"/>
    <d v="2025-10-28T00:00:00"/>
    <n v="1"/>
    <n v="5"/>
    <n v="7"/>
    <x v="0"/>
    <n v="1"/>
    <n v="1"/>
    <n v="1"/>
    <n v="1"/>
  </r>
  <r>
    <x v="288"/>
    <x v="1"/>
    <x v="0"/>
    <x v="11"/>
    <d v="2025-10-16T00:00:00"/>
    <x v="25"/>
    <x v="19"/>
    <x v="1"/>
    <x v="3"/>
    <m/>
    <n v="1"/>
    <n v="1"/>
    <n v="2"/>
    <x v="2"/>
    <n v="1"/>
    <n v="1"/>
    <n v="1"/>
    <n v="0"/>
  </r>
  <r>
    <x v="289"/>
    <x v="2"/>
    <x v="1"/>
    <x v="12"/>
    <m/>
    <x v="2"/>
    <x v="2"/>
    <x v="1"/>
    <x v="1"/>
    <m/>
    <m/>
    <m/>
    <m/>
    <x v="2"/>
    <n v="1"/>
    <n v="0"/>
    <n v="0"/>
    <n v="0"/>
  </r>
  <r>
    <x v="290"/>
    <x v="3"/>
    <x v="2"/>
    <x v="29"/>
    <d v="2025-10-15T00:00:00"/>
    <x v="6"/>
    <x v="32"/>
    <x v="0"/>
    <x v="0"/>
    <d v="2025-11-10T00:00:00"/>
    <n v="5"/>
    <n v="5"/>
    <n v="7"/>
    <x v="8"/>
    <n v="1"/>
    <n v="1"/>
    <n v="1"/>
    <n v="1"/>
  </r>
  <r>
    <x v="291"/>
    <x v="2"/>
    <x v="0"/>
    <x v="12"/>
    <d v="2025-10-28T00:00:00"/>
    <x v="12"/>
    <x v="13"/>
    <x v="0"/>
    <x v="0"/>
    <d v="2025-11-19T00:00:00"/>
    <n v="5"/>
    <n v="4"/>
    <n v="5"/>
    <x v="10"/>
    <n v="1"/>
    <n v="1"/>
    <n v="1"/>
    <n v="1"/>
  </r>
  <r>
    <x v="292"/>
    <x v="1"/>
    <x v="1"/>
    <x v="27"/>
    <m/>
    <x v="2"/>
    <x v="2"/>
    <x v="1"/>
    <x v="1"/>
    <m/>
    <m/>
    <m/>
    <m/>
    <x v="2"/>
    <n v="1"/>
    <n v="0"/>
    <n v="0"/>
    <n v="0"/>
  </r>
  <r>
    <x v="293"/>
    <x v="1"/>
    <x v="2"/>
    <x v="8"/>
    <d v="2025-11-05T00:00:00"/>
    <x v="39"/>
    <x v="40"/>
    <x v="0"/>
    <x v="0"/>
    <d v="2025-11-29T00:00:00"/>
    <n v="5"/>
    <n v="5"/>
    <n v="7"/>
    <x v="5"/>
    <n v="1"/>
    <n v="1"/>
    <n v="1"/>
    <n v="1"/>
  </r>
  <r>
    <x v="294"/>
    <x v="2"/>
    <x v="1"/>
    <x v="17"/>
    <m/>
    <x v="2"/>
    <x v="2"/>
    <x v="1"/>
    <x v="5"/>
    <m/>
    <m/>
    <m/>
    <m/>
    <x v="2"/>
    <n v="1"/>
    <n v="0"/>
    <n v="0"/>
    <n v="0"/>
  </r>
  <r>
    <x v="295"/>
    <x v="3"/>
    <x v="0"/>
    <x v="16"/>
    <d v="2025-10-21T00:00:00"/>
    <x v="28"/>
    <x v="24"/>
    <x v="1"/>
    <x v="4"/>
    <m/>
    <n v="4"/>
    <n v="3"/>
    <n v="7"/>
    <x v="2"/>
    <n v="1"/>
    <n v="1"/>
    <n v="1"/>
    <n v="0"/>
  </r>
  <r>
    <x v="296"/>
    <x v="3"/>
    <x v="0"/>
    <x v="21"/>
    <d v="2025-10-22T00:00:00"/>
    <x v="16"/>
    <x v="9"/>
    <x v="0"/>
    <x v="0"/>
    <d v="2025-11-20T00:00:00"/>
    <n v="4"/>
    <n v="1"/>
    <n v="7"/>
    <x v="5"/>
    <n v="1"/>
    <n v="1"/>
    <n v="1"/>
    <n v="1"/>
  </r>
  <r>
    <x v="297"/>
    <x v="0"/>
    <x v="0"/>
    <x v="6"/>
    <d v="2025-10-21T00:00:00"/>
    <x v="26"/>
    <x v="9"/>
    <x v="0"/>
    <x v="0"/>
    <d v="2025-11-26T00:00:00"/>
    <n v="5"/>
    <n v="5"/>
    <n v="4"/>
    <x v="4"/>
    <n v="1"/>
    <n v="1"/>
    <n v="1"/>
    <n v="1"/>
  </r>
  <r>
    <x v="298"/>
    <x v="3"/>
    <x v="2"/>
    <x v="11"/>
    <d v="2025-10-20T00:00:00"/>
    <x v="3"/>
    <x v="15"/>
    <x v="0"/>
    <x v="0"/>
    <d v="2025-11-15T00:00:00"/>
    <n v="5"/>
    <n v="1"/>
    <n v="2"/>
    <x v="4"/>
    <n v="1"/>
    <n v="1"/>
    <n v="1"/>
    <n v="1"/>
  </r>
  <r>
    <x v="299"/>
    <x v="2"/>
    <x v="1"/>
    <x v="25"/>
    <m/>
    <x v="2"/>
    <x v="2"/>
    <x v="1"/>
    <x v="3"/>
    <m/>
    <m/>
    <m/>
    <m/>
    <x v="2"/>
    <n v="1"/>
    <n v="0"/>
    <n v="0"/>
    <n v="0"/>
  </r>
  <r>
    <x v="300"/>
    <x v="1"/>
    <x v="1"/>
    <x v="18"/>
    <m/>
    <x v="2"/>
    <x v="2"/>
    <x v="1"/>
    <x v="5"/>
    <m/>
    <m/>
    <m/>
    <m/>
    <x v="2"/>
    <n v="1"/>
    <n v="0"/>
    <n v="0"/>
    <n v="0"/>
  </r>
  <r>
    <x v="301"/>
    <x v="0"/>
    <x v="0"/>
    <x v="30"/>
    <d v="2025-10-03T00:00:00"/>
    <x v="34"/>
    <x v="30"/>
    <x v="0"/>
    <x v="0"/>
    <d v="2025-11-07T00:00:00"/>
    <n v="1"/>
    <n v="1"/>
    <n v="6"/>
    <x v="1"/>
    <n v="1"/>
    <n v="1"/>
    <n v="1"/>
    <n v="1"/>
  </r>
  <r>
    <x v="302"/>
    <x v="0"/>
    <x v="0"/>
    <x v="10"/>
    <d v="2025-11-02T00:00:00"/>
    <x v="38"/>
    <x v="39"/>
    <x v="0"/>
    <x v="0"/>
    <d v="2025-11-29T00:00:00"/>
    <n v="4"/>
    <n v="5"/>
    <n v="5"/>
    <x v="7"/>
    <n v="1"/>
    <n v="1"/>
    <n v="1"/>
    <n v="1"/>
  </r>
  <r>
    <x v="303"/>
    <x v="1"/>
    <x v="0"/>
    <x v="4"/>
    <d v="2025-10-19T00:00:00"/>
    <x v="28"/>
    <x v="32"/>
    <x v="0"/>
    <x v="0"/>
    <d v="2025-11-23T00:00:00"/>
    <n v="5"/>
    <n v="5"/>
    <n v="3"/>
    <x v="5"/>
    <n v="1"/>
    <n v="1"/>
    <n v="1"/>
    <n v="1"/>
  </r>
  <r>
    <x v="304"/>
    <x v="3"/>
    <x v="0"/>
    <x v="15"/>
    <d v="2025-10-26T00:00:00"/>
    <x v="8"/>
    <x v="26"/>
    <x v="0"/>
    <x v="0"/>
    <d v="2025-11-13T00:00:00"/>
    <n v="2"/>
    <n v="2"/>
    <n v="5"/>
    <x v="10"/>
    <n v="1"/>
    <n v="1"/>
    <n v="1"/>
    <n v="1"/>
  </r>
  <r>
    <x v="305"/>
    <x v="1"/>
    <x v="0"/>
    <x v="1"/>
    <d v="2025-10-14T00:00:00"/>
    <x v="1"/>
    <x v="31"/>
    <x v="0"/>
    <x v="0"/>
    <d v="2025-11-13T00:00:00"/>
    <n v="3"/>
    <n v="5"/>
    <n v="3"/>
    <x v="10"/>
    <n v="1"/>
    <n v="1"/>
    <n v="1"/>
    <n v="1"/>
  </r>
  <r>
    <x v="306"/>
    <x v="3"/>
    <x v="0"/>
    <x v="18"/>
    <d v="2025-10-25T00:00:00"/>
    <x v="15"/>
    <x v="34"/>
    <x v="0"/>
    <x v="0"/>
    <d v="2025-11-30T00:00:00"/>
    <n v="5"/>
    <n v="5"/>
    <n v="5"/>
    <x v="1"/>
    <n v="1"/>
    <n v="1"/>
    <n v="1"/>
    <n v="1"/>
  </r>
  <r>
    <x v="307"/>
    <x v="1"/>
    <x v="0"/>
    <x v="17"/>
    <d v="2025-10-13T00:00:00"/>
    <x v="17"/>
    <x v="19"/>
    <x v="0"/>
    <x v="0"/>
    <d v="2025-11-11T00:00:00"/>
    <n v="4"/>
    <n v="2"/>
    <n v="4"/>
    <x v="3"/>
    <n v="1"/>
    <n v="1"/>
    <n v="1"/>
    <n v="1"/>
  </r>
  <r>
    <x v="308"/>
    <x v="2"/>
    <x v="0"/>
    <x v="2"/>
    <d v="2025-10-06T00:00:00"/>
    <x v="5"/>
    <x v="28"/>
    <x v="0"/>
    <x v="0"/>
    <d v="2025-11-08T00:00:00"/>
    <n v="5"/>
    <n v="2"/>
    <n v="4"/>
    <x v="5"/>
    <n v="1"/>
    <n v="1"/>
    <n v="1"/>
    <n v="1"/>
  </r>
  <r>
    <x v="309"/>
    <x v="3"/>
    <x v="0"/>
    <x v="25"/>
    <d v="2025-10-05T00:00:00"/>
    <x v="5"/>
    <x v="28"/>
    <x v="0"/>
    <x v="0"/>
    <d v="2025-11-06T00:00:00"/>
    <n v="2"/>
    <n v="3"/>
    <n v="4"/>
    <x v="7"/>
    <n v="1"/>
    <n v="1"/>
    <n v="1"/>
    <n v="1"/>
  </r>
  <r>
    <x v="310"/>
    <x v="2"/>
    <x v="2"/>
    <x v="24"/>
    <d v="2025-10-09T00:00:00"/>
    <x v="23"/>
    <x v="27"/>
    <x v="0"/>
    <x v="0"/>
    <d v="2025-11-15T00:00:00"/>
    <n v="1"/>
    <n v="5"/>
    <n v="4"/>
    <x v="9"/>
    <n v="1"/>
    <n v="1"/>
    <n v="1"/>
    <n v="1"/>
  </r>
  <r>
    <x v="311"/>
    <x v="0"/>
    <x v="2"/>
    <x v="8"/>
    <d v="2025-11-04T00:00:00"/>
    <x v="33"/>
    <x v="33"/>
    <x v="0"/>
    <x v="0"/>
    <d v="2025-12-01T00:00:00"/>
    <n v="4"/>
    <n v="4"/>
    <n v="6"/>
    <x v="5"/>
    <n v="1"/>
    <n v="1"/>
    <n v="1"/>
    <n v="1"/>
  </r>
  <r>
    <x v="312"/>
    <x v="1"/>
    <x v="0"/>
    <x v="26"/>
    <d v="2025-10-23T00:00:00"/>
    <x v="28"/>
    <x v="9"/>
    <x v="0"/>
    <x v="0"/>
    <d v="2025-11-24T00:00:00"/>
    <n v="1"/>
    <n v="1"/>
    <n v="6"/>
    <x v="5"/>
    <n v="1"/>
    <n v="1"/>
    <n v="1"/>
    <n v="1"/>
  </r>
  <r>
    <x v="313"/>
    <x v="0"/>
    <x v="0"/>
    <x v="5"/>
    <d v="2025-10-30T00:00:00"/>
    <x v="12"/>
    <x v="34"/>
    <x v="0"/>
    <x v="0"/>
    <d v="2025-11-23T00:00:00"/>
    <n v="3"/>
    <n v="2"/>
    <n v="3"/>
    <x v="5"/>
    <n v="1"/>
    <n v="1"/>
    <n v="1"/>
    <n v="1"/>
  </r>
  <r>
    <x v="314"/>
    <x v="0"/>
    <x v="0"/>
    <x v="3"/>
    <d v="2025-10-29T00:00:00"/>
    <x v="22"/>
    <x v="23"/>
    <x v="0"/>
    <x v="0"/>
    <d v="2025-11-21T00:00:00"/>
    <n v="1"/>
    <n v="5"/>
    <n v="6"/>
    <x v="8"/>
    <n v="1"/>
    <n v="1"/>
    <n v="1"/>
    <n v="1"/>
  </r>
  <r>
    <x v="315"/>
    <x v="0"/>
    <x v="0"/>
    <x v="23"/>
    <d v="2025-10-24T00:00:00"/>
    <x v="8"/>
    <x v="26"/>
    <x v="0"/>
    <x v="0"/>
    <d v="2025-11-24T00:00:00"/>
    <n v="5"/>
    <n v="4"/>
    <n v="5"/>
    <x v="7"/>
    <n v="1"/>
    <n v="1"/>
    <n v="1"/>
    <n v="1"/>
  </r>
  <r>
    <x v="316"/>
    <x v="0"/>
    <x v="0"/>
    <x v="23"/>
    <d v="2025-10-21T00:00:00"/>
    <x v="24"/>
    <x v="1"/>
    <x v="0"/>
    <x v="0"/>
    <d v="2025-11-06T00:00:00"/>
    <n v="2"/>
    <n v="1"/>
    <n v="4"/>
    <x v="3"/>
    <n v="1"/>
    <n v="1"/>
    <n v="1"/>
    <n v="1"/>
  </r>
  <r>
    <x v="317"/>
    <x v="1"/>
    <x v="0"/>
    <x v="8"/>
    <d v="2025-11-01T00:00:00"/>
    <x v="9"/>
    <x v="10"/>
    <x v="1"/>
    <x v="4"/>
    <m/>
    <n v="1"/>
    <n v="5"/>
    <n v="7"/>
    <x v="2"/>
    <n v="1"/>
    <n v="1"/>
    <n v="1"/>
    <n v="0"/>
  </r>
  <r>
    <x v="318"/>
    <x v="0"/>
    <x v="0"/>
    <x v="2"/>
    <d v="2025-10-03T00:00:00"/>
    <x v="36"/>
    <x v="35"/>
    <x v="0"/>
    <x v="0"/>
    <d v="2025-11-04T00:00:00"/>
    <n v="2"/>
    <n v="4"/>
    <n v="2"/>
    <x v="5"/>
    <n v="1"/>
    <n v="1"/>
    <n v="1"/>
    <n v="1"/>
  </r>
  <r>
    <x v="319"/>
    <x v="1"/>
    <x v="0"/>
    <x v="22"/>
    <d v="2025-10-29T00:00:00"/>
    <x v="15"/>
    <x v="17"/>
    <x v="1"/>
    <x v="3"/>
    <m/>
    <n v="4"/>
    <n v="1"/>
    <n v="2"/>
    <x v="2"/>
    <n v="1"/>
    <n v="1"/>
    <n v="1"/>
    <n v="0"/>
  </r>
  <r>
    <x v="320"/>
    <x v="1"/>
    <x v="0"/>
    <x v="26"/>
    <d v="2025-10-26T00:00:00"/>
    <x v="15"/>
    <x v="17"/>
    <x v="0"/>
    <x v="0"/>
    <d v="2025-11-29T00:00:00"/>
    <n v="4"/>
    <n v="4"/>
    <n v="2"/>
    <x v="8"/>
    <n v="1"/>
    <n v="1"/>
    <n v="1"/>
    <n v="1"/>
  </r>
  <r>
    <x v="321"/>
    <x v="2"/>
    <x v="1"/>
    <x v="5"/>
    <m/>
    <x v="2"/>
    <x v="2"/>
    <x v="1"/>
    <x v="2"/>
    <m/>
    <m/>
    <m/>
    <m/>
    <x v="2"/>
    <n v="1"/>
    <n v="0"/>
    <n v="0"/>
    <n v="0"/>
  </r>
  <r>
    <x v="322"/>
    <x v="3"/>
    <x v="0"/>
    <x v="17"/>
    <d v="2025-10-14T00:00:00"/>
    <x v="20"/>
    <x v="15"/>
    <x v="1"/>
    <x v="4"/>
    <m/>
    <n v="5"/>
    <n v="2"/>
    <n v="7"/>
    <x v="2"/>
    <n v="1"/>
    <n v="1"/>
    <n v="1"/>
    <n v="0"/>
  </r>
  <r>
    <x v="323"/>
    <x v="3"/>
    <x v="2"/>
    <x v="23"/>
    <d v="2025-10-24T00:00:00"/>
    <x v="0"/>
    <x v="0"/>
    <x v="0"/>
    <x v="0"/>
    <d v="2025-11-29T00:00:00"/>
    <n v="5"/>
    <n v="5"/>
    <n v="5"/>
    <x v="0"/>
    <n v="1"/>
    <n v="1"/>
    <n v="1"/>
    <n v="1"/>
  </r>
  <r>
    <x v="324"/>
    <x v="1"/>
    <x v="2"/>
    <x v="30"/>
    <d v="2025-10-07T00:00:00"/>
    <x v="30"/>
    <x v="38"/>
    <x v="1"/>
    <x v="1"/>
    <m/>
    <n v="5"/>
    <n v="4"/>
    <n v="2"/>
    <x v="2"/>
    <n v="1"/>
    <n v="1"/>
    <n v="1"/>
    <n v="0"/>
  </r>
  <r>
    <x v="325"/>
    <x v="2"/>
    <x v="2"/>
    <x v="22"/>
    <d v="2025-10-27T00:00:00"/>
    <x v="31"/>
    <x v="26"/>
    <x v="0"/>
    <x v="0"/>
    <d v="2025-11-30T00:00:00"/>
    <n v="2"/>
    <n v="4"/>
    <n v="2"/>
    <x v="4"/>
    <n v="1"/>
    <n v="1"/>
    <n v="1"/>
    <n v="1"/>
  </r>
  <r>
    <x v="326"/>
    <x v="1"/>
    <x v="0"/>
    <x v="22"/>
    <d v="2025-10-28T00:00:00"/>
    <x v="10"/>
    <x v="18"/>
    <x v="0"/>
    <x v="0"/>
    <d v="2025-12-04T00:00:00"/>
    <n v="3"/>
    <n v="5"/>
    <n v="3"/>
    <x v="5"/>
    <n v="1"/>
    <n v="1"/>
    <n v="1"/>
    <n v="1"/>
  </r>
  <r>
    <x v="327"/>
    <x v="1"/>
    <x v="0"/>
    <x v="14"/>
    <d v="2025-10-09T00:00:00"/>
    <x v="13"/>
    <x v="6"/>
    <x v="0"/>
    <x v="0"/>
    <d v="2025-10-29T00:00:00"/>
    <n v="3"/>
    <n v="1"/>
    <n v="5"/>
    <x v="11"/>
    <n v="1"/>
    <n v="1"/>
    <n v="1"/>
    <n v="1"/>
  </r>
  <r>
    <x v="328"/>
    <x v="1"/>
    <x v="0"/>
    <x v="6"/>
    <d v="2025-10-19T00:00:00"/>
    <x v="28"/>
    <x v="21"/>
    <x v="0"/>
    <x v="0"/>
    <d v="2025-11-11T00:00:00"/>
    <n v="3"/>
    <n v="5"/>
    <n v="5"/>
    <x v="9"/>
    <n v="1"/>
    <n v="1"/>
    <n v="1"/>
    <n v="1"/>
  </r>
  <r>
    <x v="329"/>
    <x v="2"/>
    <x v="0"/>
    <x v="16"/>
    <d v="2025-10-21T00:00:00"/>
    <x v="27"/>
    <x v="32"/>
    <x v="0"/>
    <x v="0"/>
    <d v="2025-11-20T00:00:00"/>
    <n v="4"/>
    <n v="4"/>
    <n v="2"/>
    <x v="0"/>
    <n v="1"/>
    <n v="1"/>
    <n v="1"/>
    <n v="1"/>
  </r>
  <r>
    <x v="330"/>
    <x v="3"/>
    <x v="2"/>
    <x v="0"/>
    <d v="2025-10-25T00:00:00"/>
    <x v="8"/>
    <x v="26"/>
    <x v="0"/>
    <x v="0"/>
    <d v="2025-11-17T00:00:00"/>
    <n v="4"/>
    <n v="3"/>
    <n v="5"/>
    <x v="10"/>
    <n v="1"/>
    <n v="1"/>
    <n v="1"/>
    <n v="1"/>
  </r>
  <r>
    <x v="331"/>
    <x v="2"/>
    <x v="0"/>
    <x v="11"/>
    <d v="2025-10-18T00:00:00"/>
    <x v="1"/>
    <x v="31"/>
    <x v="0"/>
    <x v="0"/>
    <d v="2025-11-06T00:00:00"/>
    <n v="3"/>
    <n v="1"/>
    <n v="3"/>
    <x v="6"/>
    <n v="1"/>
    <n v="1"/>
    <n v="1"/>
    <n v="1"/>
  </r>
  <r>
    <x v="332"/>
    <x v="0"/>
    <x v="2"/>
    <x v="20"/>
    <d v="2025-11-04T00:00:00"/>
    <x v="33"/>
    <x v="20"/>
    <x v="0"/>
    <x v="0"/>
    <d v="2025-12-01T00:00:00"/>
    <n v="5"/>
    <n v="4"/>
    <n v="7"/>
    <x v="0"/>
    <n v="1"/>
    <n v="1"/>
    <n v="1"/>
    <n v="1"/>
  </r>
  <r>
    <x v="333"/>
    <x v="2"/>
    <x v="0"/>
    <x v="17"/>
    <d v="2025-10-10T00:00:00"/>
    <x v="21"/>
    <x v="14"/>
    <x v="0"/>
    <x v="0"/>
    <d v="2025-11-01T00:00:00"/>
    <n v="1"/>
    <n v="3"/>
    <n v="3"/>
    <x v="0"/>
    <n v="1"/>
    <n v="1"/>
    <n v="1"/>
    <n v="1"/>
  </r>
  <r>
    <x v="334"/>
    <x v="2"/>
    <x v="2"/>
    <x v="14"/>
    <d v="2025-10-09T00:00:00"/>
    <x v="13"/>
    <x v="16"/>
    <x v="0"/>
    <x v="0"/>
    <d v="2025-10-31T00:00:00"/>
    <n v="3"/>
    <n v="1"/>
    <n v="7"/>
    <x v="10"/>
    <n v="1"/>
    <n v="1"/>
    <n v="1"/>
    <n v="1"/>
  </r>
  <r>
    <x v="335"/>
    <x v="2"/>
    <x v="1"/>
    <x v="23"/>
    <m/>
    <x v="2"/>
    <x v="2"/>
    <x v="1"/>
    <x v="5"/>
    <m/>
    <m/>
    <m/>
    <m/>
    <x v="2"/>
    <n v="1"/>
    <n v="0"/>
    <n v="0"/>
    <n v="0"/>
  </r>
  <r>
    <x v="336"/>
    <x v="2"/>
    <x v="2"/>
    <x v="4"/>
    <d v="2025-10-15T00:00:00"/>
    <x v="25"/>
    <x v="12"/>
    <x v="0"/>
    <x v="0"/>
    <d v="2025-11-01T00:00:00"/>
    <n v="1"/>
    <n v="2"/>
    <n v="4"/>
    <x v="11"/>
    <n v="1"/>
    <n v="1"/>
    <n v="1"/>
    <n v="1"/>
  </r>
  <r>
    <x v="337"/>
    <x v="3"/>
    <x v="1"/>
    <x v="0"/>
    <m/>
    <x v="2"/>
    <x v="2"/>
    <x v="1"/>
    <x v="4"/>
    <m/>
    <m/>
    <m/>
    <m/>
    <x v="2"/>
    <n v="1"/>
    <n v="0"/>
    <n v="0"/>
    <n v="0"/>
  </r>
  <r>
    <x v="338"/>
    <x v="0"/>
    <x v="0"/>
    <x v="5"/>
    <d v="2025-10-30T00:00:00"/>
    <x v="4"/>
    <x v="4"/>
    <x v="0"/>
    <x v="0"/>
    <d v="2025-11-30T00:00:00"/>
    <n v="3"/>
    <n v="5"/>
    <n v="3"/>
    <x v="9"/>
    <n v="1"/>
    <n v="1"/>
    <n v="1"/>
    <n v="1"/>
  </r>
  <r>
    <x v="339"/>
    <x v="3"/>
    <x v="1"/>
    <x v="6"/>
    <m/>
    <x v="2"/>
    <x v="2"/>
    <x v="1"/>
    <x v="4"/>
    <m/>
    <m/>
    <m/>
    <m/>
    <x v="2"/>
    <n v="1"/>
    <n v="0"/>
    <n v="0"/>
    <n v="0"/>
  </r>
  <r>
    <x v="340"/>
    <x v="3"/>
    <x v="0"/>
    <x v="25"/>
    <d v="2025-10-04T00:00:00"/>
    <x v="32"/>
    <x v="35"/>
    <x v="0"/>
    <x v="0"/>
    <d v="2025-10-21T00:00:00"/>
    <n v="1"/>
    <n v="1"/>
    <n v="4"/>
    <x v="4"/>
    <n v="1"/>
    <n v="1"/>
    <n v="1"/>
    <n v="1"/>
  </r>
  <r>
    <x v="341"/>
    <x v="2"/>
    <x v="0"/>
    <x v="6"/>
    <d v="2025-10-21T00:00:00"/>
    <x v="24"/>
    <x v="3"/>
    <x v="0"/>
    <x v="0"/>
    <d v="2025-11-16T00:00:00"/>
    <n v="5"/>
    <n v="1"/>
    <n v="2"/>
    <x v="10"/>
    <n v="1"/>
    <n v="1"/>
    <n v="1"/>
    <n v="1"/>
  </r>
  <r>
    <x v="342"/>
    <x v="1"/>
    <x v="0"/>
    <x v="9"/>
    <d v="2025-10-16T00:00:00"/>
    <x v="6"/>
    <x v="32"/>
    <x v="0"/>
    <x v="0"/>
    <d v="2025-11-12T00:00:00"/>
    <n v="4"/>
    <n v="4"/>
    <n v="7"/>
    <x v="8"/>
    <n v="1"/>
    <n v="1"/>
    <n v="1"/>
    <n v="1"/>
  </r>
  <r>
    <x v="343"/>
    <x v="1"/>
    <x v="0"/>
    <x v="4"/>
    <d v="2025-10-17T00:00:00"/>
    <x v="6"/>
    <x v="3"/>
    <x v="0"/>
    <x v="0"/>
    <d v="2025-11-23T00:00:00"/>
    <n v="3"/>
    <n v="3"/>
    <n v="4"/>
    <x v="1"/>
    <n v="1"/>
    <n v="1"/>
    <n v="1"/>
    <n v="1"/>
  </r>
  <r>
    <x v="344"/>
    <x v="3"/>
    <x v="0"/>
    <x v="1"/>
    <d v="2025-10-14T00:00:00"/>
    <x v="17"/>
    <x v="19"/>
    <x v="0"/>
    <x v="0"/>
    <d v="2025-11-02T00:00:00"/>
    <n v="3"/>
    <n v="1"/>
    <n v="4"/>
    <x v="9"/>
    <n v="1"/>
    <n v="1"/>
    <n v="1"/>
    <n v="1"/>
  </r>
  <r>
    <x v="345"/>
    <x v="3"/>
    <x v="0"/>
    <x v="1"/>
    <d v="2025-10-16T00:00:00"/>
    <x v="3"/>
    <x v="15"/>
    <x v="0"/>
    <x v="0"/>
    <d v="2025-11-21T00:00:00"/>
    <n v="5"/>
    <n v="5"/>
    <n v="2"/>
    <x v="5"/>
    <n v="1"/>
    <n v="1"/>
    <n v="1"/>
    <n v="1"/>
  </r>
  <r>
    <x v="346"/>
    <x v="2"/>
    <x v="0"/>
    <x v="26"/>
    <d v="2025-10-24T00:00:00"/>
    <x v="27"/>
    <x v="21"/>
    <x v="0"/>
    <x v="0"/>
    <d v="2025-11-16T00:00:00"/>
    <n v="2"/>
    <n v="1"/>
    <n v="4"/>
    <x v="8"/>
    <n v="1"/>
    <n v="1"/>
    <n v="1"/>
    <n v="1"/>
  </r>
  <r>
    <x v="347"/>
    <x v="3"/>
    <x v="2"/>
    <x v="7"/>
    <d v="2025-10-07T00:00:00"/>
    <x v="5"/>
    <x v="6"/>
    <x v="0"/>
    <x v="0"/>
    <d v="2025-11-04T00:00:00"/>
    <n v="3"/>
    <n v="1"/>
    <n v="7"/>
    <x v="1"/>
    <n v="1"/>
    <n v="1"/>
    <n v="1"/>
    <n v="1"/>
  </r>
  <r>
    <x v="348"/>
    <x v="2"/>
    <x v="0"/>
    <x v="3"/>
    <d v="2025-10-29T00:00:00"/>
    <x v="10"/>
    <x v="23"/>
    <x v="0"/>
    <x v="0"/>
    <d v="2025-11-21T00:00:00"/>
    <n v="1"/>
    <n v="4"/>
    <n v="7"/>
    <x v="8"/>
    <n v="1"/>
    <n v="1"/>
    <n v="1"/>
    <n v="1"/>
  </r>
  <r>
    <x v="349"/>
    <x v="1"/>
    <x v="0"/>
    <x v="14"/>
    <d v="2025-10-11T00:00:00"/>
    <x v="14"/>
    <x v="6"/>
    <x v="0"/>
    <x v="0"/>
    <d v="2025-10-27T00:00:00"/>
    <n v="5"/>
    <n v="1"/>
    <n v="3"/>
    <x v="5"/>
    <n v="1"/>
    <n v="1"/>
    <n v="1"/>
    <n v="1"/>
  </r>
  <r>
    <x v="350"/>
    <x v="1"/>
    <x v="0"/>
    <x v="1"/>
    <d v="2025-10-13T00:00:00"/>
    <x v="20"/>
    <x v="27"/>
    <x v="1"/>
    <x v="1"/>
    <m/>
    <n v="2"/>
    <n v="3"/>
    <n v="2"/>
    <x v="2"/>
    <n v="1"/>
    <n v="1"/>
    <n v="1"/>
    <n v="0"/>
  </r>
  <r>
    <x v="351"/>
    <x v="0"/>
    <x v="0"/>
    <x v="4"/>
    <d v="2025-10-17T00:00:00"/>
    <x v="3"/>
    <x v="1"/>
    <x v="1"/>
    <x v="3"/>
    <m/>
    <n v="3"/>
    <n v="4"/>
    <n v="5"/>
    <x v="2"/>
    <n v="1"/>
    <n v="1"/>
    <n v="1"/>
    <n v="0"/>
  </r>
  <r>
    <x v="352"/>
    <x v="1"/>
    <x v="0"/>
    <x v="12"/>
    <d v="2025-10-26T00:00:00"/>
    <x v="8"/>
    <x v="34"/>
    <x v="0"/>
    <x v="0"/>
    <d v="2025-11-26T00:00:00"/>
    <n v="3"/>
    <n v="2"/>
    <n v="7"/>
    <x v="7"/>
    <n v="1"/>
    <n v="1"/>
    <n v="1"/>
    <n v="1"/>
  </r>
  <r>
    <x v="353"/>
    <x v="3"/>
    <x v="1"/>
    <x v="6"/>
    <m/>
    <x v="2"/>
    <x v="2"/>
    <x v="1"/>
    <x v="2"/>
    <m/>
    <m/>
    <m/>
    <m/>
    <x v="2"/>
    <n v="1"/>
    <n v="0"/>
    <n v="0"/>
    <n v="0"/>
  </r>
  <r>
    <x v="354"/>
    <x v="1"/>
    <x v="2"/>
    <x v="29"/>
    <d v="2025-10-14T00:00:00"/>
    <x v="20"/>
    <x v="22"/>
    <x v="0"/>
    <x v="0"/>
    <d v="2025-11-16T00:00:00"/>
    <n v="4"/>
    <n v="2"/>
    <n v="4"/>
    <x v="0"/>
    <n v="1"/>
    <n v="1"/>
    <n v="1"/>
    <n v="1"/>
  </r>
  <r>
    <x v="355"/>
    <x v="2"/>
    <x v="0"/>
    <x v="26"/>
    <d v="2025-10-24T00:00:00"/>
    <x v="8"/>
    <x v="34"/>
    <x v="0"/>
    <x v="0"/>
    <d v="2025-11-26T00:00:00"/>
    <n v="2"/>
    <n v="4"/>
    <n v="7"/>
    <x v="9"/>
    <n v="1"/>
    <n v="1"/>
    <n v="1"/>
    <n v="1"/>
  </r>
  <r>
    <x v="356"/>
    <x v="1"/>
    <x v="0"/>
    <x v="8"/>
    <d v="2025-11-05T00:00:00"/>
    <x v="33"/>
    <x v="20"/>
    <x v="0"/>
    <x v="0"/>
    <d v="2025-12-12T00:00:00"/>
    <n v="5"/>
    <n v="3"/>
    <n v="7"/>
    <x v="4"/>
    <n v="1"/>
    <n v="1"/>
    <n v="1"/>
    <n v="1"/>
  </r>
  <r>
    <x v="357"/>
    <x v="0"/>
    <x v="0"/>
    <x v="27"/>
    <d v="2025-10-14T00:00:00"/>
    <x v="11"/>
    <x v="12"/>
    <x v="0"/>
    <x v="0"/>
    <d v="2025-11-10T00:00:00"/>
    <n v="1"/>
    <n v="4"/>
    <n v="3"/>
    <x v="9"/>
    <n v="1"/>
    <n v="1"/>
    <n v="1"/>
    <n v="1"/>
  </r>
  <r>
    <x v="358"/>
    <x v="1"/>
    <x v="1"/>
    <x v="5"/>
    <m/>
    <x v="2"/>
    <x v="2"/>
    <x v="1"/>
    <x v="1"/>
    <m/>
    <m/>
    <m/>
    <m/>
    <x v="2"/>
    <n v="1"/>
    <n v="0"/>
    <n v="0"/>
    <n v="0"/>
  </r>
  <r>
    <x v="359"/>
    <x v="2"/>
    <x v="2"/>
    <x v="22"/>
    <d v="2025-10-28T00:00:00"/>
    <x v="12"/>
    <x v="13"/>
    <x v="0"/>
    <x v="0"/>
    <d v="2025-11-24T00:00:00"/>
    <n v="3"/>
    <n v="4"/>
    <n v="5"/>
    <x v="7"/>
    <n v="1"/>
    <n v="1"/>
    <n v="1"/>
    <n v="1"/>
  </r>
  <r>
    <x v="360"/>
    <x v="2"/>
    <x v="0"/>
    <x v="21"/>
    <d v="2025-10-23T00:00:00"/>
    <x v="18"/>
    <x v="0"/>
    <x v="0"/>
    <x v="0"/>
    <d v="2025-11-29T00:00:00"/>
    <n v="5"/>
    <n v="4"/>
    <n v="7"/>
    <x v="1"/>
    <n v="1"/>
    <n v="1"/>
    <n v="1"/>
    <n v="1"/>
  </r>
  <r>
    <x v="361"/>
    <x v="3"/>
    <x v="0"/>
    <x v="30"/>
    <d v="2025-10-06T00:00:00"/>
    <x v="13"/>
    <x v="28"/>
    <x v="0"/>
    <x v="0"/>
    <d v="2025-11-05T00:00:00"/>
    <n v="4"/>
    <n v="4"/>
    <n v="2"/>
    <x v="6"/>
    <n v="1"/>
    <n v="1"/>
    <n v="1"/>
    <n v="1"/>
  </r>
  <r>
    <x v="362"/>
    <x v="1"/>
    <x v="0"/>
    <x v="11"/>
    <d v="2025-10-18T00:00:00"/>
    <x v="1"/>
    <x v="1"/>
    <x v="0"/>
    <x v="0"/>
    <d v="2025-11-05T00:00:00"/>
    <n v="3"/>
    <n v="1"/>
    <n v="7"/>
    <x v="10"/>
    <n v="1"/>
    <n v="1"/>
    <n v="1"/>
    <n v="1"/>
  </r>
  <r>
    <x v="363"/>
    <x v="2"/>
    <x v="0"/>
    <x v="25"/>
    <d v="2025-10-05T00:00:00"/>
    <x v="13"/>
    <x v="28"/>
    <x v="0"/>
    <x v="0"/>
    <d v="2025-11-10T00:00:00"/>
    <n v="2"/>
    <n v="5"/>
    <n v="2"/>
    <x v="8"/>
    <n v="1"/>
    <n v="1"/>
    <n v="1"/>
    <n v="1"/>
  </r>
  <r>
    <x v="364"/>
    <x v="0"/>
    <x v="0"/>
    <x v="1"/>
    <d v="2025-10-16T00:00:00"/>
    <x v="11"/>
    <x v="22"/>
    <x v="0"/>
    <x v="0"/>
    <d v="2025-11-17T00:00:00"/>
    <n v="5"/>
    <n v="2"/>
    <n v="2"/>
    <x v="7"/>
    <n v="1"/>
    <n v="1"/>
    <n v="1"/>
    <n v="1"/>
  </r>
  <r>
    <x v="365"/>
    <x v="3"/>
    <x v="0"/>
    <x v="17"/>
    <d v="2025-10-10T00:00:00"/>
    <x v="21"/>
    <x v="14"/>
    <x v="0"/>
    <x v="0"/>
    <d v="2025-11-11T00:00:00"/>
    <n v="1"/>
    <n v="3"/>
    <n v="3"/>
    <x v="4"/>
    <n v="1"/>
    <n v="1"/>
    <n v="1"/>
    <n v="1"/>
  </r>
  <r>
    <x v="366"/>
    <x v="0"/>
    <x v="0"/>
    <x v="1"/>
    <d v="2025-10-15T00:00:00"/>
    <x v="20"/>
    <x v="12"/>
    <x v="0"/>
    <x v="0"/>
    <d v="2025-11-13T00:00:00"/>
    <n v="4"/>
    <n v="1"/>
    <n v="5"/>
    <x v="9"/>
    <n v="1"/>
    <n v="1"/>
    <n v="1"/>
    <n v="1"/>
  </r>
  <r>
    <x v="367"/>
    <x v="1"/>
    <x v="2"/>
    <x v="7"/>
    <d v="2025-10-09T00:00:00"/>
    <x v="30"/>
    <x v="38"/>
    <x v="1"/>
    <x v="2"/>
    <m/>
    <n v="5"/>
    <n v="2"/>
    <n v="2"/>
    <x v="2"/>
    <n v="1"/>
    <n v="1"/>
    <n v="1"/>
    <n v="0"/>
  </r>
  <r>
    <x v="368"/>
    <x v="1"/>
    <x v="0"/>
    <x v="22"/>
    <d v="2025-10-28T00:00:00"/>
    <x v="10"/>
    <x v="18"/>
    <x v="0"/>
    <x v="0"/>
    <d v="2025-11-18T00:00:00"/>
    <n v="3"/>
    <n v="5"/>
    <n v="3"/>
    <x v="4"/>
    <n v="1"/>
    <n v="1"/>
    <n v="1"/>
    <n v="1"/>
  </r>
  <r>
    <x v="369"/>
    <x v="1"/>
    <x v="2"/>
    <x v="27"/>
    <d v="2025-10-14T00:00:00"/>
    <x v="11"/>
    <x v="3"/>
    <x v="0"/>
    <x v="0"/>
    <d v="2025-11-16T00:00:00"/>
    <n v="1"/>
    <n v="4"/>
    <n v="6"/>
    <x v="8"/>
    <n v="1"/>
    <n v="1"/>
    <n v="1"/>
    <n v="1"/>
  </r>
  <r>
    <x v="370"/>
    <x v="3"/>
    <x v="0"/>
    <x v="3"/>
    <d v="2025-10-31T00:00:00"/>
    <x v="7"/>
    <x v="11"/>
    <x v="0"/>
    <x v="0"/>
    <d v="2025-11-22T00:00:00"/>
    <n v="3"/>
    <n v="5"/>
    <n v="3"/>
    <x v="11"/>
    <n v="1"/>
    <n v="1"/>
    <n v="1"/>
    <n v="1"/>
  </r>
  <r>
    <x v="371"/>
    <x v="2"/>
    <x v="0"/>
    <x v="16"/>
    <d v="2025-10-20T00:00:00"/>
    <x v="24"/>
    <x v="5"/>
    <x v="0"/>
    <x v="0"/>
    <d v="2025-11-11T00:00:00"/>
    <n v="3"/>
    <n v="2"/>
    <n v="6"/>
    <x v="10"/>
    <n v="1"/>
    <n v="1"/>
    <n v="1"/>
    <n v="1"/>
  </r>
  <r>
    <x v="372"/>
    <x v="3"/>
    <x v="0"/>
    <x v="5"/>
    <d v="2025-10-29T00:00:00"/>
    <x v="31"/>
    <x v="4"/>
    <x v="0"/>
    <x v="0"/>
    <d v="2025-12-05T00:00:00"/>
    <n v="2"/>
    <n v="2"/>
    <n v="7"/>
    <x v="7"/>
    <n v="1"/>
    <n v="1"/>
    <n v="1"/>
    <n v="1"/>
  </r>
  <r>
    <x v="373"/>
    <x v="0"/>
    <x v="0"/>
    <x v="2"/>
    <d v="2025-10-03T00:00:00"/>
    <x v="34"/>
    <x v="35"/>
    <x v="0"/>
    <x v="0"/>
    <d v="2025-11-06T00:00:00"/>
    <n v="2"/>
    <n v="1"/>
    <n v="5"/>
    <x v="0"/>
    <n v="1"/>
    <n v="1"/>
    <n v="1"/>
    <n v="1"/>
  </r>
  <r>
    <x v="374"/>
    <x v="3"/>
    <x v="2"/>
    <x v="26"/>
    <d v="2025-10-25T00:00:00"/>
    <x v="26"/>
    <x v="5"/>
    <x v="0"/>
    <x v="0"/>
    <d v="2025-11-25T00:00:00"/>
    <n v="3"/>
    <n v="1"/>
    <n v="2"/>
    <x v="3"/>
    <n v="1"/>
    <n v="1"/>
    <n v="1"/>
    <n v="1"/>
  </r>
  <r>
    <x v="375"/>
    <x v="0"/>
    <x v="0"/>
    <x v="3"/>
    <d v="2025-11-01T00:00:00"/>
    <x v="4"/>
    <x v="13"/>
    <x v="1"/>
    <x v="3"/>
    <m/>
    <n v="4"/>
    <n v="3"/>
    <n v="2"/>
    <x v="2"/>
    <n v="1"/>
    <n v="1"/>
    <n v="1"/>
    <n v="0"/>
  </r>
  <r>
    <x v="376"/>
    <x v="3"/>
    <x v="0"/>
    <x v="21"/>
    <d v="2025-10-20T00:00:00"/>
    <x v="28"/>
    <x v="24"/>
    <x v="0"/>
    <x v="0"/>
    <d v="2025-11-13T00:00:00"/>
    <n v="2"/>
    <n v="4"/>
    <n v="7"/>
    <x v="9"/>
    <n v="1"/>
    <n v="1"/>
    <n v="1"/>
    <n v="1"/>
  </r>
  <r>
    <x v="377"/>
    <x v="2"/>
    <x v="0"/>
    <x v="11"/>
    <d v="2025-10-17T00:00:00"/>
    <x v="24"/>
    <x v="1"/>
    <x v="0"/>
    <x v="0"/>
    <d v="2025-11-08T00:00:00"/>
    <n v="2"/>
    <n v="5"/>
    <n v="4"/>
    <x v="3"/>
    <n v="1"/>
    <n v="1"/>
    <n v="1"/>
    <n v="1"/>
  </r>
  <r>
    <x v="378"/>
    <x v="0"/>
    <x v="1"/>
    <x v="4"/>
    <m/>
    <x v="2"/>
    <x v="2"/>
    <x v="1"/>
    <x v="4"/>
    <m/>
    <m/>
    <m/>
    <m/>
    <x v="2"/>
    <n v="1"/>
    <n v="0"/>
    <n v="0"/>
    <n v="0"/>
  </r>
  <r>
    <x v="379"/>
    <x v="1"/>
    <x v="2"/>
    <x v="30"/>
    <d v="2025-10-04T00:00:00"/>
    <x v="5"/>
    <x v="30"/>
    <x v="0"/>
    <x v="0"/>
    <d v="2025-11-07T00:00:00"/>
    <n v="2"/>
    <n v="4"/>
    <n v="2"/>
    <x v="4"/>
    <n v="1"/>
    <n v="1"/>
    <n v="1"/>
    <n v="1"/>
  </r>
  <r>
    <x v="380"/>
    <x v="1"/>
    <x v="0"/>
    <x v="28"/>
    <d v="2025-10-09T00:00:00"/>
    <x v="23"/>
    <x v="19"/>
    <x v="0"/>
    <x v="0"/>
    <d v="2025-11-01T00:00:00"/>
    <n v="2"/>
    <n v="5"/>
    <n v="5"/>
    <x v="10"/>
    <n v="1"/>
    <n v="1"/>
    <n v="1"/>
    <n v="1"/>
  </r>
  <r>
    <x v="381"/>
    <x v="3"/>
    <x v="0"/>
    <x v="16"/>
    <d v="2025-10-18T00:00:00"/>
    <x v="24"/>
    <x v="21"/>
    <x v="0"/>
    <x v="0"/>
    <d v="2025-11-17T00:00:00"/>
    <n v="1"/>
    <n v="4"/>
    <n v="7"/>
    <x v="1"/>
    <n v="1"/>
    <n v="1"/>
    <n v="1"/>
    <n v="1"/>
  </r>
  <r>
    <x v="382"/>
    <x v="1"/>
    <x v="0"/>
    <x v="9"/>
    <d v="2025-10-15T00:00:00"/>
    <x v="25"/>
    <x v="22"/>
    <x v="0"/>
    <x v="0"/>
    <d v="2025-11-16T00:00:00"/>
    <n v="3"/>
    <n v="2"/>
    <n v="3"/>
    <x v="8"/>
    <n v="1"/>
    <n v="1"/>
    <n v="1"/>
    <n v="1"/>
  </r>
  <r>
    <x v="383"/>
    <x v="0"/>
    <x v="2"/>
    <x v="18"/>
    <d v="2025-10-21T00:00:00"/>
    <x v="16"/>
    <x v="5"/>
    <x v="0"/>
    <x v="0"/>
    <d v="2025-11-18T00:00:00"/>
    <n v="1"/>
    <n v="2"/>
    <n v="5"/>
    <x v="3"/>
    <n v="1"/>
    <n v="1"/>
    <n v="1"/>
    <n v="1"/>
  </r>
  <r>
    <x v="384"/>
    <x v="1"/>
    <x v="2"/>
    <x v="22"/>
    <d v="2025-10-30T00:00:00"/>
    <x v="22"/>
    <x v="18"/>
    <x v="1"/>
    <x v="2"/>
    <m/>
    <n v="5"/>
    <n v="4"/>
    <n v="2"/>
    <x v="2"/>
    <n v="1"/>
    <n v="1"/>
    <n v="1"/>
    <n v="0"/>
  </r>
  <r>
    <x v="385"/>
    <x v="2"/>
    <x v="1"/>
    <x v="6"/>
    <m/>
    <x v="2"/>
    <x v="2"/>
    <x v="1"/>
    <x v="5"/>
    <m/>
    <m/>
    <m/>
    <m/>
    <x v="2"/>
    <n v="1"/>
    <n v="0"/>
    <n v="0"/>
    <n v="0"/>
  </r>
  <r>
    <x v="386"/>
    <x v="2"/>
    <x v="0"/>
    <x v="0"/>
    <d v="2025-10-26T00:00:00"/>
    <x v="0"/>
    <x v="17"/>
    <x v="0"/>
    <x v="0"/>
    <d v="2025-11-24T00:00:00"/>
    <n v="5"/>
    <n v="3"/>
    <n v="3"/>
    <x v="7"/>
    <n v="1"/>
    <n v="1"/>
    <n v="1"/>
    <n v="1"/>
  </r>
  <r>
    <x v="387"/>
    <x v="3"/>
    <x v="0"/>
    <x v="11"/>
    <d v="2025-10-20T00:00:00"/>
    <x v="24"/>
    <x v="32"/>
    <x v="1"/>
    <x v="5"/>
    <m/>
    <n v="5"/>
    <n v="2"/>
    <n v="5"/>
    <x v="2"/>
    <n v="1"/>
    <n v="1"/>
    <n v="1"/>
    <n v="0"/>
  </r>
  <r>
    <x v="388"/>
    <x v="0"/>
    <x v="0"/>
    <x v="22"/>
    <d v="2025-10-26T00:00:00"/>
    <x v="0"/>
    <x v="24"/>
    <x v="0"/>
    <x v="0"/>
    <d v="2025-11-18T00:00:00"/>
    <n v="1"/>
    <n v="3"/>
    <n v="2"/>
    <x v="9"/>
    <n v="1"/>
    <n v="1"/>
    <n v="1"/>
    <n v="1"/>
  </r>
  <r>
    <x v="389"/>
    <x v="2"/>
    <x v="0"/>
    <x v="30"/>
    <d v="2025-10-05T00:00:00"/>
    <x v="36"/>
    <x v="25"/>
    <x v="0"/>
    <x v="0"/>
    <d v="2025-11-05T00:00:00"/>
    <n v="3"/>
    <n v="2"/>
    <n v="7"/>
    <x v="5"/>
    <n v="1"/>
    <n v="1"/>
    <n v="1"/>
    <n v="1"/>
  </r>
  <r>
    <x v="390"/>
    <x v="2"/>
    <x v="2"/>
    <x v="28"/>
    <d v="2025-10-12T00:00:00"/>
    <x v="21"/>
    <x v="6"/>
    <x v="0"/>
    <x v="0"/>
    <d v="2025-11-14T00:00:00"/>
    <n v="5"/>
    <n v="1"/>
    <n v="2"/>
    <x v="10"/>
    <n v="1"/>
    <n v="1"/>
    <n v="1"/>
    <n v="1"/>
  </r>
  <r>
    <x v="391"/>
    <x v="0"/>
    <x v="0"/>
    <x v="17"/>
    <d v="2025-10-11T00:00:00"/>
    <x v="14"/>
    <x v="25"/>
    <x v="0"/>
    <x v="0"/>
    <d v="2025-11-08T00:00:00"/>
    <n v="2"/>
    <n v="1"/>
    <n v="2"/>
    <x v="8"/>
    <n v="1"/>
    <n v="1"/>
    <n v="1"/>
    <n v="1"/>
  </r>
  <r>
    <x v="392"/>
    <x v="1"/>
    <x v="0"/>
    <x v="21"/>
    <d v="2025-10-23T00:00:00"/>
    <x v="18"/>
    <x v="24"/>
    <x v="0"/>
    <x v="0"/>
    <d v="2025-11-28T00:00:00"/>
    <n v="5"/>
    <n v="4"/>
    <n v="4"/>
    <x v="5"/>
    <n v="1"/>
    <n v="1"/>
    <n v="1"/>
    <n v="1"/>
  </r>
  <r>
    <x v="393"/>
    <x v="1"/>
    <x v="1"/>
    <x v="13"/>
    <m/>
    <x v="2"/>
    <x v="2"/>
    <x v="1"/>
    <x v="1"/>
    <m/>
    <m/>
    <m/>
    <m/>
    <x v="2"/>
    <n v="1"/>
    <n v="0"/>
    <n v="0"/>
    <n v="0"/>
  </r>
  <r>
    <x v="394"/>
    <x v="3"/>
    <x v="2"/>
    <x v="20"/>
    <d v="2025-11-03T00:00:00"/>
    <x v="33"/>
    <x v="39"/>
    <x v="0"/>
    <x v="0"/>
    <d v="2025-12-11T00:00:00"/>
    <n v="4"/>
    <n v="5"/>
    <n v="4"/>
    <x v="0"/>
    <n v="1"/>
    <n v="1"/>
    <n v="1"/>
    <n v="1"/>
  </r>
  <r>
    <x v="395"/>
    <x v="1"/>
    <x v="0"/>
    <x v="29"/>
    <d v="2025-10-12T00:00:00"/>
    <x v="21"/>
    <x v="16"/>
    <x v="0"/>
    <x v="0"/>
    <d v="2025-11-11T00:00:00"/>
    <n v="2"/>
    <n v="1"/>
    <n v="4"/>
    <x v="1"/>
    <n v="1"/>
    <n v="1"/>
    <n v="1"/>
    <n v="1"/>
  </r>
  <r>
    <x v="396"/>
    <x v="0"/>
    <x v="0"/>
    <x v="11"/>
    <d v="2025-10-17T00:00:00"/>
    <x v="1"/>
    <x v="31"/>
    <x v="0"/>
    <x v="0"/>
    <d v="2025-11-02T00:00:00"/>
    <n v="2"/>
    <n v="2"/>
    <n v="3"/>
    <x v="5"/>
    <n v="1"/>
    <n v="1"/>
    <n v="1"/>
    <n v="1"/>
  </r>
  <r>
    <x v="397"/>
    <x v="2"/>
    <x v="0"/>
    <x v="10"/>
    <d v="2025-10-31T00:00:00"/>
    <x v="10"/>
    <x v="4"/>
    <x v="0"/>
    <x v="0"/>
    <d v="2025-11-22T00:00:00"/>
    <n v="2"/>
    <n v="2"/>
    <n v="5"/>
    <x v="0"/>
    <n v="1"/>
    <n v="1"/>
    <n v="1"/>
    <n v="1"/>
  </r>
  <r>
    <x v="398"/>
    <x v="1"/>
    <x v="0"/>
    <x v="12"/>
    <d v="2025-10-28T00:00:00"/>
    <x v="0"/>
    <x v="17"/>
    <x v="0"/>
    <x v="0"/>
    <d v="2025-11-19T00:00:00"/>
    <n v="5"/>
    <n v="1"/>
    <n v="3"/>
    <x v="5"/>
    <n v="1"/>
    <n v="1"/>
    <n v="1"/>
    <n v="1"/>
  </r>
  <r>
    <x v="399"/>
    <x v="3"/>
    <x v="0"/>
    <x v="6"/>
    <d v="2025-10-18T00:00:00"/>
    <x v="1"/>
    <x v="1"/>
    <x v="0"/>
    <x v="0"/>
    <d v="2025-11-17T00:00:00"/>
    <n v="2"/>
    <n v="1"/>
    <n v="7"/>
    <x v="11"/>
    <n v="1"/>
    <n v="1"/>
    <n v="1"/>
    <n v="1"/>
  </r>
  <r>
    <x v="400"/>
    <x v="1"/>
    <x v="0"/>
    <x v="7"/>
    <d v="2025-10-08T00:00:00"/>
    <x v="21"/>
    <x v="22"/>
    <x v="0"/>
    <x v="0"/>
    <d v="2025-11-03T00:00:00"/>
    <n v="4"/>
    <n v="5"/>
    <n v="7"/>
    <x v="10"/>
    <n v="1"/>
    <n v="1"/>
    <n v="1"/>
    <n v="1"/>
  </r>
  <r>
    <x v="401"/>
    <x v="0"/>
    <x v="0"/>
    <x v="2"/>
    <d v="2025-10-02T00:00:00"/>
    <x v="35"/>
    <x v="41"/>
    <x v="0"/>
    <x v="0"/>
    <d v="2025-11-04T00:00:00"/>
    <n v="1"/>
    <n v="1"/>
    <n v="3"/>
    <x v="1"/>
    <n v="1"/>
    <n v="1"/>
    <n v="1"/>
    <n v="1"/>
  </r>
  <r>
    <x v="402"/>
    <x v="3"/>
    <x v="0"/>
    <x v="0"/>
    <d v="2025-10-25T00:00:00"/>
    <x v="0"/>
    <x v="24"/>
    <x v="0"/>
    <x v="0"/>
    <d v="2025-11-29T00:00:00"/>
    <n v="4"/>
    <n v="4"/>
    <n v="2"/>
    <x v="11"/>
    <n v="1"/>
    <n v="1"/>
    <n v="1"/>
    <n v="1"/>
  </r>
  <r>
    <x v="403"/>
    <x v="1"/>
    <x v="1"/>
    <x v="18"/>
    <m/>
    <x v="2"/>
    <x v="2"/>
    <x v="1"/>
    <x v="3"/>
    <m/>
    <m/>
    <m/>
    <m/>
    <x v="2"/>
    <n v="1"/>
    <n v="0"/>
    <n v="0"/>
    <n v="0"/>
  </r>
  <r>
    <x v="404"/>
    <x v="3"/>
    <x v="0"/>
    <x v="19"/>
    <d v="2025-10-29T00:00:00"/>
    <x v="22"/>
    <x v="23"/>
    <x v="1"/>
    <x v="1"/>
    <m/>
    <n v="3"/>
    <n v="5"/>
    <n v="6"/>
    <x v="2"/>
    <n v="1"/>
    <n v="1"/>
    <n v="1"/>
    <n v="0"/>
  </r>
  <r>
    <x v="405"/>
    <x v="0"/>
    <x v="0"/>
    <x v="24"/>
    <d v="2025-10-10T00:00:00"/>
    <x v="30"/>
    <x v="16"/>
    <x v="0"/>
    <x v="0"/>
    <d v="2025-11-08T00:00:00"/>
    <n v="2"/>
    <n v="1"/>
    <n v="6"/>
    <x v="11"/>
    <n v="1"/>
    <n v="1"/>
    <n v="1"/>
    <n v="1"/>
  </r>
  <r>
    <x v="406"/>
    <x v="2"/>
    <x v="2"/>
    <x v="12"/>
    <d v="2025-10-27T00:00:00"/>
    <x v="0"/>
    <x v="24"/>
    <x v="0"/>
    <x v="0"/>
    <d v="2025-11-11T00:00:00"/>
    <n v="4"/>
    <n v="2"/>
    <n v="2"/>
    <x v="11"/>
    <n v="1"/>
    <n v="1"/>
    <n v="1"/>
    <n v="1"/>
  </r>
  <r>
    <x v="407"/>
    <x v="0"/>
    <x v="1"/>
    <x v="14"/>
    <m/>
    <x v="2"/>
    <x v="2"/>
    <x v="1"/>
    <x v="1"/>
    <m/>
    <m/>
    <m/>
    <m/>
    <x v="2"/>
    <n v="1"/>
    <n v="0"/>
    <n v="0"/>
    <n v="0"/>
  </r>
  <r>
    <x v="408"/>
    <x v="0"/>
    <x v="2"/>
    <x v="29"/>
    <d v="2025-10-15T00:00:00"/>
    <x v="20"/>
    <x v="31"/>
    <x v="1"/>
    <x v="1"/>
    <m/>
    <n v="5"/>
    <n v="1"/>
    <n v="6"/>
    <x v="2"/>
    <n v="1"/>
    <n v="1"/>
    <n v="1"/>
    <n v="0"/>
  </r>
  <r>
    <x v="409"/>
    <x v="0"/>
    <x v="2"/>
    <x v="21"/>
    <d v="2025-10-21T00:00:00"/>
    <x v="27"/>
    <x v="17"/>
    <x v="0"/>
    <x v="0"/>
    <d v="2025-11-23T00:00:00"/>
    <n v="3"/>
    <n v="4"/>
    <n v="7"/>
    <x v="10"/>
    <n v="1"/>
    <n v="1"/>
    <n v="1"/>
    <n v="1"/>
  </r>
  <r>
    <x v="410"/>
    <x v="0"/>
    <x v="2"/>
    <x v="2"/>
    <d v="2025-10-05T00:00:00"/>
    <x v="37"/>
    <x v="28"/>
    <x v="0"/>
    <x v="0"/>
    <d v="2025-11-01T00:00:00"/>
    <n v="4"/>
    <n v="4"/>
    <n v="3"/>
    <x v="10"/>
    <n v="1"/>
    <n v="1"/>
    <n v="1"/>
    <n v="1"/>
  </r>
  <r>
    <x v="411"/>
    <x v="2"/>
    <x v="0"/>
    <x v="21"/>
    <d v="2025-10-20T00:00:00"/>
    <x v="24"/>
    <x v="32"/>
    <x v="0"/>
    <x v="0"/>
    <d v="2025-11-13T00:00:00"/>
    <n v="2"/>
    <n v="2"/>
    <n v="5"/>
    <x v="4"/>
    <n v="1"/>
    <n v="1"/>
    <n v="1"/>
    <n v="1"/>
  </r>
  <r>
    <x v="412"/>
    <x v="2"/>
    <x v="2"/>
    <x v="4"/>
    <d v="2025-10-19T00:00:00"/>
    <x v="28"/>
    <x v="5"/>
    <x v="0"/>
    <x v="0"/>
    <d v="2025-11-08T00:00:00"/>
    <n v="5"/>
    <n v="5"/>
    <n v="4"/>
    <x v="11"/>
    <n v="1"/>
    <n v="1"/>
    <n v="1"/>
    <n v="1"/>
  </r>
  <r>
    <x v="413"/>
    <x v="3"/>
    <x v="2"/>
    <x v="25"/>
    <d v="2025-10-05T00:00:00"/>
    <x v="36"/>
    <x v="25"/>
    <x v="0"/>
    <x v="0"/>
    <d v="2025-11-08T00:00:00"/>
    <n v="2"/>
    <n v="2"/>
    <n v="7"/>
    <x v="9"/>
    <n v="1"/>
    <n v="1"/>
    <n v="1"/>
    <n v="1"/>
  </r>
  <r>
    <x v="414"/>
    <x v="1"/>
    <x v="2"/>
    <x v="24"/>
    <d v="2025-10-11T00:00:00"/>
    <x v="14"/>
    <x v="6"/>
    <x v="1"/>
    <x v="5"/>
    <m/>
    <n v="3"/>
    <n v="1"/>
    <n v="3"/>
    <x v="2"/>
    <n v="1"/>
    <n v="1"/>
    <n v="1"/>
    <n v="0"/>
  </r>
  <r>
    <x v="415"/>
    <x v="2"/>
    <x v="2"/>
    <x v="5"/>
    <d v="2025-10-31T00:00:00"/>
    <x v="10"/>
    <x v="23"/>
    <x v="0"/>
    <x v="0"/>
    <d v="2025-11-27T00:00:00"/>
    <n v="4"/>
    <n v="2"/>
    <n v="7"/>
    <x v="6"/>
    <n v="1"/>
    <n v="1"/>
    <n v="1"/>
    <n v="1"/>
  </r>
  <r>
    <x v="416"/>
    <x v="2"/>
    <x v="0"/>
    <x v="20"/>
    <d v="2025-11-01T00:00:00"/>
    <x v="9"/>
    <x v="10"/>
    <x v="0"/>
    <x v="0"/>
    <d v="2025-12-04T00:00:00"/>
    <n v="2"/>
    <n v="5"/>
    <n v="7"/>
    <x v="8"/>
    <n v="1"/>
    <n v="1"/>
    <n v="1"/>
    <n v="1"/>
  </r>
  <r>
    <x v="417"/>
    <x v="1"/>
    <x v="0"/>
    <x v="7"/>
    <d v="2025-10-07T00:00:00"/>
    <x v="13"/>
    <x v="38"/>
    <x v="0"/>
    <x v="0"/>
    <d v="2025-10-23T00:00:00"/>
    <n v="3"/>
    <n v="3"/>
    <n v="3"/>
    <x v="4"/>
    <n v="1"/>
    <n v="1"/>
    <n v="1"/>
    <n v="1"/>
  </r>
  <r>
    <x v="418"/>
    <x v="2"/>
    <x v="0"/>
    <x v="11"/>
    <d v="2025-10-20T00:00:00"/>
    <x v="24"/>
    <x v="32"/>
    <x v="0"/>
    <x v="0"/>
    <d v="2025-11-16T00:00:00"/>
    <n v="5"/>
    <n v="2"/>
    <n v="5"/>
    <x v="3"/>
    <n v="1"/>
    <n v="1"/>
    <n v="1"/>
    <n v="1"/>
  </r>
  <r>
    <x v="419"/>
    <x v="0"/>
    <x v="0"/>
    <x v="8"/>
    <d v="2025-11-04T00:00:00"/>
    <x v="19"/>
    <x v="20"/>
    <x v="0"/>
    <x v="0"/>
    <d v="2025-12-04T00:00:00"/>
    <n v="4"/>
    <n v="5"/>
    <n v="6"/>
    <x v="7"/>
    <n v="1"/>
    <n v="1"/>
    <n v="1"/>
    <n v="1"/>
  </r>
  <r>
    <x v="420"/>
    <x v="0"/>
    <x v="0"/>
    <x v="7"/>
    <d v="2025-10-08T00:00:00"/>
    <x v="30"/>
    <x v="27"/>
    <x v="0"/>
    <x v="0"/>
    <d v="2025-11-06T00:00:00"/>
    <n v="4"/>
    <n v="3"/>
    <n v="7"/>
    <x v="10"/>
    <n v="1"/>
    <n v="1"/>
    <n v="1"/>
    <n v="1"/>
  </r>
  <r>
    <x v="421"/>
    <x v="1"/>
    <x v="2"/>
    <x v="0"/>
    <d v="2025-10-24T00:00:00"/>
    <x v="0"/>
    <x v="0"/>
    <x v="0"/>
    <x v="0"/>
    <d v="2025-11-21T00:00:00"/>
    <n v="3"/>
    <n v="5"/>
    <n v="5"/>
    <x v="11"/>
    <n v="1"/>
    <n v="1"/>
    <n v="1"/>
    <n v="1"/>
  </r>
  <r>
    <x v="422"/>
    <x v="3"/>
    <x v="0"/>
    <x v="5"/>
    <d v="2025-10-31T00:00:00"/>
    <x v="7"/>
    <x v="11"/>
    <x v="0"/>
    <x v="0"/>
    <d v="2025-12-03T00:00:00"/>
    <n v="4"/>
    <n v="5"/>
    <n v="3"/>
    <x v="0"/>
    <n v="1"/>
    <n v="1"/>
    <n v="1"/>
    <n v="1"/>
  </r>
  <r>
    <x v="423"/>
    <x v="3"/>
    <x v="1"/>
    <x v="13"/>
    <m/>
    <x v="2"/>
    <x v="2"/>
    <x v="1"/>
    <x v="5"/>
    <m/>
    <m/>
    <m/>
    <m/>
    <x v="2"/>
    <n v="1"/>
    <n v="0"/>
    <n v="0"/>
    <n v="0"/>
  </r>
  <r>
    <x v="424"/>
    <x v="1"/>
    <x v="0"/>
    <x v="6"/>
    <d v="2025-10-21T00:00:00"/>
    <x v="28"/>
    <x v="1"/>
    <x v="0"/>
    <x v="0"/>
    <d v="2025-11-08T00:00:00"/>
    <n v="5"/>
    <n v="3"/>
    <n v="2"/>
    <x v="9"/>
    <n v="1"/>
    <n v="1"/>
    <n v="1"/>
    <n v="1"/>
  </r>
  <r>
    <x v="425"/>
    <x v="1"/>
    <x v="2"/>
    <x v="20"/>
    <d v="2025-11-04T00:00:00"/>
    <x v="9"/>
    <x v="11"/>
    <x v="0"/>
    <x v="0"/>
    <d v="2025-11-25T00:00:00"/>
    <n v="5"/>
    <n v="2"/>
    <n v="2"/>
    <x v="9"/>
    <n v="1"/>
    <n v="1"/>
    <n v="1"/>
    <n v="1"/>
  </r>
  <r>
    <x v="426"/>
    <x v="0"/>
    <x v="0"/>
    <x v="12"/>
    <d v="2025-10-27T00:00:00"/>
    <x v="15"/>
    <x v="26"/>
    <x v="0"/>
    <x v="0"/>
    <d v="2025-11-16T00:00:00"/>
    <n v="4"/>
    <n v="3"/>
    <n v="3"/>
    <x v="5"/>
    <n v="1"/>
    <n v="1"/>
    <n v="1"/>
    <n v="1"/>
  </r>
  <r>
    <x v="427"/>
    <x v="3"/>
    <x v="0"/>
    <x v="29"/>
    <d v="2025-10-12T00:00:00"/>
    <x v="23"/>
    <x v="14"/>
    <x v="0"/>
    <x v="0"/>
    <d v="2025-11-04T00:00:00"/>
    <n v="2"/>
    <n v="2"/>
    <n v="2"/>
    <x v="11"/>
    <n v="1"/>
    <n v="1"/>
    <n v="1"/>
    <n v="1"/>
  </r>
  <r>
    <x v="428"/>
    <x v="2"/>
    <x v="0"/>
    <x v="16"/>
    <d v="2025-10-19T00:00:00"/>
    <x v="28"/>
    <x v="9"/>
    <x v="0"/>
    <x v="0"/>
    <d v="2025-11-23T00:00:00"/>
    <n v="2"/>
    <n v="5"/>
    <n v="6"/>
    <x v="1"/>
    <n v="1"/>
    <n v="1"/>
    <n v="1"/>
    <n v="1"/>
  </r>
  <r>
    <x v="429"/>
    <x v="0"/>
    <x v="2"/>
    <x v="12"/>
    <d v="2025-10-28T00:00:00"/>
    <x v="15"/>
    <x v="13"/>
    <x v="0"/>
    <x v="0"/>
    <d v="2025-11-26T00:00:00"/>
    <n v="5"/>
    <n v="2"/>
    <n v="7"/>
    <x v="5"/>
    <n v="1"/>
    <n v="1"/>
    <n v="1"/>
    <n v="1"/>
  </r>
  <r>
    <x v="430"/>
    <x v="1"/>
    <x v="2"/>
    <x v="17"/>
    <d v="2025-10-11T00:00:00"/>
    <x v="17"/>
    <x v="22"/>
    <x v="0"/>
    <x v="0"/>
    <d v="2025-11-07T00:00:00"/>
    <n v="2"/>
    <n v="4"/>
    <n v="5"/>
    <x v="4"/>
    <n v="1"/>
    <n v="1"/>
    <n v="1"/>
    <n v="1"/>
  </r>
  <r>
    <x v="431"/>
    <x v="3"/>
    <x v="2"/>
    <x v="4"/>
    <d v="2025-10-17T00:00:00"/>
    <x v="6"/>
    <x v="3"/>
    <x v="0"/>
    <x v="0"/>
    <d v="2025-11-16T00:00:00"/>
    <n v="3"/>
    <n v="3"/>
    <n v="4"/>
    <x v="8"/>
    <n v="1"/>
    <n v="1"/>
    <n v="1"/>
    <n v="1"/>
  </r>
  <r>
    <x v="432"/>
    <x v="2"/>
    <x v="1"/>
    <x v="5"/>
    <m/>
    <x v="2"/>
    <x v="2"/>
    <x v="1"/>
    <x v="1"/>
    <m/>
    <m/>
    <m/>
    <m/>
    <x v="2"/>
    <n v="1"/>
    <n v="0"/>
    <n v="0"/>
    <n v="0"/>
  </r>
  <r>
    <x v="433"/>
    <x v="2"/>
    <x v="0"/>
    <x v="6"/>
    <d v="2025-10-17T00:00:00"/>
    <x v="6"/>
    <x v="7"/>
    <x v="0"/>
    <x v="0"/>
    <d v="2025-11-23T00:00:00"/>
    <n v="1"/>
    <n v="3"/>
    <n v="5"/>
    <x v="10"/>
    <n v="1"/>
    <n v="1"/>
    <n v="1"/>
    <n v="1"/>
  </r>
  <r>
    <x v="434"/>
    <x v="0"/>
    <x v="2"/>
    <x v="6"/>
    <d v="2025-10-20T00:00:00"/>
    <x v="3"/>
    <x v="7"/>
    <x v="0"/>
    <x v="0"/>
    <d v="2025-11-24T00:00:00"/>
    <n v="4"/>
    <n v="1"/>
    <n v="4"/>
    <x v="9"/>
    <n v="1"/>
    <n v="1"/>
    <n v="1"/>
    <n v="1"/>
  </r>
  <r>
    <x v="435"/>
    <x v="3"/>
    <x v="2"/>
    <x v="24"/>
    <d v="2025-10-11T00:00:00"/>
    <x v="20"/>
    <x v="19"/>
    <x v="0"/>
    <x v="0"/>
    <d v="2025-10-31T00:00:00"/>
    <n v="3"/>
    <n v="5"/>
    <n v="3"/>
    <x v="11"/>
    <n v="1"/>
    <n v="1"/>
    <n v="1"/>
    <n v="1"/>
  </r>
  <r>
    <x v="436"/>
    <x v="3"/>
    <x v="0"/>
    <x v="11"/>
    <d v="2025-10-20T00:00:00"/>
    <x v="27"/>
    <x v="5"/>
    <x v="0"/>
    <x v="0"/>
    <d v="2025-11-13T00:00:00"/>
    <n v="5"/>
    <n v="5"/>
    <n v="3"/>
    <x v="9"/>
    <n v="1"/>
    <n v="1"/>
    <n v="1"/>
    <n v="1"/>
  </r>
  <r>
    <x v="437"/>
    <x v="1"/>
    <x v="2"/>
    <x v="21"/>
    <d v="2025-10-19T00:00:00"/>
    <x v="3"/>
    <x v="7"/>
    <x v="0"/>
    <x v="0"/>
    <d v="2025-11-18T00:00:00"/>
    <n v="1"/>
    <n v="2"/>
    <n v="4"/>
    <x v="1"/>
    <n v="1"/>
    <n v="1"/>
    <n v="1"/>
    <n v="1"/>
  </r>
  <r>
    <x v="438"/>
    <x v="3"/>
    <x v="2"/>
    <x v="13"/>
    <d v="2025-10-10T00:00:00"/>
    <x v="23"/>
    <x v="12"/>
    <x v="0"/>
    <x v="0"/>
    <d v="2025-11-06T00:00:00"/>
    <n v="5"/>
    <n v="4"/>
    <n v="7"/>
    <x v="11"/>
    <n v="1"/>
    <n v="1"/>
    <n v="1"/>
    <n v="1"/>
  </r>
  <r>
    <x v="439"/>
    <x v="3"/>
    <x v="1"/>
    <x v="27"/>
    <m/>
    <x v="2"/>
    <x v="2"/>
    <x v="1"/>
    <x v="5"/>
    <m/>
    <m/>
    <m/>
    <m/>
    <x v="2"/>
    <n v="1"/>
    <n v="0"/>
    <n v="0"/>
    <n v="0"/>
  </r>
  <r>
    <x v="440"/>
    <x v="0"/>
    <x v="2"/>
    <x v="28"/>
    <d v="2025-10-08T00:00:00"/>
    <x v="21"/>
    <x v="6"/>
    <x v="0"/>
    <x v="0"/>
    <d v="2025-11-07T00:00:00"/>
    <n v="1"/>
    <n v="5"/>
    <n v="2"/>
    <x v="10"/>
    <n v="1"/>
    <n v="1"/>
    <n v="1"/>
    <n v="1"/>
  </r>
  <r>
    <x v="441"/>
    <x v="3"/>
    <x v="0"/>
    <x v="20"/>
    <d v="2025-11-02T00:00:00"/>
    <x v="9"/>
    <x v="23"/>
    <x v="0"/>
    <x v="0"/>
    <d v="2025-12-04T00:00:00"/>
    <n v="3"/>
    <n v="4"/>
    <n v="3"/>
    <x v="1"/>
    <n v="1"/>
    <n v="1"/>
    <n v="1"/>
    <n v="1"/>
  </r>
  <r>
    <x v="442"/>
    <x v="2"/>
    <x v="1"/>
    <x v="18"/>
    <m/>
    <x v="2"/>
    <x v="2"/>
    <x v="1"/>
    <x v="3"/>
    <m/>
    <m/>
    <m/>
    <m/>
    <x v="2"/>
    <n v="1"/>
    <n v="0"/>
    <n v="0"/>
    <n v="0"/>
  </r>
  <r>
    <x v="443"/>
    <x v="0"/>
    <x v="0"/>
    <x v="16"/>
    <d v="2025-10-18T00:00:00"/>
    <x v="1"/>
    <x v="7"/>
    <x v="0"/>
    <x v="0"/>
    <d v="2025-11-20T00:00:00"/>
    <n v="1"/>
    <n v="1"/>
    <n v="6"/>
    <x v="5"/>
    <n v="1"/>
    <n v="1"/>
    <n v="1"/>
    <n v="1"/>
  </r>
  <r>
    <x v="444"/>
    <x v="0"/>
    <x v="2"/>
    <x v="15"/>
    <d v="2025-10-26T00:00:00"/>
    <x v="0"/>
    <x v="34"/>
    <x v="1"/>
    <x v="1"/>
    <m/>
    <n v="2"/>
    <n v="3"/>
    <n v="6"/>
    <x v="2"/>
    <n v="1"/>
    <n v="1"/>
    <n v="1"/>
    <n v="0"/>
  </r>
  <r>
    <x v="445"/>
    <x v="1"/>
    <x v="2"/>
    <x v="10"/>
    <d v="2025-11-01T00:00:00"/>
    <x v="7"/>
    <x v="36"/>
    <x v="0"/>
    <x v="0"/>
    <d v="2025-12-02T00:00:00"/>
    <n v="3"/>
    <n v="4"/>
    <n v="6"/>
    <x v="9"/>
    <n v="1"/>
    <n v="1"/>
    <n v="1"/>
    <n v="1"/>
  </r>
  <r>
    <x v="446"/>
    <x v="3"/>
    <x v="1"/>
    <x v="13"/>
    <m/>
    <x v="2"/>
    <x v="2"/>
    <x v="1"/>
    <x v="5"/>
    <m/>
    <m/>
    <m/>
    <m/>
    <x v="2"/>
    <n v="1"/>
    <n v="0"/>
    <n v="0"/>
    <n v="0"/>
  </r>
  <r>
    <x v="447"/>
    <x v="1"/>
    <x v="1"/>
    <x v="3"/>
    <m/>
    <x v="2"/>
    <x v="2"/>
    <x v="1"/>
    <x v="2"/>
    <m/>
    <m/>
    <m/>
    <m/>
    <x v="2"/>
    <n v="1"/>
    <n v="0"/>
    <n v="0"/>
    <n v="0"/>
  </r>
  <r>
    <x v="448"/>
    <x v="2"/>
    <x v="0"/>
    <x v="25"/>
    <d v="2025-10-07T00:00:00"/>
    <x v="14"/>
    <x v="19"/>
    <x v="0"/>
    <x v="0"/>
    <d v="2025-10-30T00:00:00"/>
    <n v="4"/>
    <n v="5"/>
    <n v="7"/>
    <x v="9"/>
    <n v="1"/>
    <n v="1"/>
    <n v="1"/>
    <n v="1"/>
  </r>
  <r>
    <x v="449"/>
    <x v="0"/>
    <x v="2"/>
    <x v="17"/>
    <d v="2025-10-14T00:00:00"/>
    <x v="25"/>
    <x v="15"/>
    <x v="0"/>
    <x v="0"/>
    <d v="2025-11-18T00:00:00"/>
    <n v="5"/>
    <n v="3"/>
    <n v="6"/>
    <x v="9"/>
    <n v="1"/>
    <n v="1"/>
    <n v="1"/>
    <n v="1"/>
  </r>
  <r>
    <x v="450"/>
    <x v="0"/>
    <x v="0"/>
    <x v="22"/>
    <d v="2025-10-27T00:00:00"/>
    <x v="31"/>
    <x v="34"/>
    <x v="0"/>
    <x v="0"/>
    <d v="2025-11-19T00:00:00"/>
    <n v="2"/>
    <n v="4"/>
    <n v="4"/>
    <x v="6"/>
    <n v="1"/>
    <n v="1"/>
    <n v="1"/>
    <n v="1"/>
  </r>
  <r>
    <x v="451"/>
    <x v="0"/>
    <x v="1"/>
    <x v="19"/>
    <m/>
    <x v="2"/>
    <x v="2"/>
    <x v="1"/>
    <x v="1"/>
    <m/>
    <m/>
    <m/>
    <m/>
    <x v="2"/>
    <n v="1"/>
    <n v="0"/>
    <n v="0"/>
    <n v="0"/>
  </r>
  <r>
    <x v="452"/>
    <x v="2"/>
    <x v="0"/>
    <x v="3"/>
    <d v="2025-11-01T00:00:00"/>
    <x v="7"/>
    <x v="39"/>
    <x v="0"/>
    <x v="0"/>
    <d v="2025-11-24T00:00:00"/>
    <n v="4"/>
    <n v="4"/>
    <n v="7"/>
    <x v="8"/>
    <n v="1"/>
    <n v="1"/>
    <n v="1"/>
    <n v="1"/>
  </r>
  <r>
    <x v="453"/>
    <x v="2"/>
    <x v="1"/>
    <x v="4"/>
    <m/>
    <x v="2"/>
    <x v="2"/>
    <x v="1"/>
    <x v="1"/>
    <m/>
    <m/>
    <m/>
    <m/>
    <x v="2"/>
    <n v="1"/>
    <n v="0"/>
    <n v="0"/>
    <n v="0"/>
  </r>
  <r>
    <x v="454"/>
    <x v="1"/>
    <x v="1"/>
    <x v="1"/>
    <m/>
    <x v="2"/>
    <x v="2"/>
    <x v="1"/>
    <x v="3"/>
    <m/>
    <m/>
    <m/>
    <m/>
    <x v="2"/>
    <n v="1"/>
    <n v="0"/>
    <n v="0"/>
    <n v="0"/>
  </r>
  <r>
    <x v="455"/>
    <x v="1"/>
    <x v="0"/>
    <x v="20"/>
    <d v="2025-10-31T00:00:00"/>
    <x v="10"/>
    <x v="34"/>
    <x v="0"/>
    <x v="0"/>
    <d v="2025-11-23T00:00:00"/>
    <n v="1"/>
    <n v="2"/>
    <n v="2"/>
    <x v="3"/>
    <n v="1"/>
    <n v="1"/>
    <n v="1"/>
    <n v="1"/>
  </r>
  <r>
    <x v="456"/>
    <x v="1"/>
    <x v="0"/>
    <x v="19"/>
    <d v="2025-10-28T00:00:00"/>
    <x v="31"/>
    <x v="4"/>
    <x v="1"/>
    <x v="4"/>
    <m/>
    <n v="2"/>
    <n v="3"/>
    <n v="7"/>
    <x v="2"/>
    <n v="1"/>
    <n v="1"/>
    <n v="1"/>
    <n v="0"/>
  </r>
  <r>
    <x v="457"/>
    <x v="3"/>
    <x v="0"/>
    <x v="16"/>
    <d v="2025-10-21T00:00:00"/>
    <x v="27"/>
    <x v="21"/>
    <x v="0"/>
    <x v="0"/>
    <d v="2025-11-24T00:00:00"/>
    <n v="4"/>
    <n v="4"/>
    <n v="4"/>
    <x v="7"/>
    <n v="1"/>
    <n v="1"/>
    <n v="1"/>
    <n v="1"/>
  </r>
  <r>
    <x v="458"/>
    <x v="0"/>
    <x v="2"/>
    <x v="17"/>
    <d v="2025-10-12T00:00:00"/>
    <x v="23"/>
    <x v="16"/>
    <x v="0"/>
    <x v="0"/>
    <d v="2025-11-08T00:00:00"/>
    <n v="3"/>
    <n v="2"/>
    <n v="3"/>
    <x v="7"/>
    <n v="1"/>
    <n v="1"/>
    <n v="1"/>
    <n v="1"/>
  </r>
  <r>
    <x v="459"/>
    <x v="0"/>
    <x v="0"/>
    <x v="5"/>
    <d v="2025-10-28T00:00:00"/>
    <x v="10"/>
    <x v="11"/>
    <x v="0"/>
    <x v="0"/>
    <d v="2025-11-22T00:00:00"/>
    <n v="1"/>
    <n v="5"/>
    <n v="6"/>
    <x v="10"/>
    <n v="1"/>
    <n v="1"/>
    <n v="1"/>
    <n v="1"/>
  </r>
  <r>
    <x v="460"/>
    <x v="1"/>
    <x v="0"/>
    <x v="2"/>
    <d v="2025-10-05T00:00:00"/>
    <x v="37"/>
    <x v="6"/>
    <x v="1"/>
    <x v="4"/>
    <m/>
    <n v="4"/>
    <n v="4"/>
    <n v="6"/>
    <x v="2"/>
    <n v="1"/>
    <n v="1"/>
    <n v="1"/>
    <n v="0"/>
  </r>
  <r>
    <x v="461"/>
    <x v="0"/>
    <x v="1"/>
    <x v="29"/>
    <m/>
    <x v="2"/>
    <x v="2"/>
    <x v="1"/>
    <x v="3"/>
    <m/>
    <m/>
    <m/>
    <m/>
    <x v="2"/>
    <n v="1"/>
    <n v="0"/>
    <n v="0"/>
    <n v="0"/>
  </r>
  <r>
    <x v="462"/>
    <x v="1"/>
    <x v="1"/>
    <x v="15"/>
    <m/>
    <x v="2"/>
    <x v="2"/>
    <x v="1"/>
    <x v="3"/>
    <m/>
    <m/>
    <m/>
    <m/>
    <x v="2"/>
    <n v="1"/>
    <n v="0"/>
    <n v="0"/>
    <n v="0"/>
  </r>
  <r>
    <x v="463"/>
    <x v="3"/>
    <x v="0"/>
    <x v="29"/>
    <d v="2025-10-11T00:00:00"/>
    <x v="21"/>
    <x v="19"/>
    <x v="0"/>
    <x v="0"/>
    <d v="2025-11-14T00:00:00"/>
    <n v="1"/>
    <n v="2"/>
    <n v="6"/>
    <x v="10"/>
    <n v="1"/>
    <n v="1"/>
    <n v="1"/>
    <n v="1"/>
  </r>
  <r>
    <x v="464"/>
    <x v="3"/>
    <x v="2"/>
    <x v="5"/>
    <d v="2025-10-31T00:00:00"/>
    <x v="10"/>
    <x v="18"/>
    <x v="0"/>
    <x v="0"/>
    <d v="2025-12-03T00:00:00"/>
    <n v="4"/>
    <n v="2"/>
    <n v="3"/>
    <x v="8"/>
    <n v="1"/>
    <n v="1"/>
    <n v="1"/>
    <n v="1"/>
  </r>
  <r>
    <x v="465"/>
    <x v="2"/>
    <x v="2"/>
    <x v="23"/>
    <d v="2025-10-24T00:00:00"/>
    <x v="18"/>
    <x v="0"/>
    <x v="0"/>
    <x v="0"/>
    <d v="2025-11-13T00:00:00"/>
    <n v="5"/>
    <n v="3"/>
    <n v="7"/>
    <x v="8"/>
    <n v="1"/>
    <n v="1"/>
    <n v="1"/>
    <n v="1"/>
  </r>
  <r>
    <x v="466"/>
    <x v="3"/>
    <x v="2"/>
    <x v="23"/>
    <d v="2025-10-22T00:00:00"/>
    <x v="28"/>
    <x v="21"/>
    <x v="0"/>
    <x v="0"/>
    <d v="2025-11-13T00:00:00"/>
    <n v="3"/>
    <n v="2"/>
    <n v="5"/>
    <x v="10"/>
    <n v="1"/>
    <n v="1"/>
    <n v="1"/>
    <n v="1"/>
  </r>
  <r>
    <x v="467"/>
    <x v="1"/>
    <x v="0"/>
    <x v="26"/>
    <d v="2025-10-24T00:00:00"/>
    <x v="8"/>
    <x v="17"/>
    <x v="0"/>
    <x v="0"/>
    <d v="2025-11-17T00:00:00"/>
    <n v="2"/>
    <n v="4"/>
    <n v="4"/>
    <x v="10"/>
    <n v="1"/>
    <n v="1"/>
    <n v="1"/>
    <n v="1"/>
  </r>
  <r>
    <x v="468"/>
    <x v="3"/>
    <x v="0"/>
    <x v="6"/>
    <d v="2025-10-20T00:00:00"/>
    <x v="3"/>
    <x v="5"/>
    <x v="0"/>
    <x v="0"/>
    <d v="2025-11-13T00:00:00"/>
    <n v="4"/>
    <n v="1"/>
    <n v="7"/>
    <x v="6"/>
    <n v="1"/>
    <n v="1"/>
    <n v="1"/>
    <n v="1"/>
  </r>
  <r>
    <x v="469"/>
    <x v="2"/>
    <x v="1"/>
    <x v="3"/>
    <m/>
    <x v="2"/>
    <x v="2"/>
    <x v="1"/>
    <x v="3"/>
    <m/>
    <m/>
    <m/>
    <m/>
    <x v="2"/>
    <n v="1"/>
    <n v="0"/>
    <n v="0"/>
    <n v="0"/>
  </r>
  <r>
    <x v="470"/>
    <x v="0"/>
    <x v="0"/>
    <x v="13"/>
    <d v="2025-10-06T00:00:00"/>
    <x v="30"/>
    <x v="38"/>
    <x v="0"/>
    <x v="0"/>
    <d v="2025-10-24T00:00:00"/>
    <n v="1"/>
    <n v="5"/>
    <n v="2"/>
    <x v="11"/>
    <n v="1"/>
    <n v="1"/>
    <n v="1"/>
    <n v="1"/>
  </r>
  <r>
    <x v="471"/>
    <x v="1"/>
    <x v="1"/>
    <x v="11"/>
    <m/>
    <x v="2"/>
    <x v="2"/>
    <x v="1"/>
    <x v="4"/>
    <m/>
    <m/>
    <m/>
    <m/>
    <x v="2"/>
    <n v="1"/>
    <n v="0"/>
    <n v="0"/>
    <n v="0"/>
  </r>
  <r>
    <x v="472"/>
    <x v="0"/>
    <x v="1"/>
    <x v="21"/>
    <m/>
    <x v="2"/>
    <x v="2"/>
    <x v="1"/>
    <x v="3"/>
    <m/>
    <m/>
    <m/>
    <m/>
    <x v="2"/>
    <n v="1"/>
    <n v="0"/>
    <n v="0"/>
    <n v="0"/>
  </r>
  <r>
    <x v="473"/>
    <x v="2"/>
    <x v="0"/>
    <x v="6"/>
    <d v="2025-10-19T00:00:00"/>
    <x v="16"/>
    <x v="1"/>
    <x v="0"/>
    <x v="0"/>
    <d v="2025-11-12T00:00:00"/>
    <n v="3"/>
    <n v="4"/>
    <n v="3"/>
    <x v="1"/>
    <n v="1"/>
    <n v="1"/>
    <n v="1"/>
    <n v="1"/>
  </r>
  <r>
    <x v="474"/>
    <x v="2"/>
    <x v="1"/>
    <x v="9"/>
    <m/>
    <x v="2"/>
    <x v="2"/>
    <x v="1"/>
    <x v="5"/>
    <m/>
    <m/>
    <m/>
    <m/>
    <x v="2"/>
    <n v="1"/>
    <n v="0"/>
    <n v="0"/>
    <n v="0"/>
  </r>
  <r>
    <x v="475"/>
    <x v="2"/>
    <x v="0"/>
    <x v="1"/>
    <d v="2025-10-13T00:00:00"/>
    <x v="25"/>
    <x v="31"/>
    <x v="1"/>
    <x v="1"/>
    <m/>
    <n v="2"/>
    <n v="4"/>
    <n v="5"/>
    <x v="2"/>
    <n v="1"/>
    <n v="1"/>
    <n v="1"/>
    <n v="0"/>
  </r>
  <r>
    <x v="476"/>
    <x v="0"/>
    <x v="2"/>
    <x v="21"/>
    <d v="2025-10-19T00:00:00"/>
    <x v="28"/>
    <x v="21"/>
    <x v="0"/>
    <x v="0"/>
    <d v="2025-11-09T00:00:00"/>
    <n v="1"/>
    <n v="5"/>
    <n v="5"/>
    <x v="0"/>
    <n v="1"/>
    <n v="1"/>
    <n v="1"/>
    <n v="1"/>
  </r>
  <r>
    <x v="477"/>
    <x v="0"/>
    <x v="0"/>
    <x v="22"/>
    <d v="2025-10-28T00:00:00"/>
    <x v="10"/>
    <x v="34"/>
    <x v="1"/>
    <x v="1"/>
    <m/>
    <n v="3"/>
    <n v="5"/>
    <n v="2"/>
    <x v="2"/>
    <n v="1"/>
    <n v="1"/>
    <n v="1"/>
    <n v="0"/>
  </r>
  <r>
    <x v="478"/>
    <x v="0"/>
    <x v="0"/>
    <x v="21"/>
    <d v="2025-10-19T00:00:00"/>
    <x v="3"/>
    <x v="3"/>
    <x v="0"/>
    <x v="0"/>
    <d v="2025-11-17T00:00:00"/>
    <n v="1"/>
    <n v="2"/>
    <n v="3"/>
    <x v="11"/>
    <n v="1"/>
    <n v="1"/>
    <n v="1"/>
    <n v="1"/>
  </r>
  <r>
    <x v="479"/>
    <x v="0"/>
    <x v="0"/>
    <x v="27"/>
    <d v="2025-10-16T00:00:00"/>
    <x v="6"/>
    <x v="7"/>
    <x v="1"/>
    <x v="2"/>
    <m/>
    <n v="3"/>
    <n v="4"/>
    <n v="5"/>
    <x v="2"/>
    <n v="1"/>
    <n v="1"/>
    <n v="1"/>
    <n v="0"/>
  </r>
  <r>
    <x v="480"/>
    <x v="2"/>
    <x v="0"/>
    <x v="11"/>
    <d v="2025-10-17T00:00:00"/>
    <x v="1"/>
    <x v="1"/>
    <x v="0"/>
    <x v="0"/>
    <d v="2025-11-06T00:00:00"/>
    <n v="2"/>
    <n v="2"/>
    <n v="7"/>
    <x v="0"/>
    <n v="1"/>
    <n v="1"/>
    <n v="1"/>
    <n v="1"/>
  </r>
  <r>
    <x v="481"/>
    <x v="2"/>
    <x v="0"/>
    <x v="20"/>
    <d v="2025-11-01T00:00:00"/>
    <x v="4"/>
    <x v="8"/>
    <x v="0"/>
    <x v="0"/>
    <d v="2025-12-01T00:00:00"/>
    <n v="2"/>
    <n v="3"/>
    <n v="6"/>
    <x v="1"/>
    <n v="1"/>
    <n v="1"/>
    <n v="1"/>
    <n v="1"/>
  </r>
  <r>
    <x v="482"/>
    <x v="1"/>
    <x v="0"/>
    <x v="1"/>
    <d v="2025-10-12T00:00:00"/>
    <x v="23"/>
    <x v="14"/>
    <x v="0"/>
    <x v="0"/>
    <d v="2025-11-01T00:00:00"/>
    <n v="1"/>
    <n v="2"/>
    <n v="2"/>
    <x v="7"/>
    <n v="1"/>
    <n v="1"/>
    <n v="1"/>
    <n v="1"/>
  </r>
  <r>
    <x v="483"/>
    <x v="1"/>
    <x v="0"/>
    <x v="3"/>
    <d v="2025-10-31T00:00:00"/>
    <x v="22"/>
    <x v="23"/>
    <x v="0"/>
    <x v="0"/>
    <d v="2025-11-27T00:00:00"/>
    <n v="3"/>
    <n v="3"/>
    <n v="6"/>
    <x v="7"/>
    <n v="1"/>
    <n v="1"/>
    <n v="1"/>
    <n v="1"/>
  </r>
  <r>
    <x v="484"/>
    <x v="0"/>
    <x v="0"/>
    <x v="28"/>
    <d v="2025-10-11T00:00:00"/>
    <x v="14"/>
    <x v="25"/>
    <x v="0"/>
    <x v="0"/>
    <d v="2025-11-04T00:00:00"/>
    <n v="4"/>
    <n v="1"/>
    <n v="2"/>
    <x v="5"/>
    <n v="1"/>
    <n v="1"/>
    <n v="1"/>
    <n v="1"/>
  </r>
  <r>
    <x v="485"/>
    <x v="3"/>
    <x v="0"/>
    <x v="12"/>
    <d v="2025-10-25T00:00:00"/>
    <x v="0"/>
    <x v="26"/>
    <x v="1"/>
    <x v="2"/>
    <m/>
    <n v="2"/>
    <n v="4"/>
    <n v="4"/>
    <x v="2"/>
    <n v="1"/>
    <n v="1"/>
    <n v="1"/>
    <n v="0"/>
  </r>
  <r>
    <x v="486"/>
    <x v="3"/>
    <x v="0"/>
    <x v="24"/>
    <d v="2025-10-12T00:00:00"/>
    <x v="17"/>
    <x v="19"/>
    <x v="0"/>
    <x v="0"/>
    <d v="2025-11-12T00:00:00"/>
    <n v="4"/>
    <n v="3"/>
    <n v="4"/>
    <x v="3"/>
    <n v="1"/>
    <n v="1"/>
    <n v="1"/>
    <n v="1"/>
  </r>
  <r>
    <x v="487"/>
    <x v="2"/>
    <x v="2"/>
    <x v="23"/>
    <d v="2025-10-23T00:00:00"/>
    <x v="28"/>
    <x v="32"/>
    <x v="0"/>
    <x v="0"/>
    <d v="2025-11-22T00:00:00"/>
    <n v="4"/>
    <n v="1"/>
    <n v="3"/>
    <x v="8"/>
    <n v="1"/>
    <n v="1"/>
    <n v="1"/>
    <n v="1"/>
  </r>
  <r>
    <x v="488"/>
    <x v="2"/>
    <x v="0"/>
    <x v="27"/>
    <d v="2025-10-18T00:00:00"/>
    <x v="16"/>
    <x v="5"/>
    <x v="0"/>
    <x v="0"/>
    <d v="2025-11-19T00:00:00"/>
    <n v="5"/>
    <n v="5"/>
    <n v="5"/>
    <x v="7"/>
    <n v="1"/>
    <n v="1"/>
    <n v="1"/>
    <n v="1"/>
  </r>
  <r>
    <x v="489"/>
    <x v="2"/>
    <x v="2"/>
    <x v="24"/>
    <d v="2025-10-09T00:00:00"/>
    <x v="30"/>
    <x v="16"/>
    <x v="0"/>
    <x v="0"/>
    <d v="2025-11-16T00:00:00"/>
    <n v="1"/>
    <n v="2"/>
    <n v="6"/>
    <x v="0"/>
    <n v="1"/>
    <n v="1"/>
    <n v="1"/>
    <n v="1"/>
  </r>
  <r>
    <x v="490"/>
    <x v="1"/>
    <x v="0"/>
    <x v="3"/>
    <d v="2025-10-29T00:00:00"/>
    <x v="15"/>
    <x v="34"/>
    <x v="0"/>
    <x v="0"/>
    <d v="2025-11-17T00:00:00"/>
    <n v="1"/>
    <n v="1"/>
    <n v="5"/>
    <x v="3"/>
    <n v="1"/>
    <n v="1"/>
    <n v="1"/>
    <n v="1"/>
  </r>
  <r>
    <x v="491"/>
    <x v="1"/>
    <x v="0"/>
    <x v="22"/>
    <d v="2025-10-26T00:00:00"/>
    <x v="0"/>
    <x v="26"/>
    <x v="1"/>
    <x v="1"/>
    <m/>
    <n v="1"/>
    <n v="3"/>
    <n v="4"/>
    <x v="2"/>
    <n v="1"/>
    <n v="1"/>
    <n v="1"/>
    <n v="0"/>
  </r>
  <r>
    <x v="492"/>
    <x v="2"/>
    <x v="0"/>
    <x v="4"/>
    <d v="2025-10-17T00:00:00"/>
    <x v="3"/>
    <x v="32"/>
    <x v="0"/>
    <x v="0"/>
    <d v="2025-11-06T00:00:00"/>
    <n v="3"/>
    <n v="4"/>
    <n v="6"/>
    <x v="9"/>
    <n v="1"/>
    <n v="1"/>
    <n v="1"/>
    <n v="1"/>
  </r>
  <r>
    <x v="493"/>
    <x v="2"/>
    <x v="0"/>
    <x v="30"/>
    <d v="2025-10-04T00:00:00"/>
    <x v="37"/>
    <x v="14"/>
    <x v="0"/>
    <x v="0"/>
    <d v="2025-11-02T00:00:00"/>
    <n v="2"/>
    <n v="5"/>
    <n v="7"/>
    <x v="10"/>
    <n v="1"/>
    <n v="1"/>
    <n v="1"/>
    <n v="1"/>
  </r>
  <r>
    <x v="494"/>
    <x v="2"/>
    <x v="1"/>
    <x v="1"/>
    <m/>
    <x v="2"/>
    <x v="2"/>
    <x v="1"/>
    <x v="5"/>
    <m/>
    <m/>
    <m/>
    <m/>
    <x v="2"/>
    <n v="1"/>
    <n v="0"/>
    <n v="0"/>
    <n v="0"/>
  </r>
  <r>
    <x v="495"/>
    <x v="3"/>
    <x v="1"/>
    <x v="15"/>
    <m/>
    <x v="2"/>
    <x v="2"/>
    <x v="1"/>
    <x v="4"/>
    <m/>
    <m/>
    <m/>
    <m/>
    <x v="2"/>
    <n v="1"/>
    <n v="0"/>
    <n v="0"/>
    <n v="0"/>
  </r>
  <r>
    <x v="496"/>
    <x v="1"/>
    <x v="1"/>
    <x v="6"/>
    <m/>
    <x v="2"/>
    <x v="2"/>
    <x v="1"/>
    <x v="4"/>
    <m/>
    <m/>
    <m/>
    <m/>
    <x v="2"/>
    <n v="1"/>
    <n v="0"/>
    <n v="0"/>
    <n v="0"/>
  </r>
  <r>
    <x v="497"/>
    <x v="3"/>
    <x v="1"/>
    <x v="12"/>
    <m/>
    <x v="2"/>
    <x v="2"/>
    <x v="1"/>
    <x v="5"/>
    <m/>
    <m/>
    <m/>
    <m/>
    <x v="2"/>
    <n v="1"/>
    <n v="0"/>
    <n v="0"/>
    <n v="0"/>
  </r>
  <r>
    <x v="498"/>
    <x v="3"/>
    <x v="2"/>
    <x v="20"/>
    <d v="2025-11-01T00:00:00"/>
    <x v="9"/>
    <x v="23"/>
    <x v="0"/>
    <x v="0"/>
    <d v="2025-11-30T00:00:00"/>
    <n v="2"/>
    <n v="5"/>
    <n v="3"/>
    <x v="1"/>
    <n v="1"/>
    <n v="1"/>
    <n v="1"/>
    <n v="1"/>
  </r>
  <r>
    <x v="499"/>
    <x v="2"/>
    <x v="2"/>
    <x v="19"/>
    <d v="2025-10-31T00:00:00"/>
    <x v="12"/>
    <x v="13"/>
    <x v="0"/>
    <x v="0"/>
    <d v="2025-12-01T00:00:00"/>
    <n v="5"/>
    <n v="1"/>
    <n v="5"/>
    <x v="11"/>
    <n v="1"/>
    <n v="1"/>
    <n v="1"/>
    <n v="1"/>
  </r>
  <r>
    <x v="500"/>
    <x v="2"/>
    <x v="0"/>
    <x v="27"/>
    <d v="2025-10-18T00:00:00"/>
    <x v="1"/>
    <x v="12"/>
    <x v="0"/>
    <x v="0"/>
    <d v="2025-11-19T00:00:00"/>
    <n v="5"/>
    <n v="1"/>
    <n v="2"/>
    <x v="3"/>
    <n v="1"/>
    <n v="1"/>
    <n v="1"/>
    <n v="1"/>
  </r>
  <r>
    <x v="501"/>
    <x v="0"/>
    <x v="2"/>
    <x v="27"/>
    <d v="2025-10-18T00:00:00"/>
    <x v="6"/>
    <x v="31"/>
    <x v="0"/>
    <x v="0"/>
    <d v="2025-11-15T00:00:00"/>
    <n v="5"/>
    <n v="2"/>
    <n v="2"/>
    <x v="8"/>
    <n v="1"/>
    <n v="1"/>
    <n v="1"/>
    <n v="1"/>
  </r>
  <r>
    <x v="502"/>
    <x v="0"/>
    <x v="0"/>
    <x v="26"/>
    <d v="2025-10-26T00:00:00"/>
    <x v="31"/>
    <x v="13"/>
    <x v="0"/>
    <x v="0"/>
    <d v="2025-11-21T00:00:00"/>
    <n v="4"/>
    <n v="5"/>
    <n v="6"/>
    <x v="7"/>
    <n v="1"/>
    <n v="1"/>
    <n v="1"/>
    <n v="1"/>
  </r>
  <r>
    <x v="503"/>
    <x v="3"/>
    <x v="0"/>
    <x v="19"/>
    <d v="2025-10-27T00:00:00"/>
    <x v="12"/>
    <x v="0"/>
    <x v="0"/>
    <x v="0"/>
    <d v="2025-11-28T00:00:00"/>
    <n v="1"/>
    <n v="5"/>
    <n v="2"/>
    <x v="4"/>
    <n v="1"/>
    <n v="1"/>
    <n v="1"/>
    <n v="1"/>
  </r>
  <r>
    <x v="504"/>
    <x v="1"/>
    <x v="0"/>
    <x v="5"/>
    <d v="2025-10-30T00:00:00"/>
    <x v="12"/>
    <x v="0"/>
    <x v="0"/>
    <x v="0"/>
    <d v="2025-12-01T00:00:00"/>
    <n v="3"/>
    <n v="2"/>
    <n v="2"/>
    <x v="10"/>
    <n v="1"/>
    <n v="1"/>
    <n v="1"/>
    <n v="1"/>
  </r>
  <r>
    <x v="505"/>
    <x v="2"/>
    <x v="0"/>
    <x v="0"/>
    <d v="2025-10-23T00:00:00"/>
    <x v="18"/>
    <x v="24"/>
    <x v="0"/>
    <x v="0"/>
    <d v="2025-11-27T00:00:00"/>
    <n v="2"/>
    <n v="4"/>
    <n v="4"/>
    <x v="4"/>
    <n v="1"/>
    <n v="1"/>
    <n v="1"/>
    <n v="1"/>
  </r>
  <r>
    <x v="506"/>
    <x v="2"/>
    <x v="0"/>
    <x v="13"/>
    <d v="2025-10-08T00:00:00"/>
    <x v="13"/>
    <x v="38"/>
    <x v="0"/>
    <x v="0"/>
    <d v="2025-11-03T00:00:00"/>
    <n v="3"/>
    <n v="2"/>
    <n v="3"/>
    <x v="7"/>
    <n v="1"/>
    <n v="1"/>
    <n v="1"/>
    <n v="1"/>
  </r>
  <r>
    <x v="507"/>
    <x v="3"/>
    <x v="0"/>
    <x v="6"/>
    <d v="2025-10-17T00:00:00"/>
    <x v="6"/>
    <x v="31"/>
    <x v="0"/>
    <x v="0"/>
    <d v="2025-11-12T00:00:00"/>
    <n v="1"/>
    <n v="3"/>
    <n v="2"/>
    <x v="7"/>
    <n v="1"/>
    <n v="1"/>
    <n v="1"/>
    <n v="1"/>
  </r>
  <r>
    <x v="508"/>
    <x v="0"/>
    <x v="1"/>
    <x v="8"/>
    <m/>
    <x v="2"/>
    <x v="2"/>
    <x v="1"/>
    <x v="4"/>
    <m/>
    <m/>
    <m/>
    <m/>
    <x v="2"/>
    <n v="1"/>
    <n v="0"/>
    <n v="0"/>
    <n v="0"/>
  </r>
  <r>
    <x v="509"/>
    <x v="1"/>
    <x v="0"/>
    <x v="30"/>
    <d v="2025-10-03T00:00:00"/>
    <x v="29"/>
    <x v="29"/>
    <x v="0"/>
    <x v="0"/>
    <d v="2025-10-23T00:00:00"/>
    <n v="1"/>
    <n v="3"/>
    <n v="2"/>
    <x v="11"/>
    <n v="1"/>
    <n v="1"/>
    <n v="1"/>
    <n v="1"/>
  </r>
  <r>
    <x v="510"/>
    <x v="0"/>
    <x v="1"/>
    <x v="13"/>
    <m/>
    <x v="2"/>
    <x v="2"/>
    <x v="1"/>
    <x v="3"/>
    <m/>
    <m/>
    <m/>
    <m/>
    <x v="2"/>
    <n v="1"/>
    <n v="0"/>
    <n v="0"/>
    <n v="0"/>
  </r>
  <r>
    <x v="511"/>
    <x v="0"/>
    <x v="2"/>
    <x v="16"/>
    <d v="2025-10-19T00:00:00"/>
    <x v="6"/>
    <x v="7"/>
    <x v="0"/>
    <x v="0"/>
    <d v="2025-11-12T00:00:00"/>
    <n v="2"/>
    <n v="1"/>
    <n v="5"/>
    <x v="11"/>
    <n v="1"/>
    <n v="1"/>
    <n v="1"/>
    <n v="1"/>
  </r>
  <r>
    <x v="512"/>
    <x v="0"/>
    <x v="1"/>
    <x v="8"/>
    <m/>
    <x v="2"/>
    <x v="2"/>
    <x v="1"/>
    <x v="1"/>
    <m/>
    <m/>
    <m/>
    <m/>
    <x v="2"/>
    <n v="1"/>
    <n v="0"/>
    <n v="0"/>
    <n v="0"/>
  </r>
  <r>
    <x v="513"/>
    <x v="0"/>
    <x v="0"/>
    <x v="23"/>
    <d v="2025-10-23T00:00:00"/>
    <x v="27"/>
    <x v="24"/>
    <x v="0"/>
    <x v="0"/>
    <d v="2025-11-12T00:00:00"/>
    <n v="4"/>
    <n v="2"/>
    <n v="6"/>
    <x v="9"/>
    <n v="1"/>
    <n v="1"/>
    <n v="1"/>
    <n v="1"/>
  </r>
  <r>
    <x v="514"/>
    <x v="2"/>
    <x v="0"/>
    <x v="1"/>
    <d v="2025-10-16T00:00:00"/>
    <x v="11"/>
    <x v="31"/>
    <x v="0"/>
    <x v="0"/>
    <d v="2025-11-10T00:00:00"/>
    <n v="5"/>
    <n v="2"/>
    <n v="4"/>
    <x v="7"/>
    <n v="1"/>
    <n v="1"/>
    <n v="1"/>
    <n v="1"/>
  </r>
  <r>
    <x v="515"/>
    <x v="2"/>
    <x v="2"/>
    <x v="3"/>
    <d v="2025-11-01T00:00:00"/>
    <x v="10"/>
    <x v="23"/>
    <x v="1"/>
    <x v="1"/>
    <m/>
    <n v="4"/>
    <n v="1"/>
    <n v="7"/>
    <x v="2"/>
    <n v="1"/>
    <n v="1"/>
    <n v="1"/>
    <n v="0"/>
  </r>
  <r>
    <x v="516"/>
    <x v="0"/>
    <x v="0"/>
    <x v="7"/>
    <d v="2025-10-05T00:00:00"/>
    <x v="37"/>
    <x v="14"/>
    <x v="0"/>
    <x v="0"/>
    <d v="2025-10-26T00:00:00"/>
    <n v="1"/>
    <n v="4"/>
    <n v="7"/>
    <x v="0"/>
    <n v="1"/>
    <n v="1"/>
    <n v="1"/>
    <n v="1"/>
  </r>
  <r>
    <x v="517"/>
    <x v="1"/>
    <x v="2"/>
    <x v="3"/>
    <d v="2025-10-29T00:00:00"/>
    <x v="31"/>
    <x v="13"/>
    <x v="0"/>
    <x v="0"/>
    <d v="2025-11-28T00:00:00"/>
    <n v="1"/>
    <n v="2"/>
    <n v="6"/>
    <x v="10"/>
    <n v="1"/>
    <n v="1"/>
    <n v="1"/>
    <n v="1"/>
  </r>
  <r>
    <x v="518"/>
    <x v="3"/>
    <x v="2"/>
    <x v="3"/>
    <d v="2025-11-01T00:00:00"/>
    <x v="9"/>
    <x v="36"/>
    <x v="0"/>
    <x v="0"/>
    <d v="2025-11-22T00:00:00"/>
    <n v="4"/>
    <n v="5"/>
    <n v="5"/>
    <x v="4"/>
    <n v="1"/>
    <n v="1"/>
    <n v="1"/>
    <n v="1"/>
  </r>
  <r>
    <x v="519"/>
    <x v="1"/>
    <x v="0"/>
    <x v="11"/>
    <d v="2025-10-20T00:00:00"/>
    <x v="24"/>
    <x v="32"/>
    <x v="0"/>
    <x v="0"/>
    <d v="2025-11-11T00:00:00"/>
    <n v="5"/>
    <n v="2"/>
    <n v="5"/>
    <x v="5"/>
    <n v="1"/>
    <n v="1"/>
    <n v="1"/>
    <n v="1"/>
  </r>
  <r>
    <x v="520"/>
    <x v="1"/>
    <x v="0"/>
    <x v="7"/>
    <d v="2025-10-09T00:00:00"/>
    <x v="21"/>
    <x v="22"/>
    <x v="0"/>
    <x v="0"/>
    <d v="2025-11-17T00:00:00"/>
    <n v="5"/>
    <n v="4"/>
    <n v="7"/>
    <x v="11"/>
    <n v="1"/>
    <n v="1"/>
    <n v="1"/>
    <n v="1"/>
  </r>
  <r>
    <x v="521"/>
    <x v="1"/>
    <x v="0"/>
    <x v="16"/>
    <d v="2025-10-18T00:00:00"/>
    <x v="6"/>
    <x v="7"/>
    <x v="0"/>
    <x v="0"/>
    <d v="2025-11-10T00:00:00"/>
    <n v="1"/>
    <n v="2"/>
    <n v="5"/>
    <x v="8"/>
    <n v="1"/>
    <n v="1"/>
    <n v="1"/>
    <n v="1"/>
  </r>
  <r>
    <x v="522"/>
    <x v="0"/>
    <x v="1"/>
    <x v="20"/>
    <m/>
    <x v="2"/>
    <x v="2"/>
    <x v="1"/>
    <x v="5"/>
    <m/>
    <m/>
    <m/>
    <m/>
    <x v="2"/>
    <n v="1"/>
    <n v="0"/>
    <n v="0"/>
    <n v="0"/>
  </r>
  <r>
    <x v="523"/>
    <x v="2"/>
    <x v="0"/>
    <x v="11"/>
    <d v="2025-10-20T00:00:00"/>
    <x v="27"/>
    <x v="32"/>
    <x v="0"/>
    <x v="0"/>
    <d v="2025-11-13T00:00:00"/>
    <n v="5"/>
    <n v="5"/>
    <n v="2"/>
    <x v="8"/>
    <n v="1"/>
    <n v="1"/>
    <n v="1"/>
    <n v="1"/>
  </r>
  <r>
    <x v="524"/>
    <x v="1"/>
    <x v="0"/>
    <x v="2"/>
    <d v="2025-10-06T00:00:00"/>
    <x v="37"/>
    <x v="14"/>
    <x v="0"/>
    <x v="0"/>
    <d v="2025-11-15T00:00:00"/>
    <n v="5"/>
    <n v="3"/>
    <n v="7"/>
    <x v="1"/>
    <n v="1"/>
    <n v="1"/>
    <n v="1"/>
    <n v="1"/>
  </r>
  <r>
    <x v="525"/>
    <x v="0"/>
    <x v="2"/>
    <x v="15"/>
    <d v="2025-10-26T00:00:00"/>
    <x v="0"/>
    <x v="34"/>
    <x v="0"/>
    <x v="0"/>
    <d v="2025-11-21T00:00:00"/>
    <n v="2"/>
    <n v="3"/>
    <n v="6"/>
    <x v="1"/>
    <n v="1"/>
    <n v="1"/>
    <n v="1"/>
    <n v="1"/>
  </r>
  <r>
    <x v="526"/>
    <x v="1"/>
    <x v="0"/>
    <x v="13"/>
    <d v="2025-10-07T00:00:00"/>
    <x v="30"/>
    <x v="16"/>
    <x v="0"/>
    <x v="0"/>
    <d v="2025-11-02T00:00:00"/>
    <n v="2"/>
    <n v="4"/>
    <n v="6"/>
    <x v="5"/>
    <n v="1"/>
    <n v="1"/>
    <n v="1"/>
    <n v="1"/>
  </r>
  <r>
    <x v="527"/>
    <x v="1"/>
    <x v="0"/>
    <x v="4"/>
    <d v="2025-10-17T00:00:00"/>
    <x v="3"/>
    <x v="32"/>
    <x v="0"/>
    <x v="0"/>
    <d v="2025-11-14T00:00:00"/>
    <n v="3"/>
    <n v="4"/>
    <n v="6"/>
    <x v="8"/>
    <n v="1"/>
    <n v="1"/>
    <n v="1"/>
    <n v="1"/>
  </r>
  <r>
    <x v="528"/>
    <x v="0"/>
    <x v="1"/>
    <x v="3"/>
    <m/>
    <x v="2"/>
    <x v="2"/>
    <x v="1"/>
    <x v="4"/>
    <m/>
    <m/>
    <m/>
    <m/>
    <x v="2"/>
    <n v="1"/>
    <n v="0"/>
    <n v="0"/>
    <n v="0"/>
  </r>
  <r>
    <x v="529"/>
    <x v="2"/>
    <x v="1"/>
    <x v="0"/>
    <m/>
    <x v="2"/>
    <x v="2"/>
    <x v="1"/>
    <x v="2"/>
    <m/>
    <m/>
    <m/>
    <m/>
    <x v="2"/>
    <n v="1"/>
    <n v="0"/>
    <n v="0"/>
    <n v="0"/>
  </r>
  <r>
    <x v="530"/>
    <x v="2"/>
    <x v="0"/>
    <x v="13"/>
    <d v="2025-10-09T00:00:00"/>
    <x v="23"/>
    <x v="16"/>
    <x v="0"/>
    <x v="0"/>
    <d v="2025-11-16T00:00:00"/>
    <n v="4"/>
    <n v="5"/>
    <n v="3"/>
    <x v="0"/>
    <n v="1"/>
    <n v="1"/>
    <n v="1"/>
    <n v="1"/>
  </r>
  <r>
    <x v="531"/>
    <x v="3"/>
    <x v="2"/>
    <x v="25"/>
    <d v="2025-10-04T00:00:00"/>
    <x v="36"/>
    <x v="42"/>
    <x v="0"/>
    <x v="0"/>
    <d v="2025-11-03T00:00:00"/>
    <n v="1"/>
    <n v="3"/>
    <n v="4"/>
    <x v="0"/>
    <n v="1"/>
    <n v="1"/>
    <n v="1"/>
    <n v="1"/>
  </r>
  <r>
    <x v="532"/>
    <x v="0"/>
    <x v="1"/>
    <x v="6"/>
    <m/>
    <x v="2"/>
    <x v="2"/>
    <x v="1"/>
    <x v="2"/>
    <m/>
    <m/>
    <m/>
    <m/>
    <x v="2"/>
    <n v="1"/>
    <n v="0"/>
    <n v="0"/>
    <n v="0"/>
  </r>
  <r>
    <x v="533"/>
    <x v="3"/>
    <x v="0"/>
    <x v="19"/>
    <d v="2025-10-31T00:00:00"/>
    <x v="22"/>
    <x v="18"/>
    <x v="0"/>
    <x v="0"/>
    <d v="2025-12-01T00:00:00"/>
    <n v="5"/>
    <n v="3"/>
    <n v="2"/>
    <x v="10"/>
    <n v="1"/>
    <n v="1"/>
    <n v="1"/>
    <n v="1"/>
  </r>
  <r>
    <x v="534"/>
    <x v="3"/>
    <x v="2"/>
    <x v="17"/>
    <d v="2025-10-12T00:00:00"/>
    <x v="17"/>
    <x v="19"/>
    <x v="0"/>
    <x v="0"/>
    <d v="2025-10-29T00:00:00"/>
    <n v="3"/>
    <n v="3"/>
    <n v="4"/>
    <x v="6"/>
    <n v="1"/>
    <n v="1"/>
    <n v="1"/>
    <n v="1"/>
  </r>
  <r>
    <x v="535"/>
    <x v="3"/>
    <x v="2"/>
    <x v="1"/>
    <d v="2025-10-13T00:00:00"/>
    <x v="20"/>
    <x v="27"/>
    <x v="1"/>
    <x v="4"/>
    <m/>
    <n v="2"/>
    <n v="3"/>
    <n v="2"/>
    <x v="2"/>
    <n v="1"/>
    <n v="1"/>
    <n v="1"/>
    <n v="0"/>
  </r>
  <r>
    <x v="536"/>
    <x v="2"/>
    <x v="0"/>
    <x v="18"/>
    <d v="2025-10-25T00:00:00"/>
    <x v="15"/>
    <x v="18"/>
    <x v="0"/>
    <x v="0"/>
    <d v="2025-11-15T00:00:00"/>
    <n v="5"/>
    <n v="5"/>
    <n v="6"/>
    <x v="6"/>
    <n v="1"/>
    <n v="1"/>
    <n v="1"/>
    <n v="1"/>
  </r>
  <r>
    <x v="537"/>
    <x v="0"/>
    <x v="2"/>
    <x v="12"/>
    <d v="2025-10-27T00:00:00"/>
    <x v="31"/>
    <x v="0"/>
    <x v="0"/>
    <x v="0"/>
    <d v="2025-11-28T00:00:00"/>
    <n v="4"/>
    <n v="4"/>
    <n v="3"/>
    <x v="9"/>
    <n v="1"/>
    <n v="1"/>
    <n v="1"/>
    <n v="1"/>
  </r>
  <r>
    <x v="538"/>
    <x v="3"/>
    <x v="1"/>
    <x v="27"/>
    <m/>
    <x v="2"/>
    <x v="2"/>
    <x v="1"/>
    <x v="2"/>
    <m/>
    <m/>
    <m/>
    <m/>
    <x v="2"/>
    <n v="1"/>
    <n v="0"/>
    <n v="0"/>
    <n v="0"/>
  </r>
  <r>
    <x v="539"/>
    <x v="0"/>
    <x v="0"/>
    <x v="0"/>
    <d v="2025-10-23T00:00:00"/>
    <x v="18"/>
    <x v="9"/>
    <x v="1"/>
    <x v="5"/>
    <m/>
    <n v="2"/>
    <n v="4"/>
    <n v="3"/>
    <x v="2"/>
    <n v="1"/>
    <n v="1"/>
    <n v="1"/>
    <n v="0"/>
  </r>
  <r>
    <x v="540"/>
    <x v="0"/>
    <x v="2"/>
    <x v="25"/>
    <d v="2025-10-04T00:00:00"/>
    <x v="32"/>
    <x v="42"/>
    <x v="0"/>
    <x v="0"/>
    <d v="2025-10-25T00:00:00"/>
    <n v="1"/>
    <n v="1"/>
    <n v="6"/>
    <x v="3"/>
    <n v="1"/>
    <n v="1"/>
    <n v="1"/>
    <n v="1"/>
  </r>
  <r>
    <x v="541"/>
    <x v="2"/>
    <x v="1"/>
    <x v="3"/>
    <m/>
    <x v="2"/>
    <x v="2"/>
    <x v="1"/>
    <x v="5"/>
    <m/>
    <m/>
    <m/>
    <m/>
    <x v="2"/>
    <n v="1"/>
    <n v="0"/>
    <n v="0"/>
    <n v="0"/>
  </r>
  <r>
    <x v="542"/>
    <x v="3"/>
    <x v="0"/>
    <x v="1"/>
    <d v="2025-10-16T00:00:00"/>
    <x v="6"/>
    <x v="3"/>
    <x v="0"/>
    <x v="0"/>
    <d v="2025-11-23T00:00:00"/>
    <n v="5"/>
    <n v="4"/>
    <n v="4"/>
    <x v="3"/>
    <n v="1"/>
    <n v="1"/>
    <n v="1"/>
    <n v="1"/>
  </r>
  <r>
    <x v="543"/>
    <x v="3"/>
    <x v="0"/>
    <x v="3"/>
    <d v="2025-10-31T00:00:00"/>
    <x v="22"/>
    <x v="11"/>
    <x v="0"/>
    <x v="0"/>
    <d v="2025-11-23T00:00:00"/>
    <n v="3"/>
    <n v="3"/>
    <n v="5"/>
    <x v="8"/>
    <n v="1"/>
    <n v="1"/>
    <n v="1"/>
    <n v="1"/>
  </r>
  <r>
    <x v="544"/>
    <x v="0"/>
    <x v="2"/>
    <x v="26"/>
    <d v="2025-10-23T00:00:00"/>
    <x v="27"/>
    <x v="24"/>
    <x v="0"/>
    <x v="0"/>
    <d v="2025-11-29T00:00:00"/>
    <n v="1"/>
    <n v="2"/>
    <n v="6"/>
    <x v="10"/>
    <n v="1"/>
    <n v="1"/>
    <n v="1"/>
    <n v="1"/>
  </r>
  <r>
    <x v="545"/>
    <x v="1"/>
    <x v="2"/>
    <x v="3"/>
    <d v="2025-11-02T00:00:00"/>
    <x v="7"/>
    <x v="39"/>
    <x v="0"/>
    <x v="0"/>
    <d v="2025-11-22T00:00:00"/>
    <n v="5"/>
    <n v="3"/>
    <n v="7"/>
    <x v="5"/>
    <n v="1"/>
    <n v="1"/>
    <n v="1"/>
    <n v="1"/>
  </r>
  <r>
    <x v="546"/>
    <x v="2"/>
    <x v="0"/>
    <x v="21"/>
    <d v="2025-10-23T00:00:00"/>
    <x v="26"/>
    <x v="26"/>
    <x v="0"/>
    <x v="0"/>
    <d v="2025-11-19T00:00:00"/>
    <n v="5"/>
    <n v="3"/>
    <n v="7"/>
    <x v="9"/>
    <n v="1"/>
    <n v="1"/>
    <n v="1"/>
    <n v="1"/>
  </r>
  <r>
    <x v="547"/>
    <x v="2"/>
    <x v="0"/>
    <x v="27"/>
    <d v="2025-10-18T00:00:00"/>
    <x v="24"/>
    <x v="21"/>
    <x v="0"/>
    <x v="0"/>
    <d v="2025-11-16T00:00:00"/>
    <n v="5"/>
    <n v="4"/>
    <n v="7"/>
    <x v="8"/>
    <n v="1"/>
    <n v="1"/>
    <n v="1"/>
    <n v="1"/>
  </r>
  <r>
    <x v="548"/>
    <x v="2"/>
    <x v="0"/>
    <x v="8"/>
    <d v="2025-11-05T00:00:00"/>
    <x v="9"/>
    <x v="10"/>
    <x v="0"/>
    <x v="0"/>
    <d v="2025-12-12T00:00:00"/>
    <n v="5"/>
    <n v="1"/>
    <n v="7"/>
    <x v="5"/>
    <n v="1"/>
    <n v="1"/>
    <n v="1"/>
    <n v="1"/>
  </r>
  <r>
    <x v="549"/>
    <x v="2"/>
    <x v="0"/>
    <x v="1"/>
    <d v="2025-10-16T00:00:00"/>
    <x v="3"/>
    <x v="15"/>
    <x v="0"/>
    <x v="0"/>
    <d v="2025-11-11T00:00:00"/>
    <n v="5"/>
    <n v="5"/>
    <n v="2"/>
    <x v="7"/>
    <n v="1"/>
    <n v="1"/>
    <n v="1"/>
    <n v="1"/>
  </r>
  <r>
    <x v="550"/>
    <x v="3"/>
    <x v="0"/>
    <x v="0"/>
    <d v="2025-10-22T00:00:00"/>
    <x v="28"/>
    <x v="5"/>
    <x v="0"/>
    <x v="0"/>
    <d v="2025-11-27T00:00:00"/>
    <n v="1"/>
    <n v="2"/>
    <n v="4"/>
    <x v="9"/>
    <n v="1"/>
    <n v="1"/>
    <n v="1"/>
    <n v="1"/>
  </r>
  <r>
    <x v="551"/>
    <x v="3"/>
    <x v="2"/>
    <x v="12"/>
    <d v="2025-10-27T00:00:00"/>
    <x v="0"/>
    <x v="18"/>
    <x v="0"/>
    <x v="0"/>
    <d v="2025-11-23T00:00:00"/>
    <n v="4"/>
    <n v="2"/>
    <n v="7"/>
    <x v="9"/>
    <n v="1"/>
    <n v="1"/>
    <n v="1"/>
    <n v="1"/>
  </r>
  <r>
    <x v="552"/>
    <x v="1"/>
    <x v="0"/>
    <x v="10"/>
    <d v="2025-11-02T00:00:00"/>
    <x v="22"/>
    <x v="11"/>
    <x v="0"/>
    <x v="0"/>
    <d v="2025-12-01T00:00:00"/>
    <n v="4"/>
    <n v="1"/>
    <n v="5"/>
    <x v="3"/>
    <n v="1"/>
    <n v="1"/>
    <n v="1"/>
    <n v="1"/>
  </r>
  <r>
    <x v="553"/>
    <x v="2"/>
    <x v="1"/>
    <x v="22"/>
    <m/>
    <x v="2"/>
    <x v="2"/>
    <x v="1"/>
    <x v="4"/>
    <m/>
    <m/>
    <m/>
    <m/>
    <x v="2"/>
    <n v="1"/>
    <n v="0"/>
    <n v="0"/>
    <n v="0"/>
  </r>
  <r>
    <x v="554"/>
    <x v="2"/>
    <x v="0"/>
    <x v="6"/>
    <d v="2025-10-17T00:00:00"/>
    <x v="6"/>
    <x v="32"/>
    <x v="0"/>
    <x v="0"/>
    <d v="2025-11-18T00:00:00"/>
    <n v="1"/>
    <n v="3"/>
    <n v="7"/>
    <x v="0"/>
    <n v="1"/>
    <n v="1"/>
    <n v="1"/>
    <n v="1"/>
  </r>
  <r>
    <x v="555"/>
    <x v="0"/>
    <x v="0"/>
    <x v="3"/>
    <d v="2025-11-01T00:00:00"/>
    <x v="9"/>
    <x v="23"/>
    <x v="0"/>
    <x v="0"/>
    <d v="2025-11-30T00:00:00"/>
    <n v="4"/>
    <n v="5"/>
    <n v="3"/>
    <x v="1"/>
    <n v="1"/>
    <n v="1"/>
    <n v="1"/>
    <n v="1"/>
  </r>
  <r>
    <x v="556"/>
    <x v="3"/>
    <x v="2"/>
    <x v="21"/>
    <d v="2025-10-21T00:00:00"/>
    <x v="26"/>
    <x v="5"/>
    <x v="0"/>
    <x v="0"/>
    <d v="2025-11-21T00:00:00"/>
    <n v="3"/>
    <n v="5"/>
    <n v="2"/>
    <x v="10"/>
    <n v="1"/>
    <n v="1"/>
    <n v="1"/>
    <n v="1"/>
  </r>
  <r>
    <x v="557"/>
    <x v="2"/>
    <x v="0"/>
    <x v="30"/>
    <d v="2025-10-05T00:00:00"/>
    <x v="13"/>
    <x v="38"/>
    <x v="0"/>
    <x v="0"/>
    <d v="2025-10-31T00:00:00"/>
    <n v="3"/>
    <n v="5"/>
    <n v="3"/>
    <x v="0"/>
    <n v="1"/>
    <n v="1"/>
    <n v="1"/>
    <n v="1"/>
  </r>
  <r>
    <x v="558"/>
    <x v="1"/>
    <x v="0"/>
    <x v="18"/>
    <d v="2025-10-21T00:00:00"/>
    <x v="27"/>
    <x v="32"/>
    <x v="0"/>
    <x v="0"/>
    <d v="2025-11-12T00:00:00"/>
    <n v="1"/>
    <n v="4"/>
    <n v="2"/>
    <x v="5"/>
    <n v="1"/>
    <n v="1"/>
    <n v="1"/>
    <n v="1"/>
  </r>
  <r>
    <x v="559"/>
    <x v="1"/>
    <x v="1"/>
    <x v="25"/>
    <m/>
    <x v="2"/>
    <x v="2"/>
    <x v="1"/>
    <x v="2"/>
    <m/>
    <m/>
    <m/>
    <m/>
    <x v="2"/>
    <n v="1"/>
    <n v="0"/>
    <n v="0"/>
    <n v="0"/>
  </r>
  <r>
    <x v="560"/>
    <x v="3"/>
    <x v="0"/>
    <x v="24"/>
    <d v="2025-10-11T00:00:00"/>
    <x v="23"/>
    <x v="19"/>
    <x v="0"/>
    <x v="0"/>
    <d v="2025-11-12T00:00:00"/>
    <n v="3"/>
    <n v="3"/>
    <n v="5"/>
    <x v="5"/>
    <n v="1"/>
    <n v="1"/>
    <n v="1"/>
    <n v="1"/>
  </r>
  <r>
    <x v="561"/>
    <x v="1"/>
    <x v="1"/>
    <x v="0"/>
    <m/>
    <x v="2"/>
    <x v="2"/>
    <x v="1"/>
    <x v="5"/>
    <m/>
    <m/>
    <m/>
    <m/>
    <x v="2"/>
    <n v="1"/>
    <n v="0"/>
    <n v="0"/>
    <n v="0"/>
  </r>
  <r>
    <x v="562"/>
    <x v="1"/>
    <x v="0"/>
    <x v="26"/>
    <d v="2025-10-23T00:00:00"/>
    <x v="27"/>
    <x v="32"/>
    <x v="0"/>
    <x v="0"/>
    <d v="2025-11-15T00:00:00"/>
    <n v="1"/>
    <n v="2"/>
    <n v="2"/>
    <x v="10"/>
    <n v="1"/>
    <n v="1"/>
    <n v="1"/>
    <n v="1"/>
  </r>
  <r>
    <x v="563"/>
    <x v="3"/>
    <x v="2"/>
    <x v="20"/>
    <d v="2025-11-02T00:00:00"/>
    <x v="4"/>
    <x v="23"/>
    <x v="0"/>
    <x v="0"/>
    <d v="2025-12-05T00:00:00"/>
    <n v="3"/>
    <n v="2"/>
    <n v="5"/>
    <x v="9"/>
    <n v="1"/>
    <n v="1"/>
    <n v="1"/>
    <n v="1"/>
  </r>
  <r>
    <x v="564"/>
    <x v="2"/>
    <x v="0"/>
    <x v="29"/>
    <d v="2025-10-12T00:00:00"/>
    <x v="17"/>
    <x v="12"/>
    <x v="0"/>
    <x v="0"/>
    <d v="2025-11-19T00:00:00"/>
    <n v="2"/>
    <n v="3"/>
    <n v="6"/>
    <x v="8"/>
    <n v="1"/>
    <n v="1"/>
    <n v="1"/>
    <n v="1"/>
  </r>
  <r>
    <x v="565"/>
    <x v="2"/>
    <x v="2"/>
    <x v="24"/>
    <d v="2025-10-09T00:00:00"/>
    <x v="30"/>
    <x v="16"/>
    <x v="0"/>
    <x v="0"/>
    <d v="2025-11-08T00:00:00"/>
    <n v="1"/>
    <n v="2"/>
    <n v="6"/>
    <x v="7"/>
    <n v="1"/>
    <n v="1"/>
    <n v="1"/>
    <n v="1"/>
  </r>
  <r>
    <x v="566"/>
    <x v="1"/>
    <x v="2"/>
    <x v="15"/>
    <d v="2025-10-29T00:00:00"/>
    <x v="10"/>
    <x v="34"/>
    <x v="0"/>
    <x v="0"/>
    <d v="2025-12-02T00:00:00"/>
    <n v="5"/>
    <n v="4"/>
    <n v="2"/>
    <x v="9"/>
    <n v="1"/>
    <n v="1"/>
    <n v="1"/>
    <n v="1"/>
  </r>
  <r>
    <x v="567"/>
    <x v="1"/>
    <x v="1"/>
    <x v="25"/>
    <m/>
    <x v="2"/>
    <x v="2"/>
    <x v="1"/>
    <x v="5"/>
    <m/>
    <m/>
    <m/>
    <m/>
    <x v="2"/>
    <n v="1"/>
    <n v="0"/>
    <n v="0"/>
    <n v="0"/>
  </r>
  <r>
    <x v="568"/>
    <x v="2"/>
    <x v="0"/>
    <x v="4"/>
    <d v="2025-10-17T00:00:00"/>
    <x v="24"/>
    <x v="1"/>
    <x v="0"/>
    <x v="0"/>
    <d v="2025-11-08T00:00:00"/>
    <n v="3"/>
    <n v="5"/>
    <n v="4"/>
    <x v="3"/>
    <n v="1"/>
    <n v="1"/>
    <n v="1"/>
    <n v="1"/>
  </r>
  <r>
    <x v="569"/>
    <x v="3"/>
    <x v="0"/>
    <x v="7"/>
    <d v="2025-10-06T00:00:00"/>
    <x v="5"/>
    <x v="6"/>
    <x v="0"/>
    <x v="0"/>
    <d v="2025-10-25T00:00:00"/>
    <n v="2"/>
    <n v="2"/>
    <n v="7"/>
    <x v="8"/>
    <n v="1"/>
    <n v="1"/>
    <n v="1"/>
    <n v="1"/>
  </r>
  <r>
    <x v="570"/>
    <x v="1"/>
    <x v="2"/>
    <x v="22"/>
    <d v="2025-10-26T00:00:00"/>
    <x v="15"/>
    <x v="13"/>
    <x v="0"/>
    <x v="0"/>
    <d v="2025-12-02T00:00:00"/>
    <n v="1"/>
    <n v="4"/>
    <n v="7"/>
    <x v="3"/>
    <n v="1"/>
    <n v="1"/>
    <n v="1"/>
    <n v="1"/>
  </r>
  <r>
    <x v="571"/>
    <x v="0"/>
    <x v="0"/>
    <x v="0"/>
    <d v="2025-10-24T00:00:00"/>
    <x v="0"/>
    <x v="18"/>
    <x v="0"/>
    <x v="0"/>
    <d v="2025-11-26T00:00:00"/>
    <n v="3"/>
    <n v="5"/>
    <n v="7"/>
    <x v="0"/>
    <n v="1"/>
    <n v="1"/>
    <n v="1"/>
    <n v="1"/>
  </r>
  <r>
    <x v="572"/>
    <x v="3"/>
    <x v="2"/>
    <x v="12"/>
    <d v="2025-10-28T00:00:00"/>
    <x v="31"/>
    <x v="4"/>
    <x v="0"/>
    <x v="0"/>
    <d v="2025-12-04T00:00:00"/>
    <n v="5"/>
    <n v="3"/>
    <n v="7"/>
    <x v="10"/>
    <n v="1"/>
    <n v="1"/>
    <n v="1"/>
    <n v="1"/>
  </r>
  <r>
    <x v="573"/>
    <x v="1"/>
    <x v="2"/>
    <x v="3"/>
    <d v="2025-10-31T00:00:00"/>
    <x v="22"/>
    <x v="13"/>
    <x v="0"/>
    <x v="0"/>
    <d v="2025-12-06T00:00:00"/>
    <n v="3"/>
    <n v="3"/>
    <n v="3"/>
    <x v="11"/>
    <n v="1"/>
    <n v="1"/>
    <n v="1"/>
    <n v="1"/>
  </r>
  <r>
    <x v="574"/>
    <x v="1"/>
    <x v="0"/>
    <x v="7"/>
    <d v="2025-10-06T00:00:00"/>
    <x v="13"/>
    <x v="28"/>
    <x v="0"/>
    <x v="0"/>
    <d v="2025-11-10T00:00:00"/>
    <n v="2"/>
    <n v="4"/>
    <n v="2"/>
    <x v="6"/>
    <n v="1"/>
    <n v="1"/>
    <n v="1"/>
    <n v="1"/>
  </r>
  <r>
    <x v="575"/>
    <x v="0"/>
    <x v="2"/>
    <x v="11"/>
    <d v="2025-10-19T00:00:00"/>
    <x v="16"/>
    <x v="7"/>
    <x v="0"/>
    <x v="0"/>
    <d v="2025-11-23T00:00:00"/>
    <n v="4"/>
    <n v="4"/>
    <n v="2"/>
    <x v="4"/>
    <n v="1"/>
    <n v="1"/>
    <n v="1"/>
    <n v="1"/>
  </r>
  <r>
    <x v="576"/>
    <x v="0"/>
    <x v="0"/>
    <x v="14"/>
    <d v="2025-10-10T00:00:00"/>
    <x v="23"/>
    <x v="12"/>
    <x v="0"/>
    <x v="0"/>
    <d v="2025-11-09T00:00:00"/>
    <n v="4"/>
    <n v="4"/>
    <n v="7"/>
    <x v="11"/>
    <n v="1"/>
    <n v="1"/>
    <n v="1"/>
    <n v="1"/>
  </r>
  <r>
    <x v="577"/>
    <x v="2"/>
    <x v="2"/>
    <x v="12"/>
    <d v="2025-10-25T00:00:00"/>
    <x v="18"/>
    <x v="9"/>
    <x v="0"/>
    <x v="0"/>
    <d v="2025-11-18T00:00:00"/>
    <n v="2"/>
    <n v="2"/>
    <n v="3"/>
    <x v="9"/>
    <n v="1"/>
    <n v="1"/>
    <n v="1"/>
    <n v="1"/>
  </r>
  <r>
    <x v="578"/>
    <x v="3"/>
    <x v="2"/>
    <x v="29"/>
    <d v="2025-10-12T00:00:00"/>
    <x v="17"/>
    <x v="31"/>
    <x v="0"/>
    <x v="0"/>
    <d v="2025-11-04T00:00:00"/>
    <n v="2"/>
    <n v="3"/>
    <n v="7"/>
    <x v="5"/>
    <n v="1"/>
    <n v="1"/>
    <n v="1"/>
    <n v="1"/>
  </r>
  <r>
    <x v="579"/>
    <x v="3"/>
    <x v="2"/>
    <x v="10"/>
    <d v="2025-10-30T00:00:00"/>
    <x v="12"/>
    <x v="0"/>
    <x v="0"/>
    <x v="0"/>
    <d v="2025-11-28T00:00:00"/>
    <n v="1"/>
    <n v="2"/>
    <n v="2"/>
    <x v="3"/>
    <n v="1"/>
    <n v="1"/>
    <n v="1"/>
    <n v="1"/>
  </r>
  <r>
    <x v="580"/>
    <x v="2"/>
    <x v="0"/>
    <x v="2"/>
    <d v="2025-10-05T00:00:00"/>
    <x v="36"/>
    <x v="30"/>
    <x v="0"/>
    <x v="0"/>
    <d v="2025-10-22T00:00:00"/>
    <n v="4"/>
    <n v="2"/>
    <n v="3"/>
    <x v="5"/>
    <n v="1"/>
    <n v="1"/>
    <n v="1"/>
    <n v="1"/>
  </r>
  <r>
    <x v="581"/>
    <x v="3"/>
    <x v="0"/>
    <x v="30"/>
    <d v="2025-10-03T00:00:00"/>
    <x v="5"/>
    <x v="38"/>
    <x v="0"/>
    <x v="0"/>
    <d v="2025-11-02T00:00:00"/>
    <n v="1"/>
    <n v="5"/>
    <n v="5"/>
    <x v="9"/>
    <n v="1"/>
    <n v="1"/>
    <n v="1"/>
    <n v="1"/>
  </r>
  <r>
    <x v="582"/>
    <x v="3"/>
    <x v="0"/>
    <x v="1"/>
    <d v="2025-10-14T00:00:00"/>
    <x v="11"/>
    <x v="31"/>
    <x v="0"/>
    <x v="0"/>
    <d v="2025-11-09T00:00:00"/>
    <n v="3"/>
    <n v="4"/>
    <n v="4"/>
    <x v="10"/>
    <n v="1"/>
    <n v="1"/>
    <n v="1"/>
    <n v="1"/>
  </r>
  <r>
    <x v="583"/>
    <x v="3"/>
    <x v="0"/>
    <x v="19"/>
    <d v="2025-10-28T00:00:00"/>
    <x v="15"/>
    <x v="18"/>
    <x v="0"/>
    <x v="0"/>
    <d v="2025-12-05T00:00:00"/>
    <n v="2"/>
    <n v="2"/>
    <n v="6"/>
    <x v="7"/>
    <n v="1"/>
    <n v="1"/>
    <n v="1"/>
    <n v="1"/>
  </r>
  <r>
    <x v="584"/>
    <x v="3"/>
    <x v="0"/>
    <x v="30"/>
    <d v="2025-10-03T00:00:00"/>
    <x v="5"/>
    <x v="25"/>
    <x v="1"/>
    <x v="3"/>
    <m/>
    <n v="1"/>
    <n v="5"/>
    <n v="6"/>
    <x v="2"/>
    <n v="1"/>
    <n v="1"/>
    <n v="1"/>
    <n v="0"/>
  </r>
  <r>
    <x v="585"/>
    <x v="3"/>
    <x v="2"/>
    <x v="29"/>
    <d v="2025-10-12T00:00:00"/>
    <x v="21"/>
    <x v="22"/>
    <x v="0"/>
    <x v="0"/>
    <d v="2025-11-09T00:00:00"/>
    <n v="2"/>
    <n v="1"/>
    <n v="7"/>
    <x v="7"/>
    <n v="1"/>
    <n v="1"/>
    <n v="1"/>
    <n v="1"/>
  </r>
  <r>
    <x v="586"/>
    <x v="0"/>
    <x v="0"/>
    <x v="9"/>
    <d v="2025-10-13T00:00:00"/>
    <x v="11"/>
    <x v="31"/>
    <x v="0"/>
    <x v="0"/>
    <d v="2025-11-09T00:00:00"/>
    <n v="1"/>
    <n v="5"/>
    <n v="4"/>
    <x v="1"/>
    <n v="1"/>
    <n v="1"/>
    <n v="1"/>
    <n v="1"/>
  </r>
  <r>
    <x v="587"/>
    <x v="3"/>
    <x v="1"/>
    <x v="9"/>
    <m/>
    <x v="2"/>
    <x v="2"/>
    <x v="1"/>
    <x v="3"/>
    <m/>
    <m/>
    <m/>
    <m/>
    <x v="2"/>
    <n v="1"/>
    <n v="0"/>
    <n v="0"/>
    <n v="0"/>
  </r>
  <r>
    <x v="588"/>
    <x v="0"/>
    <x v="0"/>
    <x v="4"/>
    <d v="2025-10-17T00:00:00"/>
    <x v="11"/>
    <x v="12"/>
    <x v="1"/>
    <x v="5"/>
    <m/>
    <n v="3"/>
    <n v="1"/>
    <n v="3"/>
    <x v="2"/>
    <n v="1"/>
    <n v="1"/>
    <n v="1"/>
    <n v="0"/>
  </r>
  <r>
    <x v="589"/>
    <x v="3"/>
    <x v="0"/>
    <x v="13"/>
    <d v="2025-10-08T00:00:00"/>
    <x v="37"/>
    <x v="38"/>
    <x v="0"/>
    <x v="0"/>
    <d v="2025-10-31T00:00:00"/>
    <n v="3"/>
    <n v="1"/>
    <n v="4"/>
    <x v="3"/>
    <n v="1"/>
    <n v="1"/>
    <n v="1"/>
    <n v="1"/>
  </r>
  <r>
    <x v="590"/>
    <x v="2"/>
    <x v="1"/>
    <x v="24"/>
    <m/>
    <x v="2"/>
    <x v="2"/>
    <x v="1"/>
    <x v="4"/>
    <m/>
    <m/>
    <m/>
    <m/>
    <x v="2"/>
    <n v="1"/>
    <n v="0"/>
    <n v="0"/>
    <n v="0"/>
  </r>
  <r>
    <x v="591"/>
    <x v="1"/>
    <x v="0"/>
    <x v="16"/>
    <d v="2025-10-22T00:00:00"/>
    <x v="16"/>
    <x v="1"/>
    <x v="0"/>
    <x v="0"/>
    <d v="2025-11-25T00:00:00"/>
    <n v="5"/>
    <n v="1"/>
    <n v="3"/>
    <x v="6"/>
    <n v="1"/>
    <n v="1"/>
    <n v="1"/>
    <n v="1"/>
  </r>
  <r>
    <x v="592"/>
    <x v="0"/>
    <x v="2"/>
    <x v="4"/>
    <d v="2025-10-18T00:00:00"/>
    <x v="1"/>
    <x v="1"/>
    <x v="1"/>
    <x v="1"/>
    <m/>
    <n v="4"/>
    <n v="1"/>
    <n v="7"/>
    <x v="2"/>
    <n v="1"/>
    <n v="1"/>
    <n v="1"/>
    <n v="0"/>
  </r>
  <r>
    <x v="593"/>
    <x v="3"/>
    <x v="0"/>
    <x v="23"/>
    <d v="2025-10-24T00:00:00"/>
    <x v="8"/>
    <x v="17"/>
    <x v="0"/>
    <x v="0"/>
    <d v="2025-12-01T00:00:00"/>
    <n v="5"/>
    <n v="4"/>
    <n v="4"/>
    <x v="11"/>
    <n v="1"/>
    <n v="1"/>
    <n v="1"/>
    <n v="1"/>
  </r>
  <r>
    <x v="594"/>
    <x v="2"/>
    <x v="0"/>
    <x v="26"/>
    <d v="2025-10-26T00:00:00"/>
    <x v="8"/>
    <x v="34"/>
    <x v="0"/>
    <x v="0"/>
    <d v="2025-11-23T00:00:00"/>
    <n v="4"/>
    <n v="2"/>
    <n v="7"/>
    <x v="0"/>
    <n v="1"/>
    <n v="1"/>
    <n v="1"/>
    <n v="1"/>
  </r>
  <r>
    <x v="595"/>
    <x v="1"/>
    <x v="0"/>
    <x v="19"/>
    <d v="2025-10-29T00:00:00"/>
    <x v="31"/>
    <x v="26"/>
    <x v="0"/>
    <x v="0"/>
    <d v="2025-11-18T00:00:00"/>
    <n v="3"/>
    <n v="2"/>
    <n v="2"/>
    <x v="1"/>
    <n v="1"/>
    <n v="1"/>
    <n v="1"/>
    <n v="1"/>
  </r>
  <r>
    <x v="596"/>
    <x v="0"/>
    <x v="0"/>
    <x v="14"/>
    <d v="2025-10-07T00:00:00"/>
    <x v="5"/>
    <x v="30"/>
    <x v="1"/>
    <x v="1"/>
    <m/>
    <n v="1"/>
    <n v="1"/>
    <n v="2"/>
    <x v="2"/>
    <n v="1"/>
    <n v="1"/>
    <n v="1"/>
    <n v="0"/>
  </r>
  <r>
    <x v="597"/>
    <x v="1"/>
    <x v="0"/>
    <x v="14"/>
    <d v="2025-10-08T00:00:00"/>
    <x v="13"/>
    <x v="25"/>
    <x v="0"/>
    <x v="0"/>
    <d v="2025-10-28T00:00:00"/>
    <n v="2"/>
    <n v="2"/>
    <n v="4"/>
    <x v="9"/>
    <n v="1"/>
    <n v="1"/>
    <n v="1"/>
    <n v="1"/>
  </r>
  <r>
    <x v="598"/>
    <x v="2"/>
    <x v="0"/>
    <x v="14"/>
    <d v="2025-10-09T00:00:00"/>
    <x v="13"/>
    <x v="6"/>
    <x v="0"/>
    <x v="0"/>
    <d v="2025-11-10T00:00:00"/>
    <n v="3"/>
    <n v="1"/>
    <n v="5"/>
    <x v="10"/>
    <n v="1"/>
    <n v="1"/>
    <n v="1"/>
    <n v="1"/>
  </r>
  <r>
    <x v="599"/>
    <x v="0"/>
    <x v="0"/>
    <x v="25"/>
    <d v="2025-10-06T00:00:00"/>
    <x v="5"/>
    <x v="28"/>
    <x v="0"/>
    <x v="0"/>
    <d v="2025-10-29T00:00:00"/>
    <n v="3"/>
    <n v="2"/>
    <n v="4"/>
    <x v="8"/>
    <n v="1"/>
    <n v="1"/>
    <n v="1"/>
    <n v="1"/>
  </r>
  <r>
    <x v="600"/>
    <x v="1"/>
    <x v="1"/>
    <x v="18"/>
    <m/>
    <x v="2"/>
    <x v="2"/>
    <x v="1"/>
    <x v="5"/>
    <m/>
    <m/>
    <m/>
    <m/>
    <x v="2"/>
    <n v="1"/>
    <n v="0"/>
    <n v="0"/>
    <n v="0"/>
  </r>
  <r>
    <x v="601"/>
    <x v="3"/>
    <x v="0"/>
    <x v="3"/>
    <d v="2025-10-29T00:00:00"/>
    <x v="22"/>
    <x v="23"/>
    <x v="0"/>
    <x v="0"/>
    <d v="2025-11-20T00:00:00"/>
    <n v="1"/>
    <n v="5"/>
    <n v="6"/>
    <x v="9"/>
    <n v="1"/>
    <n v="1"/>
    <n v="1"/>
    <n v="1"/>
  </r>
  <r>
    <x v="602"/>
    <x v="0"/>
    <x v="2"/>
    <x v="27"/>
    <d v="2025-10-16T00:00:00"/>
    <x v="6"/>
    <x v="31"/>
    <x v="0"/>
    <x v="0"/>
    <d v="2025-11-20T00:00:00"/>
    <n v="3"/>
    <n v="4"/>
    <n v="2"/>
    <x v="1"/>
    <n v="1"/>
    <n v="1"/>
    <n v="1"/>
    <n v="1"/>
  </r>
  <r>
    <x v="603"/>
    <x v="1"/>
    <x v="0"/>
    <x v="18"/>
    <d v="2025-10-23T00:00:00"/>
    <x v="26"/>
    <x v="9"/>
    <x v="0"/>
    <x v="0"/>
    <d v="2025-11-21T00:00:00"/>
    <n v="3"/>
    <n v="3"/>
    <n v="4"/>
    <x v="5"/>
    <n v="1"/>
    <n v="1"/>
    <n v="1"/>
    <n v="1"/>
  </r>
  <r>
    <x v="604"/>
    <x v="2"/>
    <x v="2"/>
    <x v="26"/>
    <d v="2025-10-23T00:00:00"/>
    <x v="28"/>
    <x v="24"/>
    <x v="0"/>
    <x v="0"/>
    <d v="2025-11-20T00:00:00"/>
    <n v="1"/>
    <n v="1"/>
    <n v="7"/>
    <x v="3"/>
    <n v="1"/>
    <n v="1"/>
    <n v="1"/>
    <n v="1"/>
  </r>
  <r>
    <x v="605"/>
    <x v="2"/>
    <x v="0"/>
    <x v="24"/>
    <d v="2025-10-11T00:00:00"/>
    <x v="20"/>
    <x v="31"/>
    <x v="0"/>
    <x v="0"/>
    <d v="2025-11-05T00:00:00"/>
    <n v="3"/>
    <n v="5"/>
    <n v="6"/>
    <x v="9"/>
    <n v="1"/>
    <n v="1"/>
    <n v="1"/>
    <n v="1"/>
  </r>
  <r>
    <x v="606"/>
    <x v="0"/>
    <x v="0"/>
    <x v="6"/>
    <d v="2025-10-20T00:00:00"/>
    <x v="27"/>
    <x v="17"/>
    <x v="0"/>
    <x v="0"/>
    <d v="2025-11-11T00:00:00"/>
    <n v="4"/>
    <n v="5"/>
    <n v="7"/>
    <x v="0"/>
    <n v="1"/>
    <n v="1"/>
    <n v="1"/>
    <n v="1"/>
  </r>
  <r>
    <x v="607"/>
    <x v="1"/>
    <x v="2"/>
    <x v="20"/>
    <d v="2025-11-03T00:00:00"/>
    <x v="38"/>
    <x v="23"/>
    <x v="0"/>
    <x v="0"/>
    <d v="2025-12-09T00:00:00"/>
    <n v="4"/>
    <n v="4"/>
    <n v="2"/>
    <x v="8"/>
    <n v="1"/>
    <n v="1"/>
    <n v="1"/>
    <n v="1"/>
  </r>
  <r>
    <x v="608"/>
    <x v="0"/>
    <x v="0"/>
    <x v="23"/>
    <d v="2025-10-23T00:00:00"/>
    <x v="18"/>
    <x v="17"/>
    <x v="0"/>
    <x v="0"/>
    <d v="2025-11-26T00:00:00"/>
    <n v="4"/>
    <n v="4"/>
    <n v="5"/>
    <x v="6"/>
    <n v="1"/>
    <n v="1"/>
    <n v="1"/>
    <n v="1"/>
  </r>
  <r>
    <x v="609"/>
    <x v="0"/>
    <x v="2"/>
    <x v="13"/>
    <d v="2025-10-09T00:00:00"/>
    <x v="13"/>
    <x v="6"/>
    <x v="0"/>
    <x v="0"/>
    <d v="2025-11-03T00:00:00"/>
    <n v="4"/>
    <n v="1"/>
    <n v="5"/>
    <x v="10"/>
    <n v="1"/>
    <n v="1"/>
    <n v="1"/>
    <n v="1"/>
  </r>
  <r>
    <x v="610"/>
    <x v="1"/>
    <x v="2"/>
    <x v="24"/>
    <d v="2025-10-11T00:00:00"/>
    <x v="14"/>
    <x v="27"/>
    <x v="0"/>
    <x v="0"/>
    <d v="2025-11-05T00:00:00"/>
    <n v="3"/>
    <n v="1"/>
    <n v="6"/>
    <x v="10"/>
    <n v="1"/>
    <n v="1"/>
    <n v="1"/>
    <n v="1"/>
  </r>
  <r>
    <x v="611"/>
    <x v="1"/>
    <x v="0"/>
    <x v="11"/>
    <d v="2025-10-17T00:00:00"/>
    <x v="24"/>
    <x v="1"/>
    <x v="0"/>
    <x v="0"/>
    <d v="2025-11-18T00:00:00"/>
    <n v="2"/>
    <n v="5"/>
    <n v="4"/>
    <x v="0"/>
    <n v="1"/>
    <n v="1"/>
    <n v="1"/>
    <n v="1"/>
  </r>
  <r>
    <x v="612"/>
    <x v="3"/>
    <x v="0"/>
    <x v="0"/>
    <d v="2025-10-25T00:00:00"/>
    <x v="15"/>
    <x v="17"/>
    <x v="0"/>
    <x v="0"/>
    <d v="2025-11-23T00:00:00"/>
    <n v="4"/>
    <n v="5"/>
    <n v="2"/>
    <x v="1"/>
    <n v="1"/>
    <n v="1"/>
    <n v="1"/>
    <n v="1"/>
  </r>
  <r>
    <x v="613"/>
    <x v="1"/>
    <x v="1"/>
    <x v="17"/>
    <m/>
    <x v="2"/>
    <x v="2"/>
    <x v="1"/>
    <x v="5"/>
    <m/>
    <m/>
    <m/>
    <m/>
    <x v="2"/>
    <n v="1"/>
    <n v="0"/>
    <n v="0"/>
    <n v="0"/>
  </r>
  <r>
    <x v="614"/>
    <x v="2"/>
    <x v="0"/>
    <x v="11"/>
    <d v="2025-10-19T00:00:00"/>
    <x v="16"/>
    <x v="5"/>
    <x v="0"/>
    <x v="0"/>
    <d v="2025-11-19T00:00:00"/>
    <n v="4"/>
    <n v="4"/>
    <n v="5"/>
    <x v="5"/>
    <n v="1"/>
    <n v="1"/>
    <n v="1"/>
    <n v="1"/>
  </r>
  <r>
    <x v="615"/>
    <x v="0"/>
    <x v="0"/>
    <x v="17"/>
    <d v="2025-10-12T00:00:00"/>
    <x v="21"/>
    <x v="19"/>
    <x v="0"/>
    <x v="0"/>
    <d v="2025-10-30T00:00:00"/>
    <n v="3"/>
    <n v="1"/>
    <n v="6"/>
    <x v="5"/>
    <n v="1"/>
    <n v="1"/>
    <n v="1"/>
    <n v="1"/>
  </r>
  <r>
    <x v="616"/>
    <x v="0"/>
    <x v="0"/>
    <x v="26"/>
    <d v="2025-10-27T00:00:00"/>
    <x v="8"/>
    <x v="24"/>
    <x v="0"/>
    <x v="0"/>
    <d v="2025-11-28T00:00:00"/>
    <n v="5"/>
    <n v="1"/>
    <n v="3"/>
    <x v="9"/>
    <n v="1"/>
    <n v="1"/>
    <n v="1"/>
    <n v="1"/>
  </r>
  <r>
    <x v="617"/>
    <x v="2"/>
    <x v="2"/>
    <x v="2"/>
    <d v="2025-10-04T00:00:00"/>
    <x v="37"/>
    <x v="38"/>
    <x v="0"/>
    <x v="0"/>
    <d v="2025-11-10T00:00:00"/>
    <n v="3"/>
    <n v="5"/>
    <n v="4"/>
    <x v="8"/>
    <n v="1"/>
    <n v="1"/>
    <n v="1"/>
    <n v="1"/>
  </r>
  <r>
    <x v="618"/>
    <x v="1"/>
    <x v="1"/>
    <x v="10"/>
    <m/>
    <x v="2"/>
    <x v="2"/>
    <x v="1"/>
    <x v="5"/>
    <m/>
    <m/>
    <m/>
    <m/>
    <x v="2"/>
    <n v="1"/>
    <n v="0"/>
    <n v="0"/>
    <n v="0"/>
  </r>
  <r>
    <x v="619"/>
    <x v="2"/>
    <x v="0"/>
    <x v="19"/>
    <d v="2025-10-27T00:00:00"/>
    <x v="15"/>
    <x v="26"/>
    <x v="1"/>
    <x v="4"/>
    <m/>
    <n v="1"/>
    <n v="3"/>
    <n v="3"/>
    <x v="2"/>
    <n v="1"/>
    <n v="1"/>
    <n v="1"/>
    <n v="0"/>
  </r>
  <r>
    <x v="620"/>
    <x v="2"/>
    <x v="0"/>
    <x v="11"/>
    <d v="2025-10-19T00:00:00"/>
    <x v="28"/>
    <x v="5"/>
    <x v="1"/>
    <x v="3"/>
    <m/>
    <n v="4"/>
    <n v="5"/>
    <n v="4"/>
    <x v="2"/>
    <n v="1"/>
    <n v="1"/>
    <n v="1"/>
    <n v="0"/>
  </r>
  <r>
    <x v="621"/>
    <x v="3"/>
    <x v="2"/>
    <x v="10"/>
    <d v="2025-10-30T00:00:00"/>
    <x v="10"/>
    <x v="34"/>
    <x v="0"/>
    <x v="0"/>
    <d v="2025-11-20T00:00:00"/>
    <n v="1"/>
    <n v="3"/>
    <n v="2"/>
    <x v="5"/>
    <n v="1"/>
    <n v="1"/>
    <n v="1"/>
    <n v="1"/>
  </r>
  <r>
    <x v="622"/>
    <x v="2"/>
    <x v="0"/>
    <x v="29"/>
    <d v="2025-10-14T00:00:00"/>
    <x v="17"/>
    <x v="12"/>
    <x v="0"/>
    <x v="0"/>
    <d v="2025-11-10T00:00:00"/>
    <n v="4"/>
    <n v="1"/>
    <n v="6"/>
    <x v="3"/>
    <n v="1"/>
    <n v="1"/>
    <n v="1"/>
    <n v="1"/>
  </r>
  <r>
    <x v="623"/>
    <x v="0"/>
    <x v="0"/>
    <x v="26"/>
    <d v="2025-10-27T00:00:00"/>
    <x v="12"/>
    <x v="11"/>
    <x v="0"/>
    <x v="0"/>
    <d v="2025-11-25T00:00:00"/>
    <n v="5"/>
    <n v="5"/>
    <n v="7"/>
    <x v="1"/>
    <n v="1"/>
    <n v="1"/>
    <n v="1"/>
    <n v="1"/>
  </r>
  <r>
    <x v="624"/>
    <x v="2"/>
    <x v="1"/>
    <x v="21"/>
    <m/>
    <x v="2"/>
    <x v="2"/>
    <x v="1"/>
    <x v="5"/>
    <m/>
    <m/>
    <m/>
    <m/>
    <x v="2"/>
    <n v="1"/>
    <n v="0"/>
    <n v="0"/>
    <n v="0"/>
  </r>
  <r>
    <x v="625"/>
    <x v="0"/>
    <x v="2"/>
    <x v="14"/>
    <d v="2025-10-08T00:00:00"/>
    <x v="14"/>
    <x v="19"/>
    <x v="0"/>
    <x v="0"/>
    <d v="2025-11-15T00:00:00"/>
    <n v="2"/>
    <n v="4"/>
    <n v="7"/>
    <x v="6"/>
    <n v="1"/>
    <n v="1"/>
    <n v="1"/>
    <n v="1"/>
  </r>
  <r>
    <x v="626"/>
    <x v="0"/>
    <x v="0"/>
    <x v="25"/>
    <d v="2025-10-08T00:00:00"/>
    <x v="13"/>
    <x v="28"/>
    <x v="0"/>
    <x v="0"/>
    <d v="2025-11-11T00:00:00"/>
    <n v="5"/>
    <n v="2"/>
    <n v="2"/>
    <x v="10"/>
    <n v="1"/>
    <n v="1"/>
    <n v="1"/>
    <n v="1"/>
  </r>
  <r>
    <x v="627"/>
    <x v="0"/>
    <x v="1"/>
    <x v="11"/>
    <m/>
    <x v="2"/>
    <x v="2"/>
    <x v="1"/>
    <x v="5"/>
    <m/>
    <m/>
    <m/>
    <m/>
    <x v="2"/>
    <n v="1"/>
    <n v="0"/>
    <n v="0"/>
    <n v="0"/>
  </r>
  <r>
    <x v="628"/>
    <x v="1"/>
    <x v="0"/>
    <x v="8"/>
    <d v="2025-11-03T00:00:00"/>
    <x v="4"/>
    <x v="4"/>
    <x v="1"/>
    <x v="2"/>
    <m/>
    <n v="3"/>
    <n v="1"/>
    <n v="3"/>
    <x v="2"/>
    <n v="1"/>
    <n v="1"/>
    <n v="1"/>
    <n v="0"/>
  </r>
  <r>
    <x v="629"/>
    <x v="3"/>
    <x v="0"/>
    <x v="9"/>
    <d v="2025-10-15T00:00:00"/>
    <x v="20"/>
    <x v="15"/>
    <x v="0"/>
    <x v="0"/>
    <d v="2025-11-17T00:00:00"/>
    <n v="3"/>
    <n v="1"/>
    <n v="7"/>
    <x v="9"/>
    <n v="1"/>
    <n v="1"/>
    <n v="1"/>
    <n v="1"/>
  </r>
  <r>
    <x v="630"/>
    <x v="0"/>
    <x v="2"/>
    <x v="23"/>
    <d v="2025-10-20T00:00:00"/>
    <x v="27"/>
    <x v="24"/>
    <x v="0"/>
    <x v="0"/>
    <d v="2025-11-21T00:00:00"/>
    <n v="1"/>
    <n v="5"/>
    <n v="6"/>
    <x v="10"/>
    <n v="1"/>
    <n v="1"/>
    <n v="1"/>
    <n v="1"/>
  </r>
  <r>
    <x v="631"/>
    <x v="0"/>
    <x v="1"/>
    <x v="29"/>
    <m/>
    <x v="2"/>
    <x v="2"/>
    <x v="1"/>
    <x v="4"/>
    <m/>
    <m/>
    <m/>
    <m/>
    <x v="2"/>
    <n v="1"/>
    <n v="0"/>
    <n v="0"/>
    <n v="0"/>
  </r>
  <r>
    <x v="632"/>
    <x v="1"/>
    <x v="2"/>
    <x v="0"/>
    <d v="2025-10-22T00:00:00"/>
    <x v="28"/>
    <x v="1"/>
    <x v="0"/>
    <x v="0"/>
    <d v="2025-11-21T00:00:00"/>
    <n v="1"/>
    <n v="2"/>
    <n v="2"/>
    <x v="3"/>
    <n v="1"/>
    <n v="1"/>
    <n v="1"/>
    <n v="1"/>
  </r>
  <r>
    <x v="633"/>
    <x v="0"/>
    <x v="0"/>
    <x v="8"/>
    <d v="2025-11-03T00:00:00"/>
    <x v="7"/>
    <x v="4"/>
    <x v="0"/>
    <x v="0"/>
    <d v="2025-11-26T00:00:00"/>
    <n v="3"/>
    <n v="2"/>
    <n v="2"/>
    <x v="9"/>
    <n v="1"/>
    <n v="1"/>
    <n v="1"/>
    <n v="1"/>
  </r>
  <r>
    <x v="634"/>
    <x v="2"/>
    <x v="0"/>
    <x v="4"/>
    <d v="2025-10-17T00:00:00"/>
    <x v="1"/>
    <x v="12"/>
    <x v="0"/>
    <x v="0"/>
    <d v="2025-11-05T00:00:00"/>
    <n v="3"/>
    <n v="2"/>
    <n v="2"/>
    <x v="7"/>
    <n v="1"/>
    <n v="1"/>
    <n v="1"/>
    <n v="1"/>
  </r>
  <r>
    <x v="635"/>
    <x v="2"/>
    <x v="2"/>
    <x v="12"/>
    <d v="2025-10-26T00:00:00"/>
    <x v="31"/>
    <x v="0"/>
    <x v="1"/>
    <x v="5"/>
    <m/>
    <n v="3"/>
    <n v="5"/>
    <n v="3"/>
    <x v="2"/>
    <n v="1"/>
    <n v="1"/>
    <n v="1"/>
    <n v="0"/>
  </r>
  <r>
    <x v="636"/>
    <x v="3"/>
    <x v="0"/>
    <x v="17"/>
    <d v="2025-10-13T00:00:00"/>
    <x v="11"/>
    <x v="22"/>
    <x v="0"/>
    <x v="0"/>
    <d v="2025-11-16T00:00:00"/>
    <n v="4"/>
    <n v="5"/>
    <n v="2"/>
    <x v="9"/>
    <n v="1"/>
    <n v="1"/>
    <n v="1"/>
    <n v="1"/>
  </r>
  <r>
    <x v="637"/>
    <x v="0"/>
    <x v="2"/>
    <x v="11"/>
    <d v="2025-10-20T00:00:00"/>
    <x v="16"/>
    <x v="5"/>
    <x v="0"/>
    <x v="0"/>
    <d v="2025-11-12T00:00:00"/>
    <n v="5"/>
    <n v="3"/>
    <n v="5"/>
    <x v="0"/>
    <n v="1"/>
    <n v="1"/>
    <n v="1"/>
    <n v="1"/>
  </r>
  <r>
    <x v="638"/>
    <x v="1"/>
    <x v="2"/>
    <x v="3"/>
    <d v="2025-11-01T00:00:00"/>
    <x v="4"/>
    <x v="11"/>
    <x v="0"/>
    <x v="0"/>
    <d v="2025-11-27T00:00:00"/>
    <n v="4"/>
    <n v="3"/>
    <n v="4"/>
    <x v="10"/>
    <n v="1"/>
    <n v="1"/>
    <n v="1"/>
    <n v="1"/>
  </r>
  <r>
    <x v="639"/>
    <x v="2"/>
    <x v="0"/>
    <x v="29"/>
    <d v="2025-10-12T00:00:00"/>
    <x v="17"/>
    <x v="22"/>
    <x v="0"/>
    <x v="0"/>
    <d v="2025-11-02T00:00:00"/>
    <n v="2"/>
    <n v="3"/>
    <n v="5"/>
    <x v="1"/>
    <n v="1"/>
    <n v="1"/>
    <n v="1"/>
    <n v="1"/>
  </r>
  <r>
    <x v="640"/>
    <x v="1"/>
    <x v="1"/>
    <x v="28"/>
    <m/>
    <x v="2"/>
    <x v="2"/>
    <x v="1"/>
    <x v="2"/>
    <m/>
    <m/>
    <m/>
    <m/>
    <x v="2"/>
    <n v="1"/>
    <n v="0"/>
    <n v="0"/>
    <n v="0"/>
  </r>
  <r>
    <x v="641"/>
    <x v="1"/>
    <x v="0"/>
    <x v="27"/>
    <d v="2025-10-17T00:00:00"/>
    <x v="3"/>
    <x v="3"/>
    <x v="0"/>
    <x v="0"/>
    <d v="2025-11-18T00:00:00"/>
    <n v="4"/>
    <n v="4"/>
    <n v="3"/>
    <x v="3"/>
    <n v="1"/>
    <n v="1"/>
    <n v="1"/>
    <n v="1"/>
  </r>
  <r>
    <x v="642"/>
    <x v="2"/>
    <x v="0"/>
    <x v="3"/>
    <d v="2025-10-31T00:00:00"/>
    <x v="12"/>
    <x v="34"/>
    <x v="0"/>
    <x v="0"/>
    <d v="2025-11-18T00:00:00"/>
    <n v="3"/>
    <n v="1"/>
    <n v="3"/>
    <x v="8"/>
    <n v="1"/>
    <n v="1"/>
    <n v="1"/>
    <n v="1"/>
  </r>
  <r>
    <x v="643"/>
    <x v="1"/>
    <x v="2"/>
    <x v="6"/>
    <d v="2025-10-20T00:00:00"/>
    <x v="16"/>
    <x v="7"/>
    <x v="0"/>
    <x v="0"/>
    <d v="2025-11-12T00:00:00"/>
    <n v="4"/>
    <n v="3"/>
    <n v="2"/>
    <x v="8"/>
    <n v="1"/>
    <n v="1"/>
    <n v="1"/>
    <n v="1"/>
  </r>
  <r>
    <x v="644"/>
    <x v="2"/>
    <x v="2"/>
    <x v="7"/>
    <d v="2025-10-05T00:00:00"/>
    <x v="37"/>
    <x v="6"/>
    <x v="0"/>
    <x v="0"/>
    <d v="2025-11-11T00:00:00"/>
    <n v="1"/>
    <n v="4"/>
    <n v="6"/>
    <x v="10"/>
    <n v="1"/>
    <n v="1"/>
    <n v="1"/>
    <n v="1"/>
  </r>
  <r>
    <x v="645"/>
    <x v="1"/>
    <x v="2"/>
    <x v="24"/>
    <d v="2025-10-11T00:00:00"/>
    <x v="17"/>
    <x v="31"/>
    <x v="0"/>
    <x v="0"/>
    <d v="2025-11-06T00:00:00"/>
    <n v="3"/>
    <n v="4"/>
    <n v="7"/>
    <x v="6"/>
    <n v="1"/>
    <n v="1"/>
    <n v="1"/>
    <n v="1"/>
  </r>
  <r>
    <x v="646"/>
    <x v="2"/>
    <x v="2"/>
    <x v="27"/>
    <d v="2025-10-18T00:00:00"/>
    <x v="16"/>
    <x v="9"/>
    <x v="0"/>
    <x v="0"/>
    <d v="2025-11-19T00:00:00"/>
    <n v="5"/>
    <n v="5"/>
    <n v="7"/>
    <x v="5"/>
    <n v="1"/>
    <n v="1"/>
    <n v="1"/>
    <n v="1"/>
  </r>
  <r>
    <x v="647"/>
    <x v="0"/>
    <x v="0"/>
    <x v="23"/>
    <d v="2025-10-23T00:00:00"/>
    <x v="27"/>
    <x v="17"/>
    <x v="0"/>
    <x v="0"/>
    <d v="2025-12-01T00:00:00"/>
    <n v="4"/>
    <n v="2"/>
    <n v="7"/>
    <x v="7"/>
    <n v="1"/>
    <n v="1"/>
    <n v="1"/>
    <n v="1"/>
  </r>
  <r>
    <x v="648"/>
    <x v="3"/>
    <x v="0"/>
    <x v="9"/>
    <d v="2025-10-15T00:00:00"/>
    <x v="25"/>
    <x v="31"/>
    <x v="0"/>
    <x v="0"/>
    <d v="2025-11-03T00:00:00"/>
    <n v="3"/>
    <n v="2"/>
    <n v="5"/>
    <x v="6"/>
    <n v="1"/>
    <n v="1"/>
    <n v="1"/>
    <n v="1"/>
  </r>
  <r>
    <x v="649"/>
    <x v="2"/>
    <x v="0"/>
    <x v="23"/>
    <d v="2025-10-20T00:00:00"/>
    <x v="16"/>
    <x v="1"/>
    <x v="1"/>
    <x v="1"/>
    <m/>
    <n v="1"/>
    <n v="3"/>
    <n v="3"/>
    <x v="2"/>
    <n v="1"/>
    <n v="1"/>
    <n v="1"/>
    <n v="0"/>
  </r>
  <r>
    <x v="650"/>
    <x v="2"/>
    <x v="2"/>
    <x v="29"/>
    <d v="2025-10-11T00:00:00"/>
    <x v="14"/>
    <x v="14"/>
    <x v="1"/>
    <x v="5"/>
    <m/>
    <n v="1"/>
    <n v="1"/>
    <n v="4"/>
    <x v="2"/>
    <n v="1"/>
    <n v="1"/>
    <n v="1"/>
    <n v="0"/>
  </r>
  <r>
    <x v="651"/>
    <x v="3"/>
    <x v="0"/>
    <x v="12"/>
    <d v="2025-10-27T00:00:00"/>
    <x v="8"/>
    <x v="24"/>
    <x v="1"/>
    <x v="5"/>
    <m/>
    <n v="4"/>
    <n v="1"/>
    <n v="3"/>
    <x v="2"/>
    <n v="1"/>
    <n v="1"/>
    <n v="1"/>
    <n v="0"/>
  </r>
  <r>
    <x v="652"/>
    <x v="2"/>
    <x v="1"/>
    <x v="29"/>
    <m/>
    <x v="2"/>
    <x v="2"/>
    <x v="1"/>
    <x v="2"/>
    <m/>
    <m/>
    <m/>
    <m/>
    <x v="2"/>
    <n v="1"/>
    <n v="0"/>
    <n v="0"/>
    <n v="0"/>
  </r>
  <r>
    <x v="653"/>
    <x v="2"/>
    <x v="2"/>
    <x v="2"/>
    <d v="2025-10-04T00:00:00"/>
    <x v="32"/>
    <x v="30"/>
    <x v="0"/>
    <x v="0"/>
    <d v="2025-10-27T00:00:00"/>
    <n v="3"/>
    <n v="1"/>
    <n v="5"/>
    <x v="9"/>
    <n v="1"/>
    <n v="1"/>
    <n v="1"/>
    <n v="1"/>
  </r>
  <r>
    <x v="654"/>
    <x v="1"/>
    <x v="1"/>
    <x v="5"/>
    <m/>
    <x v="2"/>
    <x v="2"/>
    <x v="1"/>
    <x v="4"/>
    <m/>
    <m/>
    <m/>
    <m/>
    <x v="2"/>
    <n v="1"/>
    <n v="0"/>
    <n v="0"/>
    <n v="0"/>
  </r>
  <r>
    <x v="655"/>
    <x v="3"/>
    <x v="1"/>
    <x v="26"/>
    <m/>
    <x v="2"/>
    <x v="2"/>
    <x v="1"/>
    <x v="5"/>
    <m/>
    <m/>
    <m/>
    <m/>
    <x v="2"/>
    <n v="1"/>
    <n v="0"/>
    <n v="0"/>
    <n v="0"/>
  </r>
  <r>
    <x v="656"/>
    <x v="0"/>
    <x v="2"/>
    <x v="27"/>
    <d v="2025-10-18T00:00:00"/>
    <x v="24"/>
    <x v="21"/>
    <x v="0"/>
    <x v="0"/>
    <d v="2025-11-19T00:00:00"/>
    <n v="5"/>
    <n v="4"/>
    <n v="7"/>
    <x v="0"/>
    <n v="1"/>
    <n v="1"/>
    <n v="1"/>
    <n v="1"/>
  </r>
  <r>
    <x v="657"/>
    <x v="2"/>
    <x v="0"/>
    <x v="17"/>
    <d v="2025-10-11T00:00:00"/>
    <x v="17"/>
    <x v="19"/>
    <x v="1"/>
    <x v="1"/>
    <m/>
    <n v="2"/>
    <n v="4"/>
    <n v="4"/>
    <x v="2"/>
    <n v="1"/>
    <n v="1"/>
    <n v="1"/>
    <n v="0"/>
  </r>
  <r>
    <x v="658"/>
    <x v="3"/>
    <x v="0"/>
    <x v="2"/>
    <d v="2025-10-02T00:00:00"/>
    <x v="29"/>
    <x v="30"/>
    <x v="1"/>
    <x v="5"/>
    <m/>
    <n v="1"/>
    <n v="4"/>
    <n v="4"/>
    <x v="2"/>
    <n v="1"/>
    <n v="1"/>
    <n v="1"/>
    <n v="0"/>
  </r>
  <r>
    <x v="659"/>
    <x v="1"/>
    <x v="0"/>
    <x v="23"/>
    <d v="2025-10-21T00:00:00"/>
    <x v="26"/>
    <x v="5"/>
    <x v="0"/>
    <x v="0"/>
    <d v="2025-11-14T00:00:00"/>
    <n v="2"/>
    <n v="5"/>
    <n v="2"/>
    <x v="0"/>
    <n v="1"/>
    <n v="1"/>
    <n v="1"/>
    <n v="1"/>
  </r>
  <r>
    <x v="660"/>
    <x v="0"/>
    <x v="0"/>
    <x v="3"/>
    <d v="2025-11-02T00:00:00"/>
    <x v="9"/>
    <x v="39"/>
    <x v="0"/>
    <x v="0"/>
    <d v="2025-12-01T00:00:00"/>
    <n v="5"/>
    <n v="4"/>
    <n v="6"/>
    <x v="10"/>
    <n v="1"/>
    <n v="1"/>
    <n v="1"/>
    <n v="1"/>
  </r>
  <r>
    <x v="661"/>
    <x v="3"/>
    <x v="0"/>
    <x v="26"/>
    <d v="2025-10-26T00:00:00"/>
    <x v="18"/>
    <x v="24"/>
    <x v="0"/>
    <x v="0"/>
    <d v="2025-11-23T00:00:00"/>
    <n v="4"/>
    <n v="1"/>
    <n v="4"/>
    <x v="3"/>
    <n v="1"/>
    <n v="1"/>
    <n v="1"/>
    <n v="1"/>
  </r>
  <r>
    <x v="662"/>
    <x v="0"/>
    <x v="0"/>
    <x v="22"/>
    <d v="2025-10-26T00:00:00"/>
    <x v="18"/>
    <x v="21"/>
    <x v="0"/>
    <x v="0"/>
    <d v="2025-11-18T00:00:00"/>
    <n v="1"/>
    <n v="1"/>
    <n v="2"/>
    <x v="7"/>
    <n v="1"/>
    <n v="1"/>
    <n v="1"/>
    <n v="1"/>
  </r>
  <r>
    <x v="663"/>
    <x v="0"/>
    <x v="0"/>
    <x v="15"/>
    <d v="2025-10-26T00:00:00"/>
    <x v="8"/>
    <x v="0"/>
    <x v="0"/>
    <x v="0"/>
    <d v="2025-11-24T00:00:00"/>
    <n v="2"/>
    <n v="2"/>
    <n v="6"/>
    <x v="8"/>
    <n v="1"/>
    <n v="1"/>
    <n v="1"/>
    <n v="1"/>
  </r>
  <r>
    <x v="664"/>
    <x v="0"/>
    <x v="0"/>
    <x v="30"/>
    <d v="2025-10-03T00:00:00"/>
    <x v="34"/>
    <x v="42"/>
    <x v="0"/>
    <x v="0"/>
    <d v="2025-10-29T00:00:00"/>
    <n v="1"/>
    <n v="1"/>
    <n v="7"/>
    <x v="3"/>
    <n v="1"/>
    <n v="1"/>
    <n v="1"/>
    <n v="1"/>
  </r>
  <r>
    <x v="665"/>
    <x v="2"/>
    <x v="0"/>
    <x v="20"/>
    <d v="2025-11-01T00:00:00"/>
    <x v="7"/>
    <x v="4"/>
    <x v="0"/>
    <x v="0"/>
    <d v="2025-12-05T00:00:00"/>
    <n v="2"/>
    <n v="4"/>
    <n v="2"/>
    <x v="0"/>
    <n v="1"/>
    <n v="1"/>
    <n v="1"/>
    <n v="1"/>
  </r>
  <r>
    <x v="666"/>
    <x v="2"/>
    <x v="0"/>
    <x v="18"/>
    <d v="2025-10-23T00:00:00"/>
    <x v="18"/>
    <x v="9"/>
    <x v="0"/>
    <x v="0"/>
    <d v="2025-11-18T00:00:00"/>
    <n v="3"/>
    <n v="4"/>
    <n v="3"/>
    <x v="11"/>
    <n v="1"/>
    <n v="1"/>
    <n v="1"/>
    <n v="1"/>
  </r>
  <r>
    <x v="667"/>
    <x v="1"/>
    <x v="0"/>
    <x v="15"/>
    <d v="2025-10-27T00:00:00"/>
    <x v="15"/>
    <x v="26"/>
    <x v="0"/>
    <x v="0"/>
    <d v="2025-11-26T00:00:00"/>
    <n v="3"/>
    <n v="3"/>
    <n v="3"/>
    <x v="6"/>
    <n v="1"/>
    <n v="1"/>
    <n v="1"/>
    <n v="1"/>
  </r>
  <r>
    <x v="668"/>
    <x v="1"/>
    <x v="2"/>
    <x v="6"/>
    <d v="2025-10-20T00:00:00"/>
    <x v="27"/>
    <x v="24"/>
    <x v="0"/>
    <x v="0"/>
    <d v="2025-11-13T00:00:00"/>
    <n v="4"/>
    <n v="5"/>
    <n v="6"/>
    <x v="0"/>
    <n v="1"/>
    <n v="1"/>
    <n v="1"/>
    <n v="1"/>
  </r>
  <r>
    <x v="669"/>
    <x v="3"/>
    <x v="2"/>
    <x v="5"/>
    <d v="2025-11-01T00:00:00"/>
    <x v="10"/>
    <x v="34"/>
    <x v="1"/>
    <x v="1"/>
    <m/>
    <n v="5"/>
    <n v="1"/>
    <n v="2"/>
    <x v="2"/>
    <n v="1"/>
    <n v="1"/>
    <n v="1"/>
    <n v="0"/>
  </r>
  <r>
    <x v="670"/>
    <x v="1"/>
    <x v="1"/>
    <x v="10"/>
    <m/>
    <x v="2"/>
    <x v="2"/>
    <x v="1"/>
    <x v="3"/>
    <m/>
    <m/>
    <m/>
    <m/>
    <x v="2"/>
    <n v="1"/>
    <n v="0"/>
    <n v="0"/>
    <n v="0"/>
  </r>
  <r>
    <x v="671"/>
    <x v="0"/>
    <x v="0"/>
    <x v="10"/>
    <d v="2025-10-30T00:00:00"/>
    <x v="4"/>
    <x v="23"/>
    <x v="0"/>
    <x v="0"/>
    <d v="2025-12-04T00:00:00"/>
    <n v="1"/>
    <n v="5"/>
    <n v="5"/>
    <x v="6"/>
    <n v="1"/>
    <n v="1"/>
    <n v="1"/>
    <n v="1"/>
  </r>
  <r>
    <x v="672"/>
    <x v="0"/>
    <x v="2"/>
    <x v="29"/>
    <d v="2025-10-15T00:00:00"/>
    <x v="20"/>
    <x v="27"/>
    <x v="0"/>
    <x v="0"/>
    <d v="2025-10-29T00:00:00"/>
    <n v="5"/>
    <n v="1"/>
    <n v="2"/>
    <x v="5"/>
    <n v="1"/>
    <n v="1"/>
    <n v="1"/>
    <n v="1"/>
  </r>
  <r>
    <x v="673"/>
    <x v="2"/>
    <x v="2"/>
    <x v="22"/>
    <d v="2025-10-27T00:00:00"/>
    <x v="0"/>
    <x v="0"/>
    <x v="0"/>
    <x v="0"/>
    <d v="2025-12-03T00:00:00"/>
    <n v="2"/>
    <n v="2"/>
    <n v="5"/>
    <x v="4"/>
    <n v="1"/>
    <n v="1"/>
    <n v="1"/>
    <n v="1"/>
  </r>
  <r>
    <x v="674"/>
    <x v="0"/>
    <x v="2"/>
    <x v="19"/>
    <d v="2025-10-30T00:00:00"/>
    <x v="12"/>
    <x v="18"/>
    <x v="0"/>
    <x v="0"/>
    <d v="2025-12-03T00:00:00"/>
    <n v="4"/>
    <n v="2"/>
    <n v="4"/>
    <x v="1"/>
    <n v="1"/>
    <n v="1"/>
    <n v="1"/>
    <n v="1"/>
  </r>
  <r>
    <x v="675"/>
    <x v="3"/>
    <x v="1"/>
    <x v="24"/>
    <m/>
    <x v="2"/>
    <x v="2"/>
    <x v="1"/>
    <x v="3"/>
    <m/>
    <m/>
    <m/>
    <m/>
    <x v="2"/>
    <n v="1"/>
    <n v="0"/>
    <n v="0"/>
    <n v="0"/>
  </r>
  <r>
    <x v="676"/>
    <x v="0"/>
    <x v="0"/>
    <x v="18"/>
    <d v="2025-10-23T00:00:00"/>
    <x v="8"/>
    <x v="17"/>
    <x v="0"/>
    <x v="0"/>
    <d v="2025-11-29T00:00:00"/>
    <n v="3"/>
    <n v="5"/>
    <n v="4"/>
    <x v="4"/>
    <n v="1"/>
    <n v="1"/>
    <n v="1"/>
    <n v="1"/>
  </r>
  <r>
    <x v="677"/>
    <x v="0"/>
    <x v="1"/>
    <x v="19"/>
    <m/>
    <x v="2"/>
    <x v="2"/>
    <x v="1"/>
    <x v="1"/>
    <m/>
    <m/>
    <m/>
    <m/>
    <x v="2"/>
    <n v="1"/>
    <n v="0"/>
    <n v="0"/>
    <n v="0"/>
  </r>
  <r>
    <x v="678"/>
    <x v="3"/>
    <x v="0"/>
    <x v="9"/>
    <d v="2025-10-15T00:00:00"/>
    <x v="1"/>
    <x v="15"/>
    <x v="1"/>
    <x v="4"/>
    <m/>
    <n v="3"/>
    <n v="4"/>
    <n v="4"/>
    <x v="2"/>
    <n v="1"/>
    <n v="1"/>
    <n v="1"/>
    <n v="0"/>
  </r>
  <r>
    <x v="679"/>
    <x v="1"/>
    <x v="0"/>
    <x v="24"/>
    <d v="2025-10-12T00:00:00"/>
    <x v="17"/>
    <x v="16"/>
    <x v="0"/>
    <x v="0"/>
    <d v="2025-11-15T00:00:00"/>
    <n v="4"/>
    <n v="3"/>
    <n v="2"/>
    <x v="4"/>
    <n v="1"/>
    <n v="1"/>
    <n v="1"/>
    <n v="1"/>
  </r>
  <r>
    <x v="680"/>
    <x v="1"/>
    <x v="0"/>
    <x v="0"/>
    <d v="2025-10-22T00:00:00"/>
    <x v="16"/>
    <x v="21"/>
    <x v="0"/>
    <x v="0"/>
    <d v="2025-11-10T00:00:00"/>
    <n v="1"/>
    <n v="1"/>
    <n v="6"/>
    <x v="0"/>
    <n v="1"/>
    <n v="1"/>
    <n v="1"/>
    <n v="1"/>
  </r>
  <r>
    <x v="681"/>
    <x v="3"/>
    <x v="0"/>
    <x v="28"/>
    <d v="2025-10-12T00:00:00"/>
    <x v="21"/>
    <x v="27"/>
    <x v="0"/>
    <x v="0"/>
    <d v="2025-11-12T00:00:00"/>
    <n v="5"/>
    <n v="1"/>
    <n v="5"/>
    <x v="3"/>
    <n v="1"/>
    <n v="1"/>
    <n v="1"/>
    <n v="1"/>
  </r>
  <r>
    <x v="682"/>
    <x v="2"/>
    <x v="2"/>
    <x v="18"/>
    <d v="2025-10-22T00:00:00"/>
    <x v="27"/>
    <x v="32"/>
    <x v="0"/>
    <x v="0"/>
    <d v="2025-11-12T00:00:00"/>
    <n v="2"/>
    <n v="3"/>
    <n v="2"/>
    <x v="1"/>
    <n v="1"/>
    <n v="1"/>
    <n v="1"/>
    <n v="1"/>
  </r>
  <r>
    <x v="683"/>
    <x v="0"/>
    <x v="1"/>
    <x v="17"/>
    <m/>
    <x v="2"/>
    <x v="2"/>
    <x v="1"/>
    <x v="5"/>
    <m/>
    <m/>
    <m/>
    <m/>
    <x v="2"/>
    <n v="1"/>
    <n v="0"/>
    <n v="0"/>
    <n v="0"/>
  </r>
  <r>
    <x v="684"/>
    <x v="3"/>
    <x v="1"/>
    <x v="26"/>
    <m/>
    <x v="2"/>
    <x v="2"/>
    <x v="1"/>
    <x v="5"/>
    <m/>
    <m/>
    <m/>
    <m/>
    <x v="2"/>
    <n v="1"/>
    <n v="0"/>
    <n v="0"/>
    <n v="0"/>
  </r>
  <r>
    <x v="685"/>
    <x v="0"/>
    <x v="0"/>
    <x v="22"/>
    <d v="2025-10-30T00:00:00"/>
    <x v="4"/>
    <x v="11"/>
    <x v="0"/>
    <x v="0"/>
    <d v="2025-12-04T00:00:00"/>
    <n v="5"/>
    <n v="5"/>
    <n v="4"/>
    <x v="7"/>
    <n v="1"/>
    <n v="1"/>
    <n v="1"/>
    <n v="1"/>
  </r>
  <r>
    <x v="686"/>
    <x v="2"/>
    <x v="1"/>
    <x v="15"/>
    <m/>
    <x v="2"/>
    <x v="2"/>
    <x v="1"/>
    <x v="3"/>
    <m/>
    <m/>
    <m/>
    <m/>
    <x v="2"/>
    <n v="1"/>
    <n v="0"/>
    <n v="0"/>
    <n v="0"/>
  </r>
  <r>
    <x v="687"/>
    <x v="0"/>
    <x v="1"/>
    <x v="22"/>
    <m/>
    <x v="2"/>
    <x v="2"/>
    <x v="1"/>
    <x v="1"/>
    <m/>
    <m/>
    <m/>
    <m/>
    <x v="2"/>
    <n v="1"/>
    <n v="0"/>
    <n v="0"/>
    <n v="0"/>
  </r>
  <r>
    <x v="688"/>
    <x v="3"/>
    <x v="0"/>
    <x v="26"/>
    <d v="2025-10-25T00:00:00"/>
    <x v="15"/>
    <x v="26"/>
    <x v="0"/>
    <x v="0"/>
    <d v="2025-11-15T00:00:00"/>
    <n v="3"/>
    <n v="5"/>
    <n v="3"/>
    <x v="7"/>
    <n v="1"/>
    <n v="1"/>
    <n v="1"/>
    <n v="1"/>
  </r>
  <r>
    <x v="689"/>
    <x v="0"/>
    <x v="2"/>
    <x v="26"/>
    <d v="2025-10-26T00:00:00"/>
    <x v="18"/>
    <x v="24"/>
    <x v="0"/>
    <x v="0"/>
    <d v="2025-11-22T00:00:00"/>
    <n v="4"/>
    <n v="1"/>
    <n v="4"/>
    <x v="0"/>
    <n v="1"/>
    <n v="1"/>
    <n v="1"/>
    <n v="1"/>
  </r>
  <r>
    <x v="690"/>
    <x v="1"/>
    <x v="0"/>
    <x v="5"/>
    <d v="2025-10-30T00:00:00"/>
    <x v="12"/>
    <x v="4"/>
    <x v="0"/>
    <x v="0"/>
    <d v="2025-12-03T00:00:00"/>
    <n v="3"/>
    <n v="2"/>
    <n v="6"/>
    <x v="11"/>
    <n v="1"/>
    <n v="1"/>
    <n v="1"/>
    <n v="1"/>
  </r>
  <r>
    <x v="691"/>
    <x v="2"/>
    <x v="0"/>
    <x v="13"/>
    <d v="2025-10-08T00:00:00"/>
    <x v="30"/>
    <x v="6"/>
    <x v="0"/>
    <x v="0"/>
    <d v="2025-11-03T00:00:00"/>
    <n v="3"/>
    <n v="3"/>
    <n v="4"/>
    <x v="9"/>
    <n v="1"/>
    <n v="1"/>
    <n v="1"/>
    <n v="1"/>
  </r>
  <r>
    <x v="692"/>
    <x v="2"/>
    <x v="2"/>
    <x v="0"/>
    <d v="2025-10-23T00:00:00"/>
    <x v="28"/>
    <x v="24"/>
    <x v="0"/>
    <x v="0"/>
    <d v="2025-11-23T00:00:00"/>
    <n v="2"/>
    <n v="1"/>
    <n v="7"/>
    <x v="1"/>
    <n v="1"/>
    <n v="1"/>
    <n v="1"/>
    <n v="1"/>
  </r>
  <r>
    <x v="693"/>
    <x v="2"/>
    <x v="2"/>
    <x v="7"/>
    <d v="2025-10-05T00:00:00"/>
    <x v="36"/>
    <x v="38"/>
    <x v="0"/>
    <x v="0"/>
    <d v="2025-10-24T00:00:00"/>
    <n v="1"/>
    <n v="2"/>
    <n v="6"/>
    <x v="11"/>
    <n v="1"/>
    <n v="1"/>
    <n v="1"/>
    <n v="1"/>
  </r>
  <r>
    <x v="694"/>
    <x v="3"/>
    <x v="0"/>
    <x v="10"/>
    <d v="2025-10-30T00:00:00"/>
    <x v="4"/>
    <x v="4"/>
    <x v="0"/>
    <x v="0"/>
    <d v="2025-11-21T00:00:00"/>
    <n v="1"/>
    <n v="5"/>
    <n v="3"/>
    <x v="0"/>
    <n v="1"/>
    <n v="1"/>
    <n v="1"/>
    <n v="1"/>
  </r>
  <r>
    <x v="695"/>
    <x v="2"/>
    <x v="2"/>
    <x v="0"/>
    <d v="2025-10-23T00:00:00"/>
    <x v="27"/>
    <x v="9"/>
    <x v="0"/>
    <x v="0"/>
    <d v="2025-11-13T00:00:00"/>
    <n v="2"/>
    <n v="2"/>
    <n v="5"/>
    <x v="0"/>
    <n v="1"/>
    <n v="1"/>
    <n v="1"/>
    <n v="1"/>
  </r>
  <r>
    <x v="696"/>
    <x v="1"/>
    <x v="0"/>
    <x v="0"/>
    <d v="2025-10-25T00:00:00"/>
    <x v="0"/>
    <x v="26"/>
    <x v="0"/>
    <x v="0"/>
    <d v="2025-11-18T00:00:00"/>
    <n v="4"/>
    <n v="4"/>
    <n v="4"/>
    <x v="3"/>
    <n v="1"/>
    <n v="1"/>
    <n v="1"/>
    <n v="1"/>
  </r>
  <r>
    <x v="697"/>
    <x v="3"/>
    <x v="1"/>
    <x v="30"/>
    <m/>
    <x v="2"/>
    <x v="2"/>
    <x v="1"/>
    <x v="5"/>
    <m/>
    <m/>
    <m/>
    <m/>
    <x v="2"/>
    <n v="1"/>
    <n v="0"/>
    <n v="0"/>
    <n v="0"/>
  </r>
  <r>
    <x v="698"/>
    <x v="1"/>
    <x v="1"/>
    <x v="29"/>
    <m/>
    <x v="2"/>
    <x v="2"/>
    <x v="1"/>
    <x v="5"/>
    <m/>
    <m/>
    <m/>
    <m/>
    <x v="2"/>
    <n v="1"/>
    <n v="0"/>
    <n v="0"/>
    <n v="0"/>
  </r>
  <r>
    <x v="699"/>
    <x v="0"/>
    <x v="2"/>
    <x v="19"/>
    <d v="2025-10-31T00:00:00"/>
    <x v="12"/>
    <x v="4"/>
    <x v="0"/>
    <x v="0"/>
    <d v="2025-11-27T00:00:00"/>
    <n v="5"/>
    <n v="1"/>
    <n v="6"/>
    <x v="11"/>
    <n v="1"/>
    <n v="1"/>
    <n v="1"/>
    <n v="1"/>
  </r>
  <r>
    <x v="700"/>
    <x v="0"/>
    <x v="1"/>
    <x v="11"/>
    <m/>
    <x v="2"/>
    <x v="2"/>
    <x v="1"/>
    <x v="4"/>
    <m/>
    <m/>
    <m/>
    <m/>
    <x v="2"/>
    <n v="1"/>
    <n v="0"/>
    <n v="0"/>
    <n v="0"/>
  </r>
  <r>
    <x v="701"/>
    <x v="0"/>
    <x v="2"/>
    <x v="30"/>
    <d v="2025-10-06T00:00:00"/>
    <x v="37"/>
    <x v="25"/>
    <x v="0"/>
    <x v="0"/>
    <d v="2025-11-06T00:00:00"/>
    <n v="4"/>
    <n v="3"/>
    <n v="5"/>
    <x v="3"/>
    <n v="1"/>
    <n v="1"/>
    <n v="1"/>
    <n v="1"/>
  </r>
  <r>
    <x v="702"/>
    <x v="0"/>
    <x v="2"/>
    <x v="23"/>
    <d v="2025-10-24T00:00:00"/>
    <x v="26"/>
    <x v="21"/>
    <x v="1"/>
    <x v="2"/>
    <m/>
    <n v="5"/>
    <n v="2"/>
    <n v="3"/>
    <x v="2"/>
    <n v="1"/>
    <n v="1"/>
    <n v="1"/>
    <n v="0"/>
  </r>
  <r>
    <x v="703"/>
    <x v="1"/>
    <x v="0"/>
    <x v="9"/>
    <d v="2025-10-13T00:00:00"/>
    <x v="11"/>
    <x v="7"/>
    <x v="0"/>
    <x v="0"/>
    <d v="2025-11-22T00:00:00"/>
    <n v="1"/>
    <n v="5"/>
    <n v="7"/>
    <x v="0"/>
    <n v="1"/>
    <n v="1"/>
    <n v="1"/>
    <n v="1"/>
  </r>
  <r>
    <x v="704"/>
    <x v="3"/>
    <x v="0"/>
    <x v="15"/>
    <d v="2025-10-27T00:00:00"/>
    <x v="0"/>
    <x v="34"/>
    <x v="0"/>
    <x v="0"/>
    <d v="2025-11-28T00:00:00"/>
    <n v="3"/>
    <n v="2"/>
    <n v="6"/>
    <x v="3"/>
    <n v="1"/>
    <n v="1"/>
    <n v="1"/>
    <n v="1"/>
  </r>
  <r>
    <x v="705"/>
    <x v="3"/>
    <x v="0"/>
    <x v="13"/>
    <d v="2025-10-08T00:00:00"/>
    <x v="21"/>
    <x v="14"/>
    <x v="0"/>
    <x v="0"/>
    <d v="2025-10-30T00:00:00"/>
    <n v="3"/>
    <n v="5"/>
    <n v="3"/>
    <x v="0"/>
    <n v="1"/>
    <n v="1"/>
    <n v="1"/>
    <n v="1"/>
  </r>
  <r>
    <x v="706"/>
    <x v="2"/>
    <x v="0"/>
    <x v="25"/>
    <d v="2025-10-07T00:00:00"/>
    <x v="30"/>
    <x v="25"/>
    <x v="0"/>
    <x v="0"/>
    <d v="2025-11-03T00:00:00"/>
    <n v="4"/>
    <n v="4"/>
    <n v="3"/>
    <x v="5"/>
    <n v="1"/>
    <n v="1"/>
    <n v="1"/>
    <n v="1"/>
  </r>
  <r>
    <x v="707"/>
    <x v="1"/>
    <x v="2"/>
    <x v="20"/>
    <d v="2025-11-01T00:00:00"/>
    <x v="9"/>
    <x v="11"/>
    <x v="1"/>
    <x v="3"/>
    <m/>
    <n v="2"/>
    <n v="5"/>
    <n v="2"/>
    <x v="2"/>
    <n v="1"/>
    <n v="1"/>
    <n v="1"/>
    <n v="0"/>
  </r>
  <r>
    <x v="708"/>
    <x v="0"/>
    <x v="2"/>
    <x v="29"/>
    <d v="2025-10-15T00:00:00"/>
    <x v="11"/>
    <x v="15"/>
    <x v="0"/>
    <x v="0"/>
    <d v="2025-11-07T00:00:00"/>
    <n v="5"/>
    <n v="3"/>
    <n v="5"/>
    <x v="0"/>
    <n v="1"/>
    <n v="1"/>
    <n v="1"/>
    <n v="1"/>
  </r>
  <r>
    <x v="709"/>
    <x v="1"/>
    <x v="0"/>
    <x v="1"/>
    <d v="2025-10-14T00:00:00"/>
    <x v="11"/>
    <x v="22"/>
    <x v="0"/>
    <x v="0"/>
    <d v="2025-11-01T00:00:00"/>
    <n v="3"/>
    <n v="4"/>
    <n v="2"/>
    <x v="5"/>
    <n v="1"/>
    <n v="1"/>
    <n v="1"/>
    <n v="1"/>
  </r>
  <r>
    <x v="710"/>
    <x v="2"/>
    <x v="0"/>
    <x v="15"/>
    <d v="2025-10-28T00:00:00"/>
    <x v="15"/>
    <x v="26"/>
    <x v="0"/>
    <x v="0"/>
    <d v="2025-11-27T00:00:00"/>
    <n v="4"/>
    <n v="2"/>
    <n v="3"/>
    <x v="1"/>
    <n v="1"/>
    <n v="1"/>
    <n v="1"/>
    <n v="1"/>
  </r>
  <r>
    <x v="711"/>
    <x v="2"/>
    <x v="0"/>
    <x v="4"/>
    <d v="2025-10-16T00:00:00"/>
    <x v="25"/>
    <x v="15"/>
    <x v="0"/>
    <x v="0"/>
    <d v="2025-11-12T00:00:00"/>
    <n v="2"/>
    <n v="1"/>
    <n v="6"/>
    <x v="0"/>
    <n v="1"/>
    <n v="1"/>
    <n v="1"/>
    <n v="1"/>
  </r>
  <r>
    <x v="712"/>
    <x v="1"/>
    <x v="2"/>
    <x v="14"/>
    <d v="2025-10-07T00:00:00"/>
    <x v="14"/>
    <x v="14"/>
    <x v="0"/>
    <x v="0"/>
    <d v="2025-11-15T00:00:00"/>
    <n v="1"/>
    <n v="5"/>
    <n v="4"/>
    <x v="7"/>
    <n v="1"/>
    <n v="1"/>
    <n v="1"/>
    <n v="1"/>
  </r>
  <r>
    <x v="713"/>
    <x v="1"/>
    <x v="0"/>
    <x v="28"/>
    <d v="2025-10-09T00:00:00"/>
    <x v="14"/>
    <x v="19"/>
    <x v="0"/>
    <x v="0"/>
    <d v="2025-11-03T00:00:00"/>
    <n v="2"/>
    <n v="3"/>
    <n v="7"/>
    <x v="1"/>
    <n v="1"/>
    <n v="1"/>
    <n v="1"/>
    <n v="1"/>
  </r>
  <r>
    <x v="714"/>
    <x v="1"/>
    <x v="2"/>
    <x v="13"/>
    <d v="2025-10-06T00:00:00"/>
    <x v="36"/>
    <x v="25"/>
    <x v="0"/>
    <x v="0"/>
    <d v="2025-11-03T00:00:00"/>
    <n v="1"/>
    <n v="1"/>
    <n v="7"/>
    <x v="11"/>
    <n v="1"/>
    <n v="1"/>
    <n v="1"/>
    <n v="1"/>
  </r>
  <r>
    <x v="715"/>
    <x v="3"/>
    <x v="2"/>
    <x v="19"/>
    <d v="2025-10-30T00:00:00"/>
    <x v="31"/>
    <x v="26"/>
    <x v="0"/>
    <x v="0"/>
    <d v="2025-12-02T00:00:00"/>
    <n v="4"/>
    <n v="1"/>
    <n v="2"/>
    <x v="11"/>
    <n v="1"/>
    <n v="1"/>
    <n v="1"/>
    <n v="1"/>
  </r>
  <r>
    <x v="716"/>
    <x v="0"/>
    <x v="0"/>
    <x v="21"/>
    <d v="2025-10-20T00:00:00"/>
    <x v="28"/>
    <x v="5"/>
    <x v="0"/>
    <x v="0"/>
    <d v="2025-11-08T00:00:00"/>
    <n v="2"/>
    <n v="4"/>
    <n v="4"/>
    <x v="3"/>
    <n v="1"/>
    <n v="1"/>
    <n v="1"/>
    <n v="1"/>
  </r>
  <r>
    <x v="717"/>
    <x v="1"/>
    <x v="2"/>
    <x v="10"/>
    <d v="2025-11-02T00:00:00"/>
    <x v="4"/>
    <x v="13"/>
    <x v="0"/>
    <x v="0"/>
    <d v="2025-11-16T00:00:00"/>
    <n v="4"/>
    <n v="2"/>
    <n v="2"/>
    <x v="11"/>
    <n v="1"/>
    <n v="1"/>
    <n v="1"/>
    <n v="1"/>
  </r>
  <r>
    <x v="718"/>
    <x v="1"/>
    <x v="2"/>
    <x v="9"/>
    <d v="2025-10-13T00:00:00"/>
    <x v="23"/>
    <x v="12"/>
    <x v="0"/>
    <x v="0"/>
    <d v="2025-11-14T00:00:00"/>
    <n v="1"/>
    <n v="1"/>
    <n v="7"/>
    <x v="0"/>
    <n v="1"/>
    <n v="1"/>
    <n v="1"/>
    <n v="1"/>
  </r>
  <r>
    <x v="719"/>
    <x v="1"/>
    <x v="0"/>
    <x v="16"/>
    <d v="2025-10-20T00:00:00"/>
    <x v="16"/>
    <x v="5"/>
    <x v="0"/>
    <x v="0"/>
    <d v="2025-11-15T00:00:00"/>
    <n v="3"/>
    <n v="3"/>
    <n v="5"/>
    <x v="11"/>
    <n v="1"/>
    <n v="1"/>
    <n v="1"/>
    <n v="1"/>
  </r>
  <r>
    <x v="720"/>
    <x v="2"/>
    <x v="0"/>
    <x v="16"/>
    <d v="2025-10-20T00:00:00"/>
    <x v="27"/>
    <x v="17"/>
    <x v="0"/>
    <x v="0"/>
    <d v="2025-11-17T00:00:00"/>
    <n v="3"/>
    <n v="5"/>
    <n v="7"/>
    <x v="8"/>
    <n v="1"/>
    <n v="1"/>
    <n v="1"/>
    <n v="1"/>
  </r>
  <r>
    <x v="721"/>
    <x v="2"/>
    <x v="0"/>
    <x v="20"/>
    <d v="2025-10-31T00:00:00"/>
    <x v="7"/>
    <x v="39"/>
    <x v="0"/>
    <x v="0"/>
    <d v="2025-11-27T00:00:00"/>
    <n v="1"/>
    <n v="5"/>
    <n v="7"/>
    <x v="5"/>
    <n v="1"/>
    <n v="1"/>
    <n v="1"/>
    <n v="1"/>
  </r>
  <r>
    <x v="722"/>
    <x v="3"/>
    <x v="2"/>
    <x v="17"/>
    <d v="2025-10-14T00:00:00"/>
    <x v="1"/>
    <x v="15"/>
    <x v="0"/>
    <x v="0"/>
    <d v="2025-11-20T00:00:00"/>
    <n v="5"/>
    <n v="5"/>
    <n v="4"/>
    <x v="9"/>
    <n v="1"/>
    <n v="1"/>
    <n v="1"/>
    <n v="1"/>
  </r>
  <r>
    <x v="723"/>
    <x v="0"/>
    <x v="2"/>
    <x v="5"/>
    <d v="2025-11-01T00:00:00"/>
    <x v="7"/>
    <x v="4"/>
    <x v="0"/>
    <x v="0"/>
    <d v="2025-11-22T00:00:00"/>
    <n v="5"/>
    <n v="4"/>
    <n v="2"/>
    <x v="8"/>
    <n v="1"/>
    <n v="1"/>
    <n v="1"/>
    <n v="1"/>
  </r>
  <r>
    <x v="724"/>
    <x v="3"/>
    <x v="2"/>
    <x v="14"/>
    <d v="2025-10-09T00:00:00"/>
    <x v="14"/>
    <x v="6"/>
    <x v="0"/>
    <x v="0"/>
    <d v="2025-11-09T00:00:00"/>
    <n v="3"/>
    <n v="3"/>
    <n v="3"/>
    <x v="4"/>
    <n v="1"/>
    <n v="1"/>
    <n v="1"/>
    <n v="1"/>
  </r>
  <r>
    <x v="725"/>
    <x v="0"/>
    <x v="2"/>
    <x v="17"/>
    <d v="2025-10-12T00:00:00"/>
    <x v="21"/>
    <x v="19"/>
    <x v="0"/>
    <x v="0"/>
    <d v="2025-10-31T00:00:00"/>
    <n v="3"/>
    <n v="1"/>
    <n v="6"/>
    <x v="1"/>
    <n v="1"/>
    <n v="1"/>
    <n v="1"/>
    <n v="1"/>
  </r>
  <r>
    <x v="726"/>
    <x v="2"/>
    <x v="0"/>
    <x v="20"/>
    <d v="2025-11-01T00:00:00"/>
    <x v="4"/>
    <x v="4"/>
    <x v="0"/>
    <x v="0"/>
    <d v="2025-11-21T00:00:00"/>
    <n v="2"/>
    <n v="3"/>
    <n v="3"/>
    <x v="4"/>
    <n v="1"/>
    <n v="1"/>
    <n v="1"/>
    <n v="1"/>
  </r>
  <r>
    <x v="727"/>
    <x v="2"/>
    <x v="1"/>
    <x v="5"/>
    <m/>
    <x v="2"/>
    <x v="2"/>
    <x v="1"/>
    <x v="3"/>
    <m/>
    <m/>
    <m/>
    <m/>
    <x v="2"/>
    <n v="1"/>
    <n v="0"/>
    <n v="0"/>
    <n v="0"/>
  </r>
  <r>
    <x v="728"/>
    <x v="2"/>
    <x v="0"/>
    <x v="8"/>
    <d v="2025-11-02T00:00:00"/>
    <x v="9"/>
    <x v="36"/>
    <x v="0"/>
    <x v="0"/>
    <d v="2025-12-10T00:00:00"/>
    <n v="2"/>
    <n v="4"/>
    <n v="5"/>
    <x v="9"/>
    <n v="1"/>
    <n v="1"/>
    <n v="1"/>
    <n v="1"/>
  </r>
  <r>
    <x v="729"/>
    <x v="3"/>
    <x v="0"/>
    <x v="6"/>
    <d v="2025-10-19T00:00:00"/>
    <x v="16"/>
    <x v="5"/>
    <x v="0"/>
    <x v="0"/>
    <d v="2025-11-20T00:00:00"/>
    <n v="3"/>
    <n v="4"/>
    <n v="5"/>
    <x v="3"/>
    <n v="1"/>
    <n v="1"/>
    <n v="1"/>
    <n v="1"/>
  </r>
  <r>
    <x v="730"/>
    <x v="1"/>
    <x v="0"/>
    <x v="8"/>
    <d v="2025-11-05T00:00:00"/>
    <x v="38"/>
    <x v="23"/>
    <x v="0"/>
    <x v="0"/>
    <d v="2025-12-09T00:00:00"/>
    <n v="5"/>
    <n v="2"/>
    <n v="2"/>
    <x v="10"/>
    <n v="1"/>
    <n v="1"/>
    <n v="1"/>
    <n v="1"/>
  </r>
  <r>
    <x v="731"/>
    <x v="1"/>
    <x v="0"/>
    <x v="19"/>
    <d v="2025-10-28T00:00:00"/>
    <x v="31"/>
    <x v="0"/>
    <x v="0"/>
    <x v="0"/>
    <d v="2025-11-26T00:00:00"/>
    <n v="2"/>
    <n v="3"/>
    <n v="3"/>
    <x v="1"/>
    <n v="1"/>
    <n v="1"/>
    <n v="1"/>
    <n v="1"/>
  </r>
  <r>
    <x v="732"/>
    <x v="2"/>
    <x v="0"/>
    <x v="29"/>
    <d v="2025-10-11T00:00:00"/>
    <x v="20"/>
    <x v="15"/>
    <x v="0"/>
    <x v="0"/>
    <d v="2025-11-14T00:00:00"/>
    <n v="1"/>
    <n v="5"/>
    <n v="7"/>
    <x v="5"/>
    <n v="1"/>
    <n v="1"/>
    <n v="1"/>
    <n v="1"/>
  </r>
  <r>
    <x v="733"/>
    <x v="1"/>
    <x v="0"/>
    <x v="15"/>
    <d v="2025-10-26T00:00:00"/>
    <x v="15"/>
    <x v="0"/>
    <x v="0"/>
    <x v="0"/>
    <d v="2025-11-26T00:00:00"/>
    <n v="2"/>
    <n v="4"/>
    <n v="4"/>
    <x v="8"/>
    <n v="1"/>
    <n v="1"/>
    <n v="1"/>
    <n v="1"/>
  </r>
  <r>
    <x v="734"/>
    <x v="1"/>
    <x v="0"/>
    <x v="3"/>
    <d v="2025-10-30T00:00:00"/>
    <x v="22"/>
    <x v="18"/>
    <x v="0"/>
    <x v="0"/>
    <d v="2025-11-30T00:00:00"/>
    <n v="2"/>
    <n v="4"/>
    <n v="2"/>
    <x v="8"/>
    <n v="1"/>
    <n v="1"/>
    <n v="1"/>
    <n v="1"/>
  </r>
  <r>
    <x v="735"/>
    <x v="3"/>
    <x v="2"/>
    <x v="1"/>
    <d v="2025-10-13T00:00:00"/>
    <x v="17"/>
    <x v="16"/>
    <x v="0"/>
    <x v="0"/>
    <d v="2025-11-08T00:00:00"/>
    <n v="2"/>
    <n v="2"/>
    <n v="2"/>
    <x v="3"/>
    <n v="1"/>
    <n v="1"/>
    <n v="1"/>
    <n v="1"/>
  </r>
  <r>
    <x v="736"/>
    <x v="0"/>
    <x v="0"/>
    <x v="19"/>
    <d v="2025-10-30T00:00:00"/>
    <x v="4"/>
    <x v="4"/>
    <x v="0"/>
    <x v="0"/>
    <d v="2025-11-17T00:00:00"/>
    <n v="4"/>
    <n v="5"/>
    <n v="3"/>
    <x v="6"/>
    <n v="1"/>
    <n v="1"/>
    <n v="1"/>
    <n v="1"/>
  </r>
  <r>
    <x v="737"/>
    <x v="2"/>
    <x v="1"/>
    <x v="7"/>
    <m/>
    <x v="2"/>
    <x v="2"/>
    <x v="1"/>
    <x v="2"/>
    <m/>
    <m/>
    <m/>
    <m/>
    <x v="2"/>
    <n v="1"/>
    <n v="0"/>
    <n v="0"/>
    <n v="0"/>
  </r>
  <r>
    <x v="738"/>
    <x v="2"/>
    <x v="2"/>
    <x v="11"/>
    <d v="2025-10-16T00:00:00"/>
    <x v="6"/>
    <x v="1"/>
    <x v="0"/>
    <x v="0"/>
    <d v="2025-11-06T00:00:00"/>
    <n v="1"/>
    <n v="4"/>
    <n v="6"/>
    <x v="11"/>
    <n v="1"/>
    <n v="1"/>
    <n v="1"/>
    <n v="1"/>
  </r>
  <r>
    <x v="739"/>
    <x v="3"/>
    <x v="2"/>
    <x v="8"/>
    <d v="2025-11-03T00:00:00"/>
    <x v="4"/>
    <x v="23"/>
    <x v="0"/>
    <x v="0"/>
    <d v="2025-12-06T00:00:00"/>
    <n v="3"/>
    <n v="1"/>
    <n v="5"/>
    <x v="11"/>
    <n v="1"/>
    <n v="1"/>
    <n v="1"/>
    <n v="1"/>
  </r>
  <r>
    <x v="740"/>
    <x v="3"/>
    <x v="0"/>
    <x v="25"/>
    <d v="2025-10-08T00:00:00"/>
    <x v="21"/>
    <x v="22"/>
    <x v="0"/>
    <x v="0"/>
    <d v="2025-11-05T00:00:00"/>
    <n v="5"/>
    <n v="5"/>
    <n v="7"/>
    <x v="10"/>
    <n v="1"/>
    <n v="1"/>
    <n v="1"/>
    <n v="1"/>
  </r>
  <r>
    <x v="741"/>
    <x v="1"/>
    <x v="0"/>
    <x v="13"/>
    <d v="2025-10-10T00:00:00"/>
    <x v="21"/>
    <x v="16"/>
    <x v="0"/>
    <x v="0"/>
    <d v="2025-11-07T00:00:00"/>
    <n v="5"/>
    <n v="3"/>
    <n v="4"/>
    <x v="0"/>
    <n v="1"/>
    <n v="1"/>
    <n v="1"/>
    <n v="1"/>
  </r>
  <r>
    <x v="742"/>
    <x v="2"/>
    <x v="0"/>
    <x v="22"/>
    <d v="2025-10-28T00:00:00"/>
    <x v="15"/>
    <x v="34"/>
    <x v="0"/>
    <x v="0"/>
    <d v="2025-11-14T00:00:00"/>
    <n v="3"/>
    <n v="2"/>
    <n v="5"/>
    <x v="0"/>
    <n v="1"/>
    <n v="1"/>
    <n v="1"/>
    <n v="1"/>
  </r>
  <r>
    <x v="743"/>
    <x v="0"/>
    <x v="0"/>
    <x v="8"/>
    <d v="2025-11-04T00:00:00"/>
    <x v="7"/>
    <x v="39"/>
    <x v="0"/>
    <x v="0"/>
    <d v="2025-12-02T00:00:00"/>
    <n v="4"/>
    <n v="1"/>
    <n v="7"/>
    <x v="10"/>
    <n v="1"/>
    <n v="1"/>
    <n v="1"/>
    <n v="1"/>
  </r>
  <r>
    <x v="744"/>
    <x v="3"/>
    <x v="2"/>
    <x v="24"/>
    <d v="2025-10-13T00:00:00"/>
    <x v="23"/>
    <x v="14"/>
    <x v="0"/>
    <x v="0"/>
    <d v="2025-11-11T00:00:00"/>
    <n v="5"/>
    <n v="1"/>
    <n v="2"/>
    <x v="7"/>
    <n v="1"/>
    <n v="1"/>
    <n v="1"/>
    <n v="1"/>
  </r>
  <r>
    <x v="745"/>
    <x v="0"/>
    <x v="0"/>
    <x v="3"/>
    <d v="2025-10-30T00:00:00"/>
    <x v="10"/>
    <x v="11"/>
    <x v="0"/>
    <x v="0"/>
    <d v="2025-11-24T00:00:00"/>
    <n v="2"/>
    <n v="3"/>
    <n v="6"/>
    <x v="3"/>
    <n v="1"/>
    <n v="1"/>
    <n v="1"/>
    <n v="1"/>
  </r>
  <r>
    <x v="746"/>
    <x v="0"/>
    <x v="0"/>
    <x v="26"/>
    <d v="2025-10-27T00:00:00"/>
    <x v="0"/>
    <x v="24"/>
    <x v="1"/>
    <x v="5"/>
    <m/>
    <n v="5"/>
    <n v="2"/>
    <n v="2"/>
    <x v="2"/>
    <n v="1"/>
    <n v="1"/>
    <n v="1"/>
    <n v="0"/>
  </r>
  <r>
    <x v="747"/>
    <x v="2"/>
    <x v="1"/>
    <x v="15"/>
    <m/>
    <x v="2"/>
    <x v="2"/>
    <x v="1"/>
    <x v="4"/>
    <m/>
    <m/>
    <m/>
    <m/>
    <x v="2"/>
    <n v="1"/>
    <n v="0"/>
    <n v="0"/>
    <n v="0"/>
  </r>
  <r>
    <x v="748"/>
    <x v="2"/>
    <x v="0"/>
    <x v="26"/>
    <d v="2025-10-23T00:00:00"/>
    <x v="18"/>
    <x v="26"/>
    <x v="0"/>
    <x v="0"/>
    <d v="2025-11-12T00:00:00"/>
    <n v="1"/>
    <n v="4"/>
    <n v="6"/>
    <x v="11"/>
    <n v="1"/>
    <n v="1"/>
    <n v="1"/>
    <n v="1"/>
  </r>
  <r>
    <x v="749"/>
    <x v="3"/>
    <x v="2"/>
    <x v="27"/>
    <d v="2025-10-14T00:00:00"/>
    <x v="20"/>
    <x v="19"/>
    <x v="0"/>
    <x v="0"/>
    <d v="2025-10-29T00:00:00"/>
    <n v="1"/>
    <n v="2"/>
    <n v="3"/>
    <x v="6"/>
    <n v="1"/>
    <n v="1"/>
    <n v="1"/>
    <n v="1"/>
  </r>
  <r>
    <x v="750"/>
    <x v="2"/>
    <x v="2"/>
    <x v="8"/>
    <d v="2025-11-03T00:00:00"/>
    <x v="38"/>
    <x v="33"/>
    <x v="0"/>
    <x v="0"/>
    <d v="2025-12-14T00:00:00"/>
    <n v="3"/>
    <n v="4"/>
    <n v="7"/>
    <x v="11"/>
    <n v="1"/>
    <n v="1"/>
    <n v="1"/>
    <n v="1"/>
  </r>
  <r>
    <x v="751"/>
    <x v="2"/>
    <x v="2"/>
    <x v="3"/>
    <d v="2025-11-01T00:00:00"/>
    <x v="4"/>
    <x v="23"/>
    <x v="0"/>
    <x v="0"/>
    <d v="2025-11-26T00:00:00"/>
    <n v="4"/>
    <n v="3"/>
    <n v="5"/>
    <x v="8"/>
    <n v="1"/>
    <n v="1"/>
    <n v="1"/>
    <n v="1"/>
  </r>
  <r>
    <x v="752"/>
    <x v="2"/>
    <x v="0"/>
    <x v="19"/>
    <d v="2025-10-30T00:00:00"/>
    <x v="10"/>
    <x v="34"/>
    <x v="0"/>
    <x v="0"/>
    <d v="2025-11-21T00:00:00"/>
    <n v="4"/>
    <n v="3"/>
    <n v="2"/>
    <x v="8"/>
    <n v="1"/>
    <n v="1"/>
    <n v="1"/>
    <n v="1"/>
  </r>
  <r>
    <x v="753"/>
    <x v="0"/>
    <x v="2"/>
    <x v="21"/>
    <d v="2025-10-23T00:00:00"/>
    <x v="28"/>
    <x v="9"/>
    <x v="0"/>
    <x v="0"/>
    <d v="2025-11-20T00:00:00"/>
    <n v="5"/>
    <n v="1"/>
    <n v="6"/>
    <x v="3"/>
    <n v="1"/>
    <n v="1"/>
    <n v="1"/>
    <n v="1"/>
  </r>
  <r>
    <x v="754"/>
    <x v="3"/>
    <x v="0"/>
    <x v="9"/>
    <d v="2025-10-16T00:00:00"/>
    <x v="25"/>
    <x v="15"/>
    <x v="0"/>
    <x v="0"/>
    <d v="2025-11-11T00:00:00"/>
    <n v="4"/>
    <n v="1"/>
    <n v="6"/>
    <x v="5"/>
    <n v="1"/>
    <n v="1"/>
    <n v="1"/>
    <n v="1"/>
  </r>
  <r>
    <x v="755"/>
    <x v="1"/>
    <x v="0"/>
    <x v="25"/>
    <d v="2025-10-07T00:00:00"/>
    <x v="5"/>
    <x v="30"/>
    <x v="0"/>
    <x v="0"/>
    <d v="2025-10-24T00:00:00"/>
    <n v="4"/>
    <n v="1"/>
    <n v="2"/>
    <x v="7"/>
    <n v="1"/>
    <n v="1"/>
    <n v="1"/>
    <n v="1"/>
  </r>
  <r>
    <x v="756"/>
    <x v="0"/>
    <x v="2"/>
    <x v="19"/>
    <d v="2025-10-31T00:00:00"/>
    <x v="22"/>
    <x v="11"/>
    <x v="0"/>
    <x v="0"/>
    <d v="2025-11-21T00:00:00"/>
    <n v="5"/>
    <n v="3"/>
    <n v="5"/>
    <x v="11"/>
    <n v="1"/>
    <n v="1"/>
    <n v="1"/>
    <n v="1"/>
  </r>
  <r>
    <x v="757"/>
    <x v="2"/>
    <x v="2"/>
    <x v="27"/>
    <d v="2025-10-14T00:00:00"/>
    <x v="11"/>
    <x v="7"/>
    <x v="0"/>
    <x v="0"/>
    <d v="2025-11-16T00:00:00"/>
    <n v="1"/>
    <n v="4"/>
    <n v="7"/>
    <x v="5"/>
    <n v="1"/>
    <n v="1"/>
    <n v="1"/>
    <n v="1"/>
  </r>
  <r>
    <x v="758"/>
    <x v="0"/>
    <x v="2"/>
    <x v="2"/>
    <d v="2025-10-03T00:00:00"/>
    <x v="29"/>
    <x v="35"/>
    <x v="0"/>
    <x v="0"/>
    <d v="2025-11-04T00:00:00"/>
    <n v="2"/>
    <n v="3"/>
    <n v="3"/>
    <x v="5"/>
    <n v="1"/>
    <n v="1"/>
    <n v="1"/>
    <n v="1"/>
  </r>
  <r>
    <x v="759"/>
    <x v="2"/>
    <x v="1"/>
    <x v="17"/>
    <m/>
    <x v="2"/>
    <x v="2"/>
    <x v="1"/>
    <x v="4"/>
    <m/>
    <m/>
    <m/>
    <m/>
    <x v="2"/>
    <n v="1"/>
    <n v="0"/>
    <n v="0"/>
    <n v="0"/>
  </r>
  <r>
    <x v="760"/>
    <x v="2"/>
    <x v="2"/>
    <x v="21"/>
    <d v="2025-10-21T00:00:00"/>
    <x v="28"/>
    <x v="32"/>
    <x v="0"/>
    <x v="0"/>
    <d v="2025-11-24T00:00:00"/>
    <n v="3"/>
    <n v="3"/>
    <n v="3"/>
    <x v="0"/>
    <n v="1"/>
    <n v="1"/>
    <n v="1"/>
    <n v="1"/>
  </r>
  <r>
    <x v="761"/>
    <x v="0"/>
    <x v="0"/>
    <x v="7"/>
    <d v="2025-10-05T00:00:00"/>
    <x v="29"/>
    <x v="30"/>
    <x v="0"/>
    <x v="0"/>
    <d v="2025-10-29T00:00:00"/>
    <n v="1"/>
    <n v="1"/>
    <n v="4"/>
    <x v="1"/>
    <n v="1"/>
    <n v="1"/>
    <n v="1"/>
    <n v="1"/>
  </r>
  <r>
    <x v="762"/>
    <x v="3"/>
    <x v="1"/>
    <x v="11"/>
    <m/>
    <x v="2"/>
    <x v="2"/>
    <x v="1"/>
    <x v="3"/>
    <m/>
    <m/>
    <m/>
    <m/>
    <x v="2"/>
    <n v="1"/>
    <n v="0"/>
    <n v="0"/>
    <n v="0"/>
  </r>
  <r>
    <x v="763"/>
    <x v="2"/>
    <x v="0"/>
    <x v="9"/>
    <d v="2025-10-16T00:00:00"/>
    <x v="11"/>
    <x v="31"/>
    <x v="1"/>
    <x v="4"/>
    <m/>
    <n v="4"/>
    <n v="2"/>
    <n v="4"/>
    <x v="2"/>
    <n v="1"/>
    <n v="1"/>
    <n v="1"/>
    <n v="0"/>
  </r>
  <r>
    <x v="764"/>
    <x v="3"/>
    <x v="1"/>
    <x v="26"/>
    <m/>
    <x v="2"/>
    <x v="2"/>
    <x v="1"/>
    <x v="2"/>
    <m/>
    <m/>
    <m/>
    <m/>
    <x v="2"/>
    <n v="1"/>
    <n v="0"/>
    <n v="0"/>
    <n v="0"/>
  </r>
  <r>
    <x v="765"/>
    <x v="1"/>
    <x v="0"/>
    <x v="15"/>
    <d v="2025-10-28T00:00:00"/>
    <x v="0"/>
    <x v="26"/>
    <x v="0"/>
    <x v="0"/>
    <d v="2025-11-17T00:00:00"/>
    <n v="4"/>
    <n v="1"/>
    <n v="4"/>
    <x v="10"/>
    <n v="1"/>
    <n v="1"/>
    <n v="1"/>
    <n v="1"/>
  </r>
  <r>
    <x v="766"/>
    <x v="2"/>
    <x v="1"/>
    <x v="26"/>
    <m/>
    <x v="2"/>
    <x v="2"/>
    <x v="1"/>
    <x v="5"/>
    <m/>
    <m/>
    <m/>
    <m/>
    <x v="2"/>
    <n v="1"/>
    <n v="0"/>
    <n v="0"/>
    <n v="0"/>
  </r>
  <r>
    <x v="767"/>
    <x v="3"/>
    <x v="2"/>
    <x v="17"/>
    <d v="2025-10-14T00:00:00"/>
    <x v="20"/>
    <x v="12"/>
    <x v="0"/>
    <x v="0"/>
    <d v="2025-11-02T00:00:00"/>
    <n v="5"/>
    <n v="2"/>
    <n v="5"/>
    <x v="6"/>
    <n v="1"/>
    <n v="1"/>
    <n v="1"/>
    <n v="1"/>
  </r>
  <r>
    <x v="768"/>
    <x v="3"/>
    <x v="2"/>
    <x v="23"/>
    <d v="2025-10-22T00:00:00"/>
    <x v="26"/>
    <x v="26"/>
    <x v="0"/>
    <x v="0"/>
    <d v="2025-11-13T00:00:00"/>
    <n v="3"/>
    <n v="4"/>
    <n v="7"/>
    <x v="8"/>
    <n v="1"/>
    <n v="1"/>
    <n v="1"/>
    <n v="1"/>
  </r>
  <r>
    <x v="769"/>
    <x v="1"/>
    <x v="0"/>
    <x v="27"/>
    <d v="2025-10-15T00:00:00"/>
    <x v="1"/>
    <x v="1"/>
    <x v="0"/>
    <x v="0"/>
    <d v="2025-11-14T00:00:00"/>
    <n v="2"/>
    <n v="4"/>
    <n v="7"/>
    <x v="6"/>
    <n v="1"/>
    <n v="1"/>
    <n v="1"/>
    <n v="1"/>
  </r>
  <r>
    <x v="770"/>
    <x v="3"/>
    <x v="1"/>
    <x v="5"/>
    <m/>
    <x v="2"/>
    <x v="2"/>
    <x v="1"/>
    <x v="2"/>
    <m/>
    <m/>
    <m/>
    <m/>
    <x v="2"/>
    <n v="1"/>
    <n v="0"/>
    <n v="0"/>
    <n v="0"/>
  </r>
  <r>
    <x v="771"/>
    <x v="3"/>
    <x v="1"/>
    <x v="0"/>
    <m/>
    <x v="2"/>
    <x v="2"/>
    <x v="1"/>
    <x v="1"/>
    <m/>
    <m/>
    <m/>
    <m/>
    <x v="2"/>
    <n v="1"/>
    <n v="0"/>
    <n v="0"/>
    <n v="0"/>
  </r>
  <r>
    <x v="772"/>
    <x v="1"/>
    <x v="2"/>
    <x v="8"/>
    <d v="2025-11-05T00:00:00"/>
    <x v="39"/>
    <x v="33"/>
    <x v="0"/>
    <x v="0"/>
    <d v="2025-12-03T00:00:00"/>
    <n v="5"/>
    <n v="5"/>
    <n v="4"/>
    <x v="8"/>
    <n v="1"/>
    <n v="1"/>
    <n v="1"/>
    <n v="1"/>
  </r>
  <r>
    <x v="773"/>
    <x v="2"/>
    <x v="2"/>
    <x v="9"/>
    <d v="2025-10-17T00:00:00"/>
    <x v="24"/>
    <x v="1"/>
    <x v="0"/>
    <x v="0"/>
    <d v="2025-11-19T00:00:00"/>
    <n v="5"/>
    <n v="5"/>
    <n v="4"/>
    <x v="10"/>
    <n v="1"/>
    <n v="1"/>
    <n v="1"/>
    <n v="1"/>
  </r>
  <r>
    <x v="774"/>
    <x v="3"/>
    <x v="1"/>
    <x v="7"/>
    <m/>
    <x v="2"/>
    <x v="2"/>
    <x v="1"/>
    <x v="3"/>
    <m/>
    <m/>
    <m/>
    <m/>
    <x v="2"/>
    <n v="1"/>
    <n v="0"/>
    <n v="0"/>
    <n v="0"/>
  </r>
  <r>
    <x v="775"/>
    <x v="3"/>
    <x v="2"/>
    <x v="26"/>
    <d v="2025-10-24T00:00:00"/>
    <x v="0"/>
    <x v="0"/>
    <x v="0"/>
    <x v="0"/>
    <d v="2025-11-29T00:00:00"/>
    <n v="2"/>
    <n v="5"/>
    <n v="5"/>
    <x v="4"/>
    <n v="1"/>
    <n v="1"/>
    <n v="1"/>
    <n v="1"/>
  </r>
  <r>
    <x v="776"/>
    <x v="3"/>
    <x v="0"/>
    <x v="24"/>
    <d v="2025-10-10T00:00:00"/>
    <x v="23"/>
    <x v="27"/>
    <x v="0"/>
    <x v="0"/>
    <d v="2025-11-16T00:00:00"/>
    <n v="2"/>
    <n v="4"/>
    <n v="4"/>
    <x v="10"/>
    <n v="1"/>
    <n v="1"/>
    <n v="1"/>
    <n v="1"/>
  </r>
  <r>
    <x v="777"/>
    <x v="0"/>
    <x v="1"/>
    <x v="6"/>
    <m/>
    <x v="2"/>
    <x v="2"/>
    <x v="1"/>
    <x v="4"/>
    <m/>
    <m/>
    <m/>
    <m/>
    <x v="2"/>
    <n v="1"/>
    <n v="0"/>
    <n v="0"/>
    <n v="0"/>
  </r>
  <r>
    <x v="778"/>
    <x v="1"/>
    <x v="0"/>
    <x v="2"/>
    <d v="2025-10-05T00:00:00"/>
    <x v="29"/>
    <x v="35"/>
    <x v="0"/>
    <x v="0"/>
    <d v="2025-11-04T00:00:00"/>
    <n v="4"/>
    <n v="1"/>
    <n v="3"/>
    <x v="9"/>
    <n v="1"/>
    <n v="1"/>
    <n v="1"/>
    <n v="1"/>
  </r>
  <r>
    <x v="779"/>
    <x v="0"/>
    <x v="0"/>
    <x v="18"/>
    <d v="2025-10-25T00:00:00"/>
    <x v="26"/>
    <x v="5"/>
    <x v="0"/>
    <x v="0"/>
    <d v="2025-11-17T00:00:00"/>
    <n v="5"/>
    <n v="1"/>
    <n v="2"/>
    <x v="0"/>
    <n v="1"/>
    <n v="1"/>
    <n v="1"/>
    <n v="1"/>
  </r>
  <r>
    <x v="780"/>
    <x v="1"/>
    <x v="0"/>
    <x v="10"/>
    <d v="2025-10-30T00:00:00"/>
    <x v="31"/>
    <x v="0"/>
    <x v="0"/>
    <x v="0"/>
    <d v="2025-11-26T00:00:00"/>
    <n v="1"/>
    <n v="1"/>
    <n v="3"/>
    <x v="0"/>
    <n v="1"/>
    <n v="1"/>
    <n v="1"/>
    <n v="1"/>
  </r>
  <r>
    <x v="781"/>
    <x v="2"/>
    <x v="2"/>
    <x v="8"/>
    <d v="2025-11-01T00:00:00"/>
    <x v="4"/>
    <x v="4"/>
    <x v="0"/>
    <x v="0"/>
    <d v="2025-11-21T00:00:00"/>
    <n v="1"/>
    <n v="3"/>
    <n v="3"/>
    <x v="8"/>
    <n v="1"/>
    <n v="1"/>
    <n v="1"/>
    <n v="1"/>
  </r>
  <r>
    <x v="782"/>
    <x v="2"/>
    <x v="1"/>
    <x v="21"/>
    <m/>
    <x v="2"/>
    <x v="2"/>
    <x v="1"/>
    <x v="1"/>
    <m/>
    <m/>
    <m/>
    <m/>
    <x v="2"/>
    <n v="1"/>
    <n v="0"/>
    <n v="0"/>
    <n v="0"/>
  </r>
  <r>
    <x v="783"/>
    <x v="3"/>
    <x v="0"/>
    <x v="1"/>
    <d v="2025-10-16T00:00:00"/>
    <x v="3"/>
    <x v="32"/>
    <x v="0"/>
    <x v="0"/>
    <d v="2025-11-16T00:00:00"/>
    <n v="5"/>
    <n v="5"/>
    <n v="6"/>
    <x v="3"/>
    <n v="1"/>
    <n v="1"/>
    <n v="1"/>
    <n v="1"/>
  </r>
  <r>
    <x v="784"/>
    <x v="1"/>
    <x v="1"/>
    <x v="20"/>
    <m/>
    <x v="2"/>
    <x v="2"/>
    <x v="1"/>
    <x v="4"/>
    <m/>
    <m/>
    <m/>
    <m/>
    <x v="2"/>
    <n v="1"/>
    <n v="0"/>
    <n v="0"/>
    <n v="0"/>
  </r>
  <r>
    <x v="785"/>
    <x v="2"/>
    <x v="2"/>
    <x v="18"/>
    <d v="2025-10-22T00:00:00"/>
    <x v="16"/>
    <x v="7"/>
    <x v="0"/>
    <x v="0"/>
    <d v="2025-11-19T00:00:00"/>
    <n v="2"/>
    <n v="1"/>
    <n v="2"/>
    <x v="11"/>
    <n v="1"/>
    <n v="1"/>
    <n v="1"/>
    <n v="1"/>
  </r>
  <r>
    <x v="786"/>
    <x v="1"/>
    <x v="1"/>
    <x v="24"/>
    <m/>
    <x v="2"/>
    <x v="2"/>
    <x v="1"/>
    <x v="5"/>
    <m/>
    <m/>
    <m/>
    <m/>
    <x v="2"/>
    <n v="1"/>
    <n v="0"/>
    <n v="0"/>
    <n v="0"/>
  </r>
  <r>
    <x v="787"/>
    <x v="2"/>
    <x v="0"/>
    <x v="0"/>
    <d v="2025-10-24T00:00:00"/>
    <x v="0"/>
    <x v="17"/>
    <x v="0"/>
    <x v="0"/>
    <d v="2025-11-22T00:00:00"/>
    <n v="3"/>
    <n v="5"/>
    <n v="3"/>
    <x v="9"/>
    <n v="1"/>
    <n v="1"/>
    <n v="1"/>
    <n v="1"/>
  </r>
  <r>
    <x v="788"/>
    <x v="0"/>
    <x v="2"/>
    <x v="25"/>
    <d v="2025-10-05T00:00:00"/>
    <x v="13"/>
    <x v="28"/>
    <x v="0"/>
    <x v="0"/>
    <d v="2025-10-28T00:00:00"/>
    <n v="2"/>
    <n v="5"/>
    <n v="2"/>
    <x v="9"/>
    <n v="1"/>
    <n v="1"/>
    <n v="1"/>
    <n v="1"/>
  </r>
  <r>
    <x v="789"/>
    <x v="2"/>
    <x v="2"/>
    <x v="0"/>
    <d v="2025-10-23T00:00:00"/>
    <x v="26"/>
    <x v="21"/>
    <x v="0"/>
    <x v="0"/>
    <d v="2025-11-13T00:00:00"/>
    <n v="2"/>
    <n v="3"/>
    <n v="3"/>
    <x v="9"/>
    <n v="1"/>
    <n v="1"/>
    <n v="1"/>
    <n v="1"/>
  </r>
  <r>
    <x v="790"/>
    <x v="0"/>
    <x v="0"/>
    <x v="5"/>
    <d v="2025-10-30T00:00:00"/>
    <x v="22"/>
    <x v="11"/>
    <x v="0"/>
    <x v="0"/>
    <d v="2025-11-30T00:00:00"/>
    <n v="3"/>
    <n v="4"/>
    <n v="5"/>
    <x v="7"/>
    <n v="1"/>
    <n v="1"/>
    <n v="1"/>
    <n v="1"/>
  </r>
  <r>
    <x v="791"/>
    <x v="2"/>
    <x v="0"/>
    <x v="11"/>
    <d v="2025-10-17T00:00:00"/>
    <x v="11"/>
    <x v="15"/>
    <x v="0"/>
    <x v="0"/>
    <d v="2025-11-02T00:00:00"/>
    <n v="2"/>
    <n v="1"/>
    <n v="5"/>
    <x v="1"/>
    <n v="1"/>
    <n v="1"/>
    <n v="1"/>
    <n v="1"/>
  </r>
  <r>
    <x v="792"/>
    <x v="3"/>
    <x v="1"/>
    <x v="20"/>
    <m/>
    <x v="2"/>
    <x v="2"/>
    <x v="1"/>
    <x v="5"/>
    <m/>
    <m/>
    <m/>
    <m/>
    <x v="2"/>
    <n v="1"/>
    <n v="0"/>
    <n v="0"/>
    <n v="0"/>
  </r>
  <r>
    <x v="793"/>
    <x v="0"/>
    <x v="2"/>
    <x v="12"/>
    <d v="2025-10-26T00:00:00"/>
    <x v="0"/>
    <x v="26"/>
    <x v="0"/>
    <x v="0"/>
    <d v="2025-11-19T00:00:00"/>
    <n v="3"/>
    <n v="3"/>
    <n v="4"/>
    <x v="10"/>
    <n v="1"/>
    <n v="1"/>
    <n v="1"/>
    <n v="1"/>
  </r>
  <r>
    <x v="794"/>
    <x v="2"/>
    <x v="2"/>
    <x v="29"/>
    <d v="2025-10-15T00:00:00"/>
    <x v="1"/>
    <x v="3"/>
    <x v="0"/>
    <x v="0"/>
    <d v="2025-11-10T00:00:00"/>
    <n v="5"/>
    <n v="4"/>
    <n v="5"/>
    <x v="4"/>
    <n v="1"/>
    <n v="1"/>
    <n v="1"/>
    <n v="1"/>
  </r>
  <r>
    <x v="795"/>
    <x v="3"/>
    <x v="0"/>
    <x v="0"/>
    <d v="2025-10-24T00:00:00"/>
    <x v="8"/>
    <x v="9"/>
    <x v="0"/>
    <x v="0"/>
    <d v="2025-11-13T00:00:00"/>
    <n v="3"/>
    <n v="4"/>
    <n v="2"/>
    <x v="8"/>
    <n v="1"/>
    <n v="1"/>
    <n v="1"/>
    <n v="1"/>
  </r>
  <r>
    <x v="796"/>
    <x v="0"/>
    <x v="0"/>
    <x v="4"/>
    <d v="2025-10-15T00:00:00"/>
    <x v="20"/>
    <x v="31"/>
    <x v="0"/>
    <x v="0"/>
    <d v="2025-11-07T00:00:00"/>
    <n v="1"/>
    <n v="1"/>
    <n v="6"/>
    <x v="1"/>
    <n v="1"/>
    <n v="1"/>
    <n v="1"/>
    <n v="1"/>
  </r>
  <r>
    <x v="797"/>
    <x v="3"/>
    <x v="0"/>
    <x v="7"/>
    <d v="2025-10-07T00:00:00"/>
    <x v="14"/>
    <x v="14"/>
    <x v="0"/>
    <x v="0"/>
    <d v="2025-10-26T00:00:00"/>
    <n v="3"/>
    <n v="5"/>
    <n v="4"/>
    <x v="11"/>
    <n v="1"/>
    <n v="1"/>
    <n v="1"/>
    <n v="1"/>
  </r>
  <r>
    <x v="798"/>
    <x v="1"/>
    <x v="1"/>
    <x v="13"/>
    <m/>
    <x v="2"/>
    <x v="2"/>
    <x v="1"/>
    <x v="5"/>
    <m/>
    <m/>
    <m/>
    <m/>
    <x v="2"/>
    <n v="1"/>
    <n v="0"/>
    <n v="0"/>
    <n v="0"/>
  </r>
  <r>
    <x v="799"/>
    <x v="1"/>
    <x v="1"/>
    <x v="30"/>
    <m/>
    <x v="2"/>
    <x v="2"/>
    <x v="1"/>
    <x v="4"/>
    <m/>
    <m/>
    <m/>
    <m/>
    <x v="2"/>
    <n v="1"/>
    <n v="0"/>
    <n v="0"/>
    <n v="0"/>
  </r>
  <r>
    <x v="800"/>
    <x v="0"/>
    <x v="1"/>
    <x v="8"/>
    <m/>
    <x v="2"/>
    <x v="2"/>
    <x v="1"/>
    <x v="1"/>
    <m/>
    <m/>
    <m/>
    <m/>
    <x v="2"/>
    <n v="1"/>
    <n v="0"/>
    <n v="0"/>
    <n v="0"/>
  </r>
  <r>
    <x v="801"/>
    <x v="2"/>
    <x v="0"/>
    <x v="30"/>
    <d v="2025-10-04T00:00:00"/>
    <x v="29"/>
    <x v="35"/>
    <x v="1"/>
    <x v="5"/>
    <m/>
    <n v="2"/>
    <n v="2"/>
    <n v="3"/>
    <x v="2"/>
    <n v="1"/>
    <n v="1"/>
    <n v="1"/>
    <n v="0"/>
  </r>
  <r>
    <x v="802"/>
    <x v="0"/>
    <x v="0"/>
    <x v="29"/>
    <d v="2025-10-15T00:00:00"/>
    <x v="6"/>
    <x v="7"/>
    <x v="0"/>
    <x v="0"/>
    <d v="2025-11-22T00:00:00"/>
    <n v="5"/>
    <n v="5"/>
    <n v="5"/>
    <x v="4"/>
    <n v="1"/>
    <n v="1"/>
    <n v="1"/>
    <n v="1"/>
  </r>
  <r>
    <x v="803"/>
    <x v="3"/>
    <x v="0"/>
    <x v="6"/>
    <d v="2025-10-19T00:00:00"/>
    <x v="28"/>
    <x v="5"/>
    <x v="0"/>
    <x v="0"/>
    <d v="2025-11-23T00:00:00"/>
    <n v="3"/>
    <n v="5"/>
    <n v="4"/>
    <x v="10"/>
    <n v="1"/>
    <n v="1"/>
    <n v="1"/>
    <n v="1"/>
  </r>
  <r>
    <x v="804"/>
    <x v="2"/>
    <x v="0"/>
    <x v="7"/>
    <d v="2025-10-06T00:00:00"/>
    <x v="5"/>
    <x v="38"/>
    <x v="0"/>
    <x v="0"/>
    <d v="2025-10-28T00:00:00"/>
    <n v="2"/>
    <n v="2"/>
    <n v="5"/>
    <x v="3"/>
    <n v="1"/>
    <n v="1"/>
    <n v="1"/>
    <n v="1"/>
  </r>
  <r>
    <x v="805"/>
    <x v="1"/>
    <x v="1"/>
    <x v="7"/>
    <m/>
    <x v="2"/>
    <x v="2"/>
    <x v="1"/>
    <x v="1"/>
    <m/>
    <m/>
    <m/>
    <m/>
    <x v="2"/>
    <n v="1"/>
    <n v="0"/>
    <n v="0"/>
    <n v="0"/>
  </r>
  <r>
    <x v="806"/>
    <x v="2"/>
    <x v="2"/>
    <x v="24"/>
    <d v="2025-10-11T00:00:00"/>
    <x v="17"/>
    <x v="19"/>
    <x v="0"/>
    <x v="0"/>
    <d v="2025-11-01T00:00:00"/>
    <n v="3"/>
    <n v="4"/>
    <n v="4"/>
    <x v="9"/>
    <n v="1"/>
    <n v="1"/>
    <n v="1"/>
    <n v="1"/>
  </r>
  <r>
    <x v="807"/>
    <x v="1"/>
    <x v="0"/>
    <x v="10"/>
    <d v="2025-11-03T00:00:00"/>
    <x v="7"/>
    <x v="4"/>
    <x v="0"/>
    <x v="0"/>
    <d v="2025-11-28T00:00:00"/>
    <n v="5"/>
    <n v="2"/>
    <n v="2"/>
    <x v="0"/>
    <n v="1"/>
    <n v="1"/>
    <n v="1"/>
    <n v="1"/>
  </r>
  <r>
    <x v="808"/>
    <x v="2"/>
    <x v="2"/>
    <x v="21"/>
    <d v="2025-10-23T00:00:00"/>
    <x v="27"/>
    <x v="32"/>
    <x v="0"/>
    <x v="0"/>
    <d v="2025-11-26T00:00:00"/>
    <n v="5"/>
    <n v="2"/>
    <n v="2"/>
    <x v="7"/>
    <n v="1"/>
    <n v="1"/>
    <n v="1"/>
    <n v="1"/>
  </r>
  <r>
    <x v="809"/>
    <x v="2"/>
    <x v="0"/>
    <x v="13"/>
    <d v="2025-10-06T00:00:00"/>
    <x v="37"/>
    <x v="28"/>
    <x v="0"/>
    <x v="0"/>
    <d v="2025-10-23T00:00:00"/>
    <n v="1"/>
    <n v="3"/>
    <n v="3"/>
    <x v="10"/>
    <n v="1"/>
    <n v="1"/>
    <n v="1"/>
    <n v="1"/>
  </r>
  <r>
    <x v="810"/>
    <x v="2"/>
    <x v="1"/>
    <x v="27"/>
    <m/>
    <x v="2"/>
    <x v="2"/>
    <x v="1"/>
    <x v="4"/>
    <m/>
    <m/>
    <m/>
    <m/>
    <x v="2"/>
    <n v="1"/>
    <n v="0"/>
    <n v="0"/>
    <n v="0"/>
  </r>
  <r>
    <x v="811"/>
    <x v="3"/>
    <x v="0"/>
    <x v="11"/>
    <d v="2025-10-20T00:00:00"/>
    <x v="16"/>
    <x v="9"/>
    <x v="0"/>
    <x v="0"/>
    <d v="2025-11-21T00:00:00"/>
    <n v="5"/>
    <n v="3"/>
    <n v="7"/>
    <x v="11"/>
    <n v="1"/>
    <n v="1"/>
    <n v="1"/>
    <n v="1"/>
  </r>
  <r>
    <x v="812"/>
    <x v="3"/>
    <x v="2"/>
    <x v="9"/>
    <d v="2025-10-14T00:00:00"/>
    <x v="25"/>
    <x v="12"/>
    <x v="0"/>
    <x v="0"/>
    <d v="2025-11-20T00:00:00"/>
    <n v="2"/>
    <n v="3"/>
    <n v="4"/>
    <x v="9"/>
    <n v="1"/>
    <n v="1"/>
    <n v="1"/>
    <n v="1"/>
  </r>
  <r>
    <x v="813"/>
    <x v="0"/>
    <x v="1"/>
    <x v="26"/>
    <m/>
    <x v="2"/>
    <x v="2"/>
    <x v="1"/>
    <x v="1"/>
    <m/>
    <m/>
    <m/>
    <m/>
    <x v="2"/>
    <n v="1"/>
    <n v="0"/>
    <n v="0"/>
    <n v="0"/>
  </r>
  <r>
    <x v="814"/>
    <x v="0"/>
    <x v="0"/>
    <x v="8"/>
    <d v="2025-11-05T00:00:00"/>
    <x v="19"/>
    <x v="43"/>
    <x v="0"/>
    <x v="0"/>
    <d v="2025-12-04T00:00:00"/>
    <n v="5"/>
    <n v="4"/>
    <n v="7"/>
    <x v="0"/>
    <n v="1"/>
    <n v="1"/>
    <n v="1"/>
    <n v="1"/>
  </r>
  <r>
    <x v="815"/>
    <x v="1"/>
    <x v="2"/>
    <x v="15"/>
    <d v="2025-10-29T00:00:00"/>
    <x v="31"/>
    <x v="4"/>
    <x v="0"/>
    <x v="0"/>
    <d v="2025-12-04T00:00:00"/>
    <n v="5"/>
    <n v="2"/>
    <n v="7"/>
    <x v="7"/>
    <n v="1"/>
    <n v="1"/>
    <n v="1"/>
    <n v="1"/>
  </r>
  <r>
    <x v="816"/>
    <x v="3"/>
    <x v="2"/>
    <x v="12"/>
    <d v="2025-10-25T00:00:00"/>
    <x v="26"/>
    <x v="17"/>
    <x v="1"/>
    <x v="4"/>
    <m/>
    <n v="2"/>
    <n v="1"/>
    <n v="6"/>
    <x v="2"/>
    <n v="1"/>
    <n v="1"/>
    <n v="1"/>
    <n v="0"/>
  </r>
  <r>
    <x v="817"/>
    <x v="1"/>
    <x v="2"/>
    <x v="8"/>
    <d v="2025-11-02T00:00:00"/>
    <x v="4"/>
    <x v="13"/>
    <x v="0"/>
    <x v="0"/>
    <d v="2025-12-05T00:00:00"/>
    <n v="2"/>
    <n v="2"/>
    <n v="2"/>
    <x v="1"/>
    <n v="1"/>
    <n v="1"/>
    <n v="1"/>
    <n v="1"/>
  </r>
  <r>
    <x v="818"/>
    <x v="0"/>
    <x v="2"/>
    <x v="21"/>
    <d v="2025-10-23T00:00:00"/>
    <x v="18"/>
    <x v="9"/>
    <x v="0"/>
    <x v="0"/>
    <d v="2025-11-10T00:00:00"/>
    <n v="5"/>
    <n v="4"/>
    <n v="3"/>
    <x v="1"/>
    <n v="1"/>
    <n v="1"/>
    <n v="1"/>
    <n v="1"/>
  </r>
  <r>
    <x v="819"/>
    <x v="1"/>
    <x v="1"/>
    <x v="4"/>
    <m/>
    <x v="2"/>
    <x v="2"/>
    <x v="1"/>
    <x v="4"/>
    <m/>
    <m/>
    <m/>
    <m/>
    <x v="2"/>
    <n v="1"/>
    <n v="0"/>
    <n v="0"/>
    <n v="0"/>
  </r>
  <r>
    <x v="820"/>
    <x v="0"/>
    <x v="0"/>
    <x v="23"/>
    <d v="2025-10-24T00:00:00"/>
    <x v="18"/>
    <x v="24"/>
    <x v="0"/>
    <x v="0"/>
    <d v="2025-11-29T00:00:00"/>
    <n v="5"/>
    <n v="3"/>
    <n v="4"/>
    <x v="0"/>
    <n v="1"/>
    <n v="1"/>
    <n v="1"/>
    <n v="1"/>
  </r>
  <r>
    <x v="821"/>
    <x v="3"/>
    <x v="1"/>
    <x v="15"/>
    <m/>
    <x v="2"/>
    <x v="2"/>
    <x v="1"/>
    <x v="3"/>
    <m/>
    <m/>
    <m/>
    <m/>
    <x v="2"/>
    <n v="1"/>
    <n v="0"/>
    <n v="0"/>
    <n v="0"/>
  </r>
  <r>
    <x v="822"/>
    <x v="2"/>
    <x v="0"/>
    <x v="15"/>
    <d v="2025-10-27T00:00:00"/>
    <x v="31"/>
    <x v="0"/>
    <x v="0"/>
    <x v="0"/>
    <d v="2025-11-14T00:00:00"/>
    <n v="3"/>
    <n v="4"/>
    <n v="3"/>
    <x v="9"/>
    <n v="1"/>
    <n v="1"/>
    <n v="1"/>
    <n v="1"/>
  </r>
  <r>
    <x v="823"/>
    <x v="3"/>
    <x v="2"/>
    <x v="13"/>
    <d v="2025-10-10T00:00:00"/>
    <x v="21"/>
    <x v="6"/>
    <x v="0"/>
    <x v="0"/>
    <d v="2025-10-28T00:00:00"/>
    <n v="5"/>
    <n v="3"/>
    <n v="2"/>
    <x v="8"/>
    <n v="1"/>
    <n v="1"/>
    <n v="1"/>
    <n v="1"/>
  </r>
  <r>
    <x v="824"/>
    <x v="1"/>
    <x v="0"/>
    <x v="10"/>
    <d v="2025-10-30T00:00:00"/>
    <x v="22"/>
    <x v="8"/>
    <x v="1"/>
    <x v="4"/>
    <m/>
    <n v="1"/>
    <n v="4"/>
    <n v="7"/>
    <x v="2"/>
    <n v="1"/>
    <n v="1"/>
    <n v="1"/>
    <n v="0"/>
  </r>
  <r>
    <x v="825"/>
    <x v="1"/>
    <x v="2"/>
    <x v="4"/>
    <d v="2025-10-15T00:00:00"/>
    <x v="20"/>
    <x v="19"/>
    <x v="0"/>
    <x v="0"/>
    <d v="2025-11-18T00:00:00"/>
    <n v="1"/>
    <n v="1"/>
    <n v="3"/>
    <x v="9"/>
    <n v="1"/>
    <n v="1"/>
    <n v="1"/>
    <n v="1"/>
  </r>
  <r>
    <x v="826"/>
    <x v="3"/>
    <x v="0"/>
    <x v="0"/>
    <d v="2025-10-22T00:00:00"/>
    <x v="27"/>
    <x v="21"/>
    <x v="0"/>
    <x v="0"/>
    <d v="2025-11-08T00:00:00"/>
    <n v="1"/>
    <n v="3"/>
    <n v="4"/>
    <x v="5"/>
    <n v="1"/>
    <n v="1"/>
    <n v="1"/>
    <n v="1"/>
  </r>
  <r>
    <x v="827"/>
    <x v="3"/>
    <x v="1"/>
    <x v="7"/>
    <m/>
    <x v="2"/>
    <x v="2"/>
    <x v="1"/>
    <x v="4"/>
    <m/>
    <m/>
    <m/>
    <m/>
    <x v="2"/>
    <n v="1"/>
    <n v="0"/>
    <n v="0"/>
    <n v="0"/>
  </r>
  <r>
    <x v="828"/>
    <x v="0"/>
    <x v="0"/>
    <x v="5"/>
    <d v="2025-10-28T00:00:00"/>
    <x v="31"/>
    <x v="18"/>
    <x v="0"/>
    <x v="0"/>
    <d v="2025-11-16T00:00:00"/>
    <n v="1"/>
    <n v="3"/>
    <n v="5"/>
    <x v="0"/>
    <n v="1"/>
    <n v="1"/>
    <n v="1"/>
    <n v="1"/>
  </r>
  <r>
    <x v="829"/>
    <x v="1"/>
    <x v="0"/>
    <x v="6"/>
    <d v="2025-10-21T00:00:00"/>
    <x v="16"/>
    <x v="21"/>
    <x v="1"/>
    <x v="2"/>
    <m/>
    <n v="5"/>
    <n v="2"/>
    <n v="6"/>
    <x v="2"/>
    <n v="1"/>
    <n v="1"/>
    <n v="1"/>
    <n v="0"/>
  </r>
  <r>
    <x v="830"/>
    <x v="1"/>
    <x v="2"/>
    <x v="18"/>
    <d v="2025-10-23T00:00:00"/>
    <x v="18"/>
    <x v="21"/>
    <x v="1"/>
    <x v="5"/>
    <m/>
    <n v="3"/>
    <n v="4"/>
    <n v="2"/>
    <x v="2"/>
    <n v="1"/>
    <n v="1"/>
    <n v="1"/>
    <n v="0"/>
  </r>
  <r>
    <x v="831"/>
    <x v="3"/>
    <x v="2"/>
    <x v="4"/>
    <d v="2025-10-16T00:00:00"/>
    <x v="3"/>
    <x v="5"/>
    <x v="0"/>
    <x v="0"/>
    <d v="2025-11-10T00:00:00"/>
    <n v="2"/>
    <n v="5"/>
    <n v="7"/>
    <x v="3"/>
    <n v="1"/>
    <n v="1"/>
    <n v="1"/>
    <n v="1"/>
  </r>
  <r>
    <x v="832"/>
    <x v="2"/>
    <x v="2"/>
    <x v="8"/>
    <d v="2025-11-05T00:00:00"/>
    <x v="39"/>
    <x v="33"/>
    <x v="0"/>
    <x v="0"/>
    <d v="2025-12-07T00:00:00"/>
    <n v="5"/>
    <n v="5"/>
    <n v="4"/>
    <x v="3"/>
    <n v="1"/>
    <n v="1"/>
    <n v="1"/>
    <n v="1"/>
  </r>
  <r>
    <x v="833"/>
    <x v="1"/>
    <x v="0"/>
    <x v="8"/>
    <d v="2025-11-04T00:00:00"/>
    <x v="9"/>
    <x v="8"/>
    <x v="0"/>
    <x v="0"/>
    <d v="2025-12-04T00:00:00"/>
    <n v="4"/>
    <n v="2"/>
    <n v="4"/>
    <x v="5"/>
    <n v="1"/>
    <n v="1"/>
    <n v="1"/>
    <n v="1"/>
  </r>
  <r>
    <x v="834"/>
    <x v="2"/>
    <x v="2"/>
    <x v="17"/>
    <d v="2025-10-14T00:00:00"/>
    <x v="11"/>
    <x v="12"/>
    <x v="0"/>
    <x v="0"/>
    <d v="2025-11-12T00:00:00"/>
    <n v="5"/>
    <n v="4"/>
    <n v="3"/>
    <x v="1"/>
    <n v="1"/>
    <n v="1"/>
    <n v="1"/>
    <n v="1"/>
  </r>
  <r>
    <x v="835"/>
    <x v="3"/>
    <x v="0"/>
    <x v="30"/>
    <d v="2025-10-03T00:00:00"/>
    <x v="34"/>
    <x v="41"/>
    <x v="1"/>
    <x v="3"/>
    <m/>
    <n v="1"/>
    <n v="1"/>
    <n v="2"/>
    <x v="2"/>
    <n v="1"/>
    <n v="1"/>
    <n v="1"/>
    <n v="0"/>
  </r>
  <r>
    <x v="836"/>
    <x v="3"/>
    <x v="0"/>
    <x v="12"/>
    <d v="2025-10-27T00:00:00"/>
    <x v="0"/>
    <x v="0"/>
    <x v="0"/>
    <x v="0"/>
    <d v="2025-11-16T00:00:00"/>
    <n v="4"/>
    <n v="2"/>
    <n v="5"/>
    <x v="0"/>
    <n v="1"/>
    <n v="1"/>
    <n v="1"/>
    <n v="1"/>
  </r>
  <r>
    <x v="837"/>
    <x v="0"/>
    <x v="0"/>
    <x v="9"/>
    <d v="2025-10-17T00:00:00"/>
    <x v="6"/>
    <x v="7"/>
    <x v="0"/>
    <x v="0"/>
    <d v="2025-11-21T00:00:00"/>
    <n v="5"/>
    <n v="3"/>
    <n v="5"/>
    <x v="5"/>
    <n v="1"/>
    <n v="1"/>
    <n v="1"/>
    <n v="1"/>
  </r>
  <r>
    <x v="838"/>
    <x v="1"/>
    <x v="2"/>
    <x v="28"/>
    <d v="2025-10-10T00:00:00"/>
    <x v="30"/>
    <x v="16"/>
    <x v="0"/>
    <x v="0"/>
    <d v="2025-11-04T00:00:00"/>
    <n v="3"/>
    <n v="1"/>
    <n v="6"/>
    <x v="5"/>
    <n v="1"/>
    <n v="1"/>
    <n v="1"/>
    <n v="1"/>
  </r>
  <r>
    <x v="839"/>
    <x v="2"/>
    <x v="2"/>
    <x v="11"/>
    <d v="2025-10-18T00:00:00"/>
    <x v="24"/>
    <x v="21"/>
    <x v="0"/>
    <x v="0"/>
    <d v="2025-11-23T00:00:00"/>
    <n v="3"/>
    <n v="4"/>
    <n v="7"/>
    <x v="3"/>
    <n v="1"/>
    <n v="1"/>
    <n v="1"/>
    <n v="1"/>
  </r>
  <r>
    <x v="840"/>
    <x v="0"/>
    <x v="1"/>
    <x v="11"/>
    <m/>
    <x v="2"/>
    <x v="2"/>
    <x v="1"/>
    <x v="3"/>
    <m/>
    <m/>
    <m/>
    <m/>
    <x v="2"/>
    <n v="1"/>
    <n v="0"/>
    <n v="0"/>
    <n v="0"/>
  </r>
  <r>
    <x v="841"/>
    <x v="1"/>
    <x v="0"/>
    <x v="8"/>
    <d v="2025-11-04T00:00:00"/>
    <x v="38"/>
    <x v="10"/>
    <x v="0"/>
    <x v="0"/>
    <d v="2025-11-27T00:00:00"/>
    <n v="4"/>
    <n v="3"/>
    <n v="6"/>
    <x v="3"/>
    <n v="1"/>
    <n v="1"/>
    <n v="1"/>
    <n v="1"/>
  </r>
  <r>
    <x v="842"/>
    <x v="0"/>
    <x v="0"/>
    <x v="24"/>
    <d v="2025-10-10T00:00:00"/>
    <x v="17"/>
    <x v="27"/>
    <x v="0"/>
    <x v="0"/>
    <d v="2025-11-03T00:00:00"/>
    <n v="2"/>
    <n v="5"/>
    <n v="3"/>
    <x v="6"/>
    <n v="1"/>
    <n v="1"/>
    <n v="1"/>
    <n v="1"/>
  </r>
  <r>
    <x v="843"/>
    <x v="3"/>
    <x v="2"/>
    <x v="3"/>
    <d v="2025-11-01T00:00:00"/>
    <x v="7"/>
    <x v="4"/>
    <x v="1"/>
    <x v="3"/>
    <m/>
    <n v="4"/>
    <n v="4"/>
    <n v="2"/>
    <x v="2"/>
    <n v="1"/>
    <n v="1"/>
    <n v="1"/>
    <n v="0"/>
  </r>
  <r>
    <x v="844"/>
    <x v="1"/>
    <x v="1"/>
    <x v="9"/>
    <m/>
    <x v="2"/>
    <x v="2"/>
    <x v="1"/>
    <x v="2"/>
    <m/>
    <m/>
    <m/>
    <m/>
    <x v="2"/>
    <n v="1"/>
    <n v="0"/>
    <n v="0"/>
    <n v="0"/>
  </r>
  <r>
    <x v="845"/>
    <x v="0"/>
    <x v="0"/>
    <x v="7"/>
    <d v="2025-10-07T00:00:00"/>
    <x v="13"/>
    <x v="6"/>
    <x v="0"/>
    <x v="0"/>
    <d v="2025-11-14T00:00:00"/>
    <n v="3"/>
    <n v="3"/>
    <n v="5"/>
    <x v="11"/>
    <n v="1"/>
    <n v="1"/>
    <n v="1"/>
    <n v="1"/>
  </r>
  <r>
    <x v="846"/>
    <x v="0"/>
    <x v="0"/>
    <x v="26"/>
    <d v="2025-10-26T00:00:00"/>
    <x v="15"/>
    <x v="17"/>
    <x v="0"/>
    <x v="0"/>
    <d v="2025-11-11T00:00:00"/>
    <n v="4"/>
    <n v="4"/>
    <n v="2"/>
    <x v="9"/>
    <n v="1"/>
    <n v="1"/>
    <n v="1"/>
    <n v="1"/>
  </r>
  <r>
    <x v="847"/>
    <x v="2"/>
    <x v="1"/>
    <x v="9"/>
    <m/>
    <x v="2"/>
    <x v="2"/>
    <x v="1"/>
    <x v="4"/>
    <m/>
    <m/>
    <m/>
    <m/>
    <x v="2"/>
    <n v="1"/>
    <n v="0"/>
    <n v="0"/>
    <n v="0"/>
  </r>
  <r>
    <x v="848"/>
    <x v="0"/>
    <x v="2"/>
    <x v="21"/>
    <d v="2025-10-19T00:00:00"/>
    <x v="24"/>
    <x v="7"/>
    <x v="0"/>
    <x v="0"/>
    <d v="2025-11-13T00:00:00"/>
    <n v="1"/>
    <n v="3"/>
    <n v="3"/>
    <x v="7"/>
    <n v="1"/>
    <n v="1"/>
    <n v="1"/>
    <n v="1"/>
  </r>
  <r>
    <x v="849"/>
    <x v="1"/>
    <x v="0"/>
    <x v="10"/>
    <d v="2025-10-30T00:00:00"/>
    <x v="22"/>
    <x v="18"/>
    <x v="0"/>
    <x v="0"/>
    <d v="2025-11-28T00:00:00"/>
    <n v="1"/>
    <n v="4"/>
    <n v="2"/>
    <x v="5"/>
    <n v="1"/>
    <n v="1"/>
    <n v="1"/>
    <n v="1"/>
  </r>
  <r>
    <x v="850"/>
    <x v="1"/>
    <x v="0"/>
    <x v="0"/>
    <d v="2025-10-23T00:00:00"/>
    <x v="8"/>
    <x v="9"/>
    <x v="0"/>
    <x v="0"/>
    <d v="2025-11-12T00:00:00"/>
    <n v="2"/>
    <n v="5"/>
    <n v="2"/>
    <x v="8"/>
    <n v="1"/>
    <n v="1"/>
    <n v="1"/>
    <n v="1"/>
  </r>
  <r>
    <x v="851"/>
    <x v="2"/>
    <x v="2"/>
    <x v="9"/>
    <d v="2025-10-16T00:00:00"/>
    <x v="11"/>
    <x v="22"/>
    <x v="0"/>
    <x v="0"/>
    <d v="2025-11-15T00:00:00"/>
    <n v="4"/>
    <n v="2"/>
    <n v="2"/>
    <x v="3"/>
    <n v="1"/>
    <n v="1"/>
    <n v="1"/>
    <n v="1"/>
  </r>
  <r>
    <x v="852"/>
    <x v="1"/>
    <x v="1"/>
    <x v="30"/>
    <m/>
    <x v="2"/>
    <x v="2"/>
    <x v="1"/>
    <x v="5"/>
    <m/>
    <m/>
    <m/>
    <m/>
    <x v="2"/>
    <n v="1"/>
    <n v="0"/>
    <n v="0"/>
    <n v="0"/>
  </r>
  <r>
    <x v="853"/>
    <x v="3"/>
    <x v="0"/>
    <x v="27"/>
    <d v="2025-10-17T00:00:00"/>
    <x v="6"/>
    <x v="15"/>
    <x v="1"/>
    <x v="1"/>
    <m/>
    <n v="4"/>
    <n v="3"/>
    <n v="3"/>
    <x v="2"/>
    <n v="1"/>
    <n v="1"/>
    <n v="1"/>
    <n v="0"/>
  </r>
  <r>
    <x v="854"/>
    <x v="1"/>
    <x v="0"/>
    <x v="17"/>
    <d v="2025-10-13T00:00:00"/>
    <x v="20"/>
    <x v="19"/>
    <x v="0"/>
    <x v="0"/>
    <d v="2025-11-06T00:00:00"/>
    <n v="4"/>
    <n v="3"/>
    <n v="3"/>
    <x v="0"/>
    <n v="1"/>
    <n v="1"/>
    <n v="1"/>
    <n v="1"/>
  </r>
  <r>
    <x v="855"/>
    <x v="1"/>
    <x v="2"/>
    <x v="28"/>
    <d v="2025-10-11T00:00:00"/>
    <x v="20"/>
    <x v="19"/>
    <x v="0"/>
    <x v="0"/>
    <d v="2025-11-17T00:00:00"/>
    <n v="4"/>
    <n v="5"/>
    <n v="3"/>
    <x v="11"/>
    <n v="1"/>
    <n v="1"/>
    <n v="1"/>
    <n v="1"/>
  </r>
  <r>
    <x v="856"/>
    <x v="0"/>
    <x v="2"/>
    <x v="8"/>
    <d v="2025-11-02T00:00:00"/>
    <x v="4"/>
    <x v="23"/>
    <x v="0"/>
    <x v="0"/>
    <d v="2025-12-08T00:00:00"/>
    <n v="2"/>
    <n v="2"/>
    <n v="5"/>
    <x v="10"/>
    <n v="1"/>
    <n v="1"/>
    <n v="1"/>
    <n v="1"/>
  </r>
  <r>
    <x v="857"/>
    <x v="0"/>
    <x v="0"/>
    <x v="7"/>
    <d v="2025-10-07T00:00:00"/>
    <x v="30"/>
    <x v="6"/>
    <x v="0"/>
    <x v="0"/>
    <d v="2025-10-29T00:00:00"/>
    <n v="3"/>
    <n v="4"/>
    <n v="4"/>
    <x v="9"/>
    <n v="1"/>
    <n v="1"/>
    <n v="1"/>
    <n v="1"/>
  </r>
  <r>
    <x v="858"/>
    <x v="1"/>
    <x v="0"/>
    <x v="8"/>
    <d v="2025-11-05T00:00:00"/>
    <x v="33"/>
    <x v="20"/>
    <x v="0"/>
    <x v="0"/>
    <d v="2025-12-08T00:00:00"/>
    <n v="5"/>
    <n v="3"/>
    <n v="7"/>
    <x v="11"/>
    <n v="1"/>
    <n v="1"/>
    <n v="1"/>
    <n v="1"/>
  </r>
  <r>
    <x v="859"/>
    <x v="2"/>
    <x v="2"/>
    <x v="3"/>
    <d v="2025-10-30T00:00:00"/>
    <x v="12"/>
    <x v="11"/>
    <x v="0"/>
    <x v="0"/>
    <d v="2025-11-21T00:00:00"/>
    <n v="2"/>
    <n v="2"/>
    <n v="7"/>
    <x v="8"/>
    <n v="1"/>
    <n v="1"/>
    <n v="1"/>
    <n v="1"/>
  </r>
  <r>
    <x v="860"/>
    <x v="0"/>
    <x v="0"/>
    <x v="5"/>
    <d v="2025-10-30T00:00:00"/>
    <x v="22"/>
    <x v="8"/>
    <x v="0"/>
    <x v="0"/>
    <d v="2025-12-06T00:00:00"/>
    <n v="3"/>
    <n v="4"/>
    <n v="7"/>
    <x v="0"/>
    <n v="1"/>
    <n v="1"/>
    <n v="1"/>
    <n v="1"/>
  </r>
  <r>
    <x v="861"/>
    <x v="2"/>
    <x v="0"/>
    <x v="11"/>
    <d v="2025-10-18T00:00:00"/>
    <x v="3"/>
    <x v="15"/>
    <x v="0"/>
    <x v="0"/>
    <d v="2025-11-21T00:00:00"/>
    <n v="3"/>
    <n v="3"/>
    <n v="2"/>
    <x v="7"/>
    <n v="1"/>
    <n v="1"/>
    <n v="1"/>
    <n v="1"/>
  </r>
  <r>
    <x v="862"/>
    <x v="1"/>
    <x v="2"/>
    <x v="25"/>
    <d v="2025-10-06T00:00:00"/>
    <x v="37"/>
    <x v="6"/>
    <x v="1"/>
    <x v="4"/>
    <m/>
    <n v="3"/>
    <n v="3"/>
    <n v="6"/>
    <x v="2"/>
    <n v="1"/>
    <n v="1"/>
    <n v="1"/>
    <n v="0"/>
  </r>
  <r>
    <x v="863"/>
    <x v="1"/>
    <x v="0"/>
    <x v="26"/>
    <d v="2025-10-26T00:00:00"/>
    <x v="15"/>
    <x v="18"/>
    <x v="0"/>
    <x v="0"/>
    <d v="2025-11-18T00:00:00"/>
    <n v="4"/>
    <n v="4"/>
    <n v="6"/>
    <x v="3"/>
    <n v="1"/>
    <n v="1"/>
    <n v="1"/>
    <n v="1"/>
  </r>
  <r>
    <x v="864"/>
    <x v="3"/>
    <x v="2"/>
    <x v="28"/>
    <d v="2025-10-09T00:00:00"/>
    <x v="23"/>
    <x v="27"/>
    <x v="0"/>
    <x v="0"/>
    <d v="2025-11-06T00:00:00"/>
    <n v="2"/>
    <n v="5"/>
    <n v="4"/>
    <x v="8"/>
    <n v="1"/>
    <n v="1"/>
    <n v="1"/>
    <n v="1"/>
  </r>
  <r>
    <x v="865"/>
    <x v="0"/>
    <x v="1"/>
    <x v="0"/>
    <m/>
    <x v="2"/>
    <x v="2"/>
    <x v="1"/>
    <x v="2"/>
    <m/>
    <m/>
    <m/>
    <m/>
    <x v="2"/>
    <n v="1"/>
    <n v="0"/>
    <n v="0"/>
    <n v="0"/>
  </r>
  <r>
    <x v="866"/>
    <x v="1"/>
    <x v="0"/>
    <x v="0"/>
    <d v="2025-10-24T00:00:00"/>
    <x v="26"/>
    <x v="5"/>
    <x v="0"/>
    <x v="0"/>
    <d v="2025-11-10T00:00:00"/>
    <n v="3"/>
    <n v="2"/>
    <n v="2"/>
    <x v="3"/>
    <n v="1"/>
    <n v="1"/>
    <n v="1"/>
    <n v="1"/>
  </r>
  <r>
    <x v="867"/>
    <x v="3"/>
    <x v="2"/>
    <x v="18"/>
    <d v="2025-10-25T00:00:00"/>
    <x v="8"/>
    <x v="9"/>
    <x v="0"/>
    <x v="0"/>
    <d v="2025-11-12T00:00:00"/>
    <n v="5"/>
    <n v="3"/>
    <n v="2"/>
    <x v="3"/>
    <n v="1"/>
    <n v="1"/>
    <n v="1"/>
    <n v="1"/>
  </r>
  <r>
    <x v="868"/>
    <x v="0"/>
    <x v="0"/>
    <x v="2"/>
    <d v="2025-10-06T00:00:00"/>
    <x v="13"/>
    <x v="28"/>
    <x v="0"/>
    <x v="0"/>
    <d v="2025-11-06T00:00:00"/>
    <n v="5"/>
    <n v="4"/>
    <n v="2"/>
    <x v="7"/>
    <n v="1"/>
    <n v="1"/>
    <n v="1"/>
    <n v="1"/>
  </r>
  <r>
    <x v="869"/>
    <x v="1"/>
    <x v="0"/>
    <x v="30"/>
    <d v="2025-10-03T00:00:00"/>
    <x v="29"/>
    <x v="35"/>
    <x v="0"/>
    <x v="0"/>
    <d v="2025-10-25T00:00:00"/>
    <n v="1"/>
    <n v="3"/>
    <n v="3"/>
    <x v="10"/>
    <n v="1"/>
    <n v="1"/>
    <n v="1"/>
    <n v="1"/>
  </r>
  <r>
    <x v="870"/>
    <x v="1"/>
    <x v="0"/>
    <x v="19"/>
    <d v="2025-10-29T00:00:00"/>
    <x v="10"/>
    <x v="23"/>
    <x v="0"/>
    <x v="0"/>
    <d v="2025-12-08T00:00:00"/>
    <n v="3"/>
    <n v="4"/>
    <n v="7"/>
    <x v="1"/>
    <n v="1"/>
    <n v="1"/>
    <n v="1"/>
    <n v="1"/>
  </r>
  <r>
    <x v="871"/>
    <x v="0"/>
    <x v="0"/>
    <x v="1"/>
    <d v="2025-10-13T00:00:00"/>
    <x v="20"/>
    <x v="12"/>
    <x v="0"/>
    <x v="0"/>
    <d v="2025-11-06T00:00:00"/>
    <n v="2"/>
    <n v="3"/>
    <n v="5"/>
    <x v="11"/>
    <n v="1"/>
    <n v="1"/>
    <n v="1"/>
    <n v="1"/>
  </r>
  <r>
    <x v="872"/>
    <x v="0"/>
    <x v="0"/>
    <x v="24"/>
    <d v="2025-10-12T00:00:00"/>
    <x v="21"/>
    <x v="14"/>
    <x v="0"/>
    <x v="0"/>
    <d v="2025-11-03T00:00:00"/>
    <n v="4"/>
    <n v="1"/>
    <n v="3"/>
    <x v="7"/>
    <n v="1"/>
    <n v="1"/>
    <n v="1"/>
    <n v="1"/>
  </r>
  <r>
    <x v="873"/>
    <x v="0"/>
    <x v="2"/>
    <x v="13"/>
    <d v="2025-10-06T00:00:00"/>
    <x v="30"/>
    <x v="38"/>
    <x v="0"/>
    <x v="0"/>
    <d v="2025-11-08T00:00:00"/>
    <n v="1"/>
    <n v="5"/>
    <n v="2"/>
    <x v="8"/>
    <n v="1"/>
    <n v="1"/>
    <n v="1"/>
    <n v="1"/>
  </r>
  <r>
    <x v="874"/>
    <x v="1"/>
    <x v="2"/>
    <x v="19"/>
    <d v="2025-10-29T00:00:00"/>
    <x v="31"/>
    <x v="34"/>
    <x v="0"/>
    <x v="0"/>
    <d v="2025-11-20T00:00:00"/>
    <n v="3"/>
    <n v="2"/>
    <n v="4"/>
    <x v="9"/>
    <n v="1"/>
    <n v="1"/>
    <n v="1"/>
    <n v="1"/>
  </r>
  <r>
    <x v="875"/>
    <x v="1"/>
    <x v="2"/>
    <x v="23"/>
    <d v="2025-10-23T00:00:00"/>
    <x v="8"/>
    <x v="9"/>
    <x v="0"/>
    <x v="0"/>
    <d v="2025-11-20T00:00:00"/>
    <n v="4"/>
    <n v="5"/>
    <n v="2"/>
    <x v="5"/>
    <n v="1"/>
    <n v="1"/>
    <n v="1"/>
    <n v="1"/>
  </r>
  <r>
    <x v="876"/>
    <x v="3"/>
    <x v="0"/>
    <x v="28"/>
    <d v="2025-10-09T00:00:00"/>
    <x v="23"/>
    <x v="14"/>
    <x v="0"/>
    <x v="0"/>
    <d v="2025-11-08T00:00:00"/>
    <n v="2"/>
    <n v="5"/>
    <n v="2"/>
    <x v="0"/>
    <n v="1"/>
    <n v="1"/>
    <n v="1"/>
    <n v="1"/>
  </r>
  <r>
    <x v="877"/>
    <x v="2"/>
    <x v="1"/>
    <x v="25"/>
    <m/>
    <x v="2"/>
    <x v="2"/>
    <x v="1"/>
    <x v="4"/>
    <m/>
    <m/>
    <m/>
    <m/>
    <x v="2"/>
    <n v="1"/>
    <n v="0"/>
    <n v="0"/>
    <n v="0"/>
  </r>
  <r>
    <x v="878"/>
    <x v="0"/>
    <x v="0"/>
    <x v="5"/>
    <d v="2025-10-29T00:00:00"/>
    <x v="31"/>
    <x v="18"/>
    <x v="0"/>
    <x v="0"/>
    <d v="2025-11-24T00:00:00"/>
    <n v="2"/>
    <n v="2"/>
    <n v="5"/>
    <x v="8"/>
    <n v="1"/>
    <n v="1"/>
    <n v="1"/>
    <n v="1"/>
  </r>
  <r>
    <x v="879"/>
    <x v="1"/>
    <x v="2"/>
    <x v="22"/>
    <d v="2025-10-26T00:00:00"/>
    <x v="31"/>
    <x v="26"/>
    <x v="0"/>
    <x v="0"/>
    <d v="2025-11-17T00:00:00"/>
    <n v="1"/>
    <n v="5"/>
    <n v="2"/>
    <x v="8"/>
    <n v="1"/>
    <n v="1"/>
    <n v="1"/>
    <n v="1"/>
  </r>
  <r>
    <x v="880"/>
    <x v="1"/>
    <x v="0"/>
    <x v="21"/>
    <d v="2025-10-19T00:00:00"/>
    <x v="6"/>
    <x v="15"/>
    <x v="0"/>
    <x v="0"/>
    <d v="2025-11-03T00:00:00"/>
    <n v="1"/>
    <n v="1"/>
    <n v="3"/>
    <x v="0"/>
    <n v="1"/>
    <n v="1"/>
    <n v="1"/>
    <n v="1"/>
  </r>
  <r>
    <x v="881"/>
    <x v="0"/>
    <x v="1"/>
    <x v="28"/>
    <m/>
    <x v="2"/>
    <x v="2"/>
    <x v="1"/>
    <x v="4"/>
    <m/>
    <m/>
    <m/>
    <m/>
    <x v="2"/>
    <n v="1"/>
    <n v="0"/>
    <n v="0"/>
    <n v="0"/>
  </r>
  <r>
    <x v="882"/>
    <x v="2"/>
    <x v="0"/>
    <x v="23"/>
    <d v="2025-10-22T00:00:00"/>
    <x v="26"/>
    <x v="17"/>
    <x v="0"/>
    <x v="0"/>
    <d v="2025-11-28T00:00:00"/>
    <n v="3"/>
    <n v="4"/>
    <n v="6"/>
    <x v="8"/>
    <n v="1"/>
    <n v="1"/>
    <n v="1"/>
    <n v="1"/>
  </r>
  <r>
    <x v="883"/>
    <x v="0"/>
    <x v="1"/>
    <x v="28"/>
    <m/>
    <x v="2"/>
    <x v="2"/>
    <x v="1"/>
    <x v="2"/>
    <m/>
    <m/>
    <m/>
    <m/>
    <x v="2"/>
    <n v="1"/>
    <n v="0"/>
    <n v="0"/>
    <n v="0"/>
  </r>
  <r>
    <x v="884"/>
    <x v="2"/>
    <x v="2"/>
    <x v="5"/>
    <d v="2025-10-31T00:00:00"/>
    <x v="10"/>
    <x v="4"/>
    <x v="0"/>
    <x v="0"/>
    <d v="2025-12-02T00:00:00"/>
    <n v="4"/>
    <n v="2"/>
    <n v="5"/>
    <x v="11"/>
    <n v="1"/>
    <n v="1"/>
    <n v="1"/>
    <n v="1"/>
  </r>
  <r>
    <x v="885"/>
    <x v="1"/>
    <x v="2"/>
    <x v="3"/>
    <d v="2025-11-02T00:00:00"/>
    <x v="9"/>
    <x v="10"/>
    <x v="0"/>
    <x v="0"/>
    <d v="2025-11-29T00:00:00"/>
    <n v="5"/>
    <n v="4"/>
    <n v="7"/>
    <x v="9"/>
    <n v="1"/>
    <n v="1"/>
    <n v="1"/>
    <n v="1"/>
  </r>
  <r>
    <x v="886"/>
    <x v="2"/>
    <x v="1"/>
    <x v="24"/>
    <m/>
    <x v="2"/>
    <x v="2"/>
    <x v="1"/>
    <x v="3"/>
    <m/>
    <m/>
    <m/>
    <m/>
    <x v="2"/>
    <n v="1"/>
    <n v="0"/>
    <n v="0"/>
    <n v="0"/>
  </r>
  <r>
    <x v="887"/>
    <x v="3"/>
    <x v="0"/>
    <x v="1"/>
    <d v="2025-10-15T00:00:00"/>
    <x v="11"/>
    <x v="15"/>
    <x v="0"/>
    <x v="0"/>
    <d v="2025-11-17T00:00:00"/>
    <n v="4"/>
    <n v="3"/>
    <n v="5"/>
    <x v="11"/>
    <n v="1"/>
    <n v="1"/>
    <n v="1"/>
    <n v="1"/>
  </r>
  <r>
    <x v="888"/>
    <x v="1"/>
    <x v="0"/>
    <x v="22"/>
    <d v="2025-10-27T00:00:00"/>
    <x v="8"/>
    <x v="26"/>
    <x v="0"/>
    <x v="0"/>
    <d v="2025-11-22T00:00:00"/>
    <n v="2"/>
    <n v="1"/>
    <n v="5"/>
    <x v="3"/>
    <n v="1"/>
    <n v="1"/>
    <n v="1"/>
    <n v="1"/>
  </r>
  <r>
    <x v="889"/>
    <x v="3"/>
    <x v="0"/>
    <x v="13"/>
    <d v="2025-10-07T00:00:00"/>
    <x v="30"/>
    <x v="38"/>
    <x v="0"/>
    <x v="0"/>
    <d v="2025-10-30T00:00:00"/>
    <n v="2"/>
    <n v="4"/>
    <n v="2"/>
    <x v="8"/>
    <n v="1"/>
    <n v="1"/>
    <n v="1"/>
    <n v="1"/>
  </r>
  <r>
    <x v="890"/>
    <x v="0"/>
    <x v="1"/>
    <x v="19"/>
    <m/>
    <x v="2"/>
    <x v="2"/>
    <x v="1"/>
    <x v="3"/>
    <m/>
    <m/>
    <m/>
    <m/>
    <x v="2"/>
    <n v="1"/>
    <n v="0"/>
    <n v="0"/>
    <n v="0"/>
  </r>
  <r>
    <x v="891"/>
    <x v="0"/>
    <x v="0"/>
    <x v="10"/>
    <d v="2025-11-01T00:00:00"/>
    <x v="7"/>
    <x v="8"/>
    <x v="0"/>
    <x v="0"/>
    <d v="2025-11-20T00:00:00"/>
    <n v="3"/>
    <n v="4"/>
    <n v="5"/>
    <x v="11"/>
    <n v="1"/>
    <n v="1"/>
    <n v="1"/>
    <n v="1"/>
  </r>
  <r>
    <x v="892"/>
    <x v="0"/>
    <x v="0"/>
    <x v="18"/>
    <d v="2025-10-25T00:00:00"/>
    <x v="18"/>
    <x v="0"/>
    <x v="0"/>
    <x v="0"/>
    <d v="2025-11-13T00:00:00"/>
    <n v="5"/>
    <n v="2"/>
    <n v="7"/>
    <x v="11"/>
    <n v="1"/>
    <n v="1"/>
    <n v="1"/>
    <n v="1"/>
  </r>
  <r>
    <x v="893"/>
    <x v="2"/>
    <x v="0"/>
    <x v="2"/>
    <d v="2025-10-04T00:00:00"/>
    <x v="36"/>
    <x v="28"/>
    <x v="0"/>
    <x v="0"/>
    <d v="2025-10-24T00:00:00"/>
    <n v="3"/>
    <n v="3"/>
    <n v="5"/>
    <x v="11"/>
    <n v="1"/>
    <n v="1"/>
    <n v="1"/>
    <n v="1"/>
  </r>
  <r>
    <x v="894"/>
    <x v="1"/>
    <x v="0"/>
    <x v="17"/>
    <d v="2025-10-11T00:00:00"/>
    <x v="21"/>
    <x v="14"/>
    <x v="0"/>
    <x v="0"/>
    <d v="2025-10-29T00:00:00"/>
    <n v="2"/>
    <n v="2"/>
    <n v="3"/>
    <x v="10"/>
    <n v="1"/>
    <n v="1"/>
    <n v="1"/>
    <n v="1"/>
  </r>
  <r>
    <x v="895"/>
    <x v="0"/>
    <x v="0"/>
    <x v="3"/>
    <d v="2025-10-30T00:00:00"/>
    <x v="10"/>
    <x v="13"/>
    <x v="1"/>
    <x v="5"/>
    <m/>
    <n v="2"/>
    <n v="3"/>
    <n v="4"/>
    <x v="2"/>
    <n v="1"/>
    <n v="1"/>
    <n v="1"/>
    <n v="0"/>
  </r>
  <r>
    <x v="896"/>
    <x v="0"/>
    <x v="1"/>
    <x v="13"/>
    <m/>
    <x v="2"/>
    <x v="2"/>
    <x v="1"/>
    <x v="5"/>
    <m/>
    <m/>
    <m/>
    <m/>
    <x v="2"/>
    <n v="1"/>
    <n v="0"/>
    <n v="0"/>
    <n v="0"/>
  </r>
  <r>
    <x v="897"/>
    <x v="1"/>
    <x v="1"/>
    <x v="13"/>
    <m/>
    <x v="2"/>
    <x v="2"/>
    <x v="1"/>
    <x v="3"/>
    <m/>
    <m/>
    <m/>
    <m/>
    <x v="2"/>
    <n v="1"/>
    <n v="0"/>
    <n v="0"/>
    <n v="0"/>
  </r>
  <r>
    <x v="898"/>
    <x v="0"/>
    <x v="1"/>
    <x v="21"/>
    <m/>
    <x v="2"/>
    <x v="2"/>
    <x v="1"/>
    <x v="1"/>
    <m/>
    <m/>
    <m/>
    <m/>
    <x v="2"/>
    <n v="1"/>
    <n v="0"/>
    <n v="0"/>
    <n v="0"/>
  </r>
  <r>
    <x v="899"/>
    <x v="3"/>
    <x v="2"/>
    <x v="17"/>
    <d v="2025-10-13T00:00:00"/>
    <x v="17"/>
    <x v="27"/>
    <x v="0"/>
    <x v="0"/>
    <d v="2025-11-15T00:00:00"/>
    <n v="4"/>
    <n v="2"/>
    <n v="3"/>
    <x v="3"/>
    <n v="1"/>
    <n v="1"/>
    <n v="1"/>
    <n v="1"/>
  </r>
  <r>
    <x v="900"/>
    <x v="1"/>
    <x v="0"/>
    <x v="19"/>
    <d v="2025-10-31T00:00:00"/>
    <x v="4"/>
    <x v="4"/>
    <x v="0"/>
    <x v="0"/>
    <d v="2025-12-02T00:00:00"/>
    <n v="5"/>
    <n v="4"/>
    <n v="3"/>
    <x v="4"/>
    <n v="1"/>
    <n v="1"/>
    <n v="1"/>
    <n v="1"/>
  </r>
  <r>
    <x v="901"/>
    <x v="1"/>
    <x v="0"/>
    <x v="14"/>
    <d v="2025-10-10T00:00:00"/>
    <x v="23"/>
    <x v="27"/>
    <x v="0"/>
    <x v="0"/>
    <d v="2025-11-01T00:00:00"/>
    <n v="4"/>
    <n v="4"/>
    <n v="4"/>
    <x v="6"/>
    <n v="1"/>
    <n v="1"/>
    <n v="1"/>
    <n v="1"/>
  </r>
  <r>
    <x v="902"/>
    <x v="1"/>
    <x v="0"/>
    <x v="7"/>
    <d v="2025-10-08T00:00:00"/>
    <x v="37"/>
    <x v="38"/>
    <x v="0"/>
    <x v="0"/>
    <d v="2025-10-25T00:00:00"/>
    <n v="4"/>
    <n v="1"/>
    <n v="4"/>
    <x v="7"/>
    <n v="1"/>
    <n v="1"/>
    <n v="1"/>
    <n v="1"/>
  </r>
  <r>
    <x v="903"/>
    <x v="3"/>
    <x v="0"/>
    <x v="26"/>
    <d v="2025-10-25T00:00:00"/>
    <x v="0"/>
    <x v="0"/>
    <x v="0"/>
    <x v="0"/>
    <d v="2025-11-29T00:00:00"/>
    <n v="3"/>
    <n v="4"/>
    <n v="5"/>
    <x v="3"/>
    <n v="1"/>
    <n v="1"/>
    <n v="1"/>
    <n v="1"/>
  </r>
  <r>
    <x v="904"/>
    <x v="1"/>
    <x v="1"/>
    <x v="3"/>
    <m/>
    <x v="2"/>
    <x v="2"/>
    <x v="1"/>
    <x v="4"/>
    <m/>
    <m/>
    <m/>
    <m/>
    <x v="2"/>
    <n v="1"/>
    <n v="0"/>
    <n v="0"/>
    <n v="0"/>
  </r>
  <r>
    <x v="905"/>
    <x v="3"/>
    <x v="0"/>
    <x v="2"/>
    <d v="2025-10-05T00:00:00"/>
    <x v="13"/>
    <x v="38"/>
    <x v="0"/>
    <x v="0"/>
    <d v="2025-10-25T00:00:00"/>
    <n v="4"/>
    <n v="5"/>
    <n v="3"/>
    <x v="11"/>
    <n v="1"/>
    <n v="1"/>
    <n v="1"/>
    <n v="1"/>
  </r>
  <r>
    <x v="906"/>
    <x v="1"/>
    <x v="0"/>
    <x v="13"/>
    <d v="2025-10-06T00:00:00"/>
    <x v="13"/>
    <x v="28"/>
    <x v="0"/>
    <x v="0"/>
    <d v="2025-10-25T00:00:00"/>
    <n v="1"/>
    <n v="4"/>
    <n v="2"/>
    <x v="8"/>
    <n v="1"/>
    <n v="1"/>
    <n v="1"/>
    <n v="1"/>
  </r>
  <r>
    <x v="907"/>
    <x v="2"/>
    <x v="2"/>
    <x v="2"/>
    <d v="2025-10-02T00:00:00"/>
    <x v="36"/>
    <x v="38"/>
    <x v="0"/>
    <x v="0"/>
    <d v="2025-10-31T00:00:00"/>
    <n v="1"/>
    <n v="5"/>
    <n v="6"/>
    <x v="0"/>
    <n v="1"/>
    <n v="1"/>
    <n v="1"/>
    <n v="1"/>
  </r>
  <r>
    <x v="908"/>
    <x v="0"/>
    <x v="0"/>
    <x v="9"/>
    <d v="2025-10-16T00:00:00"/>
    <x v="6"/>
    <x v="1"/>
    <x v="0"/>
    <x v="0"/>
    <d v="2025-11-25T00:00:00"/>
    <n v="4"/>
    <n v="4"/>
    <n v="6"/>
    <x v="1"/>
    <n v="1"/>
    <n v="1"/>
    <n v="1"/>
    <n v="1"/>
  </r>
  <r>
    <x v="909"/>
    <x v="2"/>
    <x v="0"/>
    <x v="19"/>
    <d v="2025-10-31T00:00:00"/>
    <x v="7"/>
    <x v="36"/>
    <x v="0"/>
    <x v="0"/>
    <d v="2025-11-28T00:00:00"/>
    <n v="5"/>
    <n v="5"/>
    <n v="6"/>
    <x v="0"/>
    <n v="1"/>
    <n v="1"/>
    <n v="1"/>
    <n v="1"/>
  </r>
  <r>
    <x v="910"/>
    <x v="0"/>
    <x v="0"/>
    <x v="19"/>
    <d v="2025-10-30T00:00:00"/>
    <x v="4"/>
    <x v="4"/>
    <x v="0"/>
    <x v="0"/>
    <d v="2025-12-01T00:00:00"/>
    <n v="4"/>
    <n v="5"/>
    <n v="3"/>
    <x v="8"/>
    <n v="1"/>
    <n v="1"/>
    <n v="1"/>
    <n v="1"/>
  </r>
  <r>
    <x v="911"/>
    <x v="3"/>
    <x v="2"/>
    <x v="24"/>
    <d v="2025-10-10T00:00:00"/>
    <x v="23"/>
    <x v="12"/>
    <x v="0"/>
    <x v="0"/>
    <d v="2025-11-09T00:00:00"/>
    <n v="2"/>
    <n v="4"/>
    <n v="7"/>
    <x v="10"/>
    <n v="1"/>
    <n v="1"/>
    <n v="1"/>
    <n v="1"/>
  </r>
  <r>
    <x v="912"/>
    <x v="2"/>
    <x v="2"/>
    <x v="23"/>
    <d v="2025-10-21T00:00:00"/>
    <x v="26"/>
    <x v="9"/>
    <x v="0"/>
    <x v="0"/>
    <d v="2025-11-17T00:00:00"/>
    <n v="2"/>
    <n v="5"/>
    <n v="4"/>
    <x v="1"/>
    <n v="1"/>
    <n v="1"/>
    <n v="1"/>
    <n v="1"/>
  </r>
  <r>
    <x v="913"/>
    <x v="1"/>
    <x v="0"/>
    <x v="1"/>
    <d v="2025-10-16T00:00:00"/>
    <x v="25"/>
    <x v="31"/>
    <x v="0"/>
    <x v="0"/>
    <d v="2025-11-15T00:00:00"/>
    <n v="5"/>
    <n v="1"/>
    <n v="5"/>
    <x v="3"/>
    <n v="1"/>
    <n v="1"/>
    <n v="1"/>
    <n v="1"/>
  </r>
  <r>
    <x v="914"/>
    <x v="0"/>
    <x v="2"/>
    <x v="2"/>
    <d v="2025-10-04T00:00:00"/>
    <x v="36"/>
    <x v="28"/>
    <x v="0"/>
    <x v="0"/>
    <d v="2025-10-23T00:00:00"/>
    <n v="3"/>
    <n v="3"/>
    <n v="5"/>
    <x v="8"/>
    <n v="1"/>
    <n v="1"/>
    <n v="1"/>
    <n v="1"/>
  </r>
  <r>
    <x v="915"/>
    <x v="0"/>
    <x v="2"/>
    <x v="14"/>
    <d v="2025-10-07T00:00:00"/>
    <x v="14"/>
    <x v="27"/>
    <x v="0"/>
    <x v="0"/>
    <d v="2025-10-31T00:00:00"/>
    <n v="1"/>
    <n v="5"/>
    <n v="6"/>
    <x v="10"/>
    <n v="1"/>
    <n v="1"/>
    <n v="1"/>
    <n v="1"/>
  </r>
  <r>
    <x v="916"/>
    <x v="2"/>
    <x v="2"/>
    <x v="17"/>
    <d v="2025-10-10T00:00:00"/>
    <x v="17"/>
    <x v="22"/>
    <x v="0"/>
    <x v="0"/>
    <d v="2025-11-04T00:00:00"/>
    <n v="1"/>
    <n v="5"/>
    <n v="5"/>
    <x v="5"/>
    <n v="1"/>
    <n v="1"/>
    <n v="1"/>
    <n v="1"/>
  </r>
  <r>
    <x v="917"/>
    <x v="3"/>
    <x v="2"/>
    <x v="30"/>
    <d v="2025-10-05T00:00:00"/>
    <x v="29"/>
    <x v="29"/>
    <x v="0"/>
    <x v="0"/>
    <d v="2025-10-19T00:00:00"/>
    <n v="3"/>
    <n v="1"/>
    <n v="2"/>
    <x v="1"/>
    <n v="1"/>
    <n v="1"/>
    <n v="1"/>
    <n v="1"/>
  </r>
  <r>
    <x v="918"/>
    <x v="2"/>
    <x v="2"/>
    <x v="13"/>
    <d v="2025-10-09T00:00:00"/>
    <x v="13"/>
    <x v="28"/>
    <x v="0"/>
    <x v="0"/>
    <d v="2025-10-31T00:00:00"/>
    <n v="4"/>
    <n v="1"/>
    <n v="2"/>
    <x v="10"/>
    <n v="1"/>
    <n v="1"/>
    <n v="1"/>
    <n v="1"/>
  </r>
  <r>
    <x v="919"/>
    <x v="3"/>
    <x v="0"/>
    <x v="15"/>
    <d v="2025-10-29T00:00:00"/>
    <x v="31"/>
    <x v="34"/>
    <x v="0"/>
    <x v="0"/>
    <d v="2025-11-25T00:00:00"/>
    <n v="5"/>
    <n v="2"/>
    <n v="4"/>
    <x v="5"/>
    <n v="1"/>
    <n v="1"/>
    <n v="1"/>
    <n v="1"/>
  </r>
  <r>
    <x v="920"/>
    <x v="3"/>
    <x v="0"/>
    <x v="4"/>
    <d v="2025-10-18T00:00:00"/>
    <x v="3"/>
    <x v="1"/>
    <x v="0"/>
    <x v="0"/>
    <d v="2025-11-15T00:00:00"/>
    <n v="4"/>
    <n v="3"/>
    <n v="5"/>
    <x v="6"/>
    <n v="1"/>
    <n v="1"/>
    <n v="1"/>
    <n v="1"/>
  </r>
  <r>
    <x v="921"/>
    <x v="0"/>
    <x v="1"/>
    <x v="16"/>
    <m/>
    <x v="2"/>
    <x v="2"/>
    <x v="1"/>
    <x v="1"/>
    <m/>
    <m/>
    <m/>
    <m/>
    <x v="2"/>
    <n v="1"/>
    <n v="0"/>
    <n v="0"/>
    <n v="0"/>
  </r>
  <r>
    <x v="922"/>
    <x v="2"/>
    <x v="0"/>
    <x v="7"/>
    <d v="2025-10-07T00:00:00"/>
    <x v="37"/>
    <x v="28"/>
    <x v="0"/>
    <x v="0"/>
    <d v="2025-11-04T00:00:00"/>
    <n v="3"/>
    <n v="2"/>
    <n v="3"/>
    <x v="5"/>
    <n v="1"/>
    <n v="1"/>
    <n v="1"/>
    <n v="1"/>
  </r>
  <r>
    <x v="923"/>
    <x v="2"/>
    <x v="0"/>
    <x v="15"/>
    <d v="2025-10-29T00:00:00"/>
    <x v="22"/>
    <x v="11"/>
    <x v="0"/>
    <x v="0"/>
    <d v="2025-11-21T00:00:00"/>
    <n v="5"/>
    <n v="5"/>
    <n v="5"/>
    <x v="5"/>
    <n v="1"/>
    <n v="1"/>
    <n v="1"/>
    <n v="1"/>
  </r>
  <r>
    <x v="924"/>
    <x v="3"/>
    <x v="2"/>
    <x v="25"/>
    <d v="2025-10-04T00:00:00"/>
    <x v="32"/>
    <x v="29"/>
    <x v="0"/>
    <x v="0"/>
    <d v="2025-10-21T00:00:00"/>
    <n v="1"/>
    <n v="1"/>
    <n v="3"/>
    <x v="5"/>
    <n v="1"/>
    <n v="1"/>
    <n v="1"/>
    <n v="1"/>
  </r>
  <r>
    <x v="925"/>
    <x v="2"/>
    <x v="2"/>
    <x v="6"/>
    <d v="2025-10-17T00:00:00"/>
    <x v="24"/>
    <x v="21"/>
    <x v="0"/>
    <x v="0"/>
    <d v="2025-11-09T00:00:00"/>
    <n v="1"/>
    <n v="5"/>
    <n v="7"/>
    <x v="0"/>
    <n v="1"/>
    <n v="1"/>
    <n v="1"/>
    <n v="1"/>
  </r>
  <r>
    <x v="926"/>
    <x v="1"/>
    <x v="0"/>
    <x v="11"/>
    <d v="2025-10-19T00:00:00"/>
    <x v="16"/>
    <x v="21"/>
    <x v="0"/>
    <x v="0"/>
    <d v="2025-11-08T00:00:00"/>
    <n v="4"/>
    <n v="4"/>
    <n v="6"/>
    <x v="11"/>
    <n v="1"/>
    <n v="1"/>
    <n v="1"/>
    <n v="1"/>
  </r>
  <r>
    <x v="927"/>
    <x v="1"/>
    <x v="2"/>
    <x v="22"/>
    <d v="2025-10-27T00:00:00"/>
    <x v="15"/>
    <x v="26"/>
    <x v="1"/>
    <x v="4"/>
    <m/>
    <n v="2"/>
    <n v="3"/>
    <n v="3"/>
    <x v="2"/>
    <n v="1"/>
    <n v="1"/>
    <n v="1"/>
    <n v="0"/>
  </r>
  <r>
    <x v="928"/>
    <x v="2"/>
    <x v="0"/>
    <x v="9"/>
    <d v="2025-10-15T00:00:00"/>
    <x v="1"/>
    <x v="1"/>
    <x v="0"/>
    <x v="0"/>
    <d v="2025-11-09T00:00:00"/>
    <n v="3"/>
    <n v="4"/>
    <n v="7"/>
    <x v="1"/>
    <n v="1"/>
    <n v="1"/>
    <n v="1"/>
    <n v="1"/>
  </r>
  <r>
    <x v="929"/>
    <x v="2"/>
    <x v="0"/>
    <x v="16"/>
    <d v="2025-10-20T00:00:00"/>
    <x v="3"/>
    <x v="32"/>
    <x v="0"/>
    <x v="0"/>
    <d v="2025-11-26T00:00:00"/>
    <n v="3"/>
    <n v="1"/>
    <n v="6"/>
    <x v="10"/>
    <n v="1"/>
    <n v="1"/>
    <n v="1"/>
    <n v="1"/>
  </r>
  <r>
    <x v="930"/>
    <x v="3"/>
    <x v="0"/>
    <x v="23"/>
    <d v="2025-10-23T00:00:00"/>
    <x v="28"/>
    <x v="1"/>
    <x v="0"/>
    <x v="0"/>
    <d v="2025-11-10T00:00:00"/>
    <n v="4"/>
    <n v="1"/>
    <n v="2"/>
    <x v="11"/>
    <n v="1"/>
    <n v="1"/>
    <n v="1"/>
    <n v="1"/>
  </r>
  <r>
    <x v="931"/>
    <x v="1"/>
    <x v="2"/>
    <x v="7"/>
    <d v="2025-10-07T00:00:00"/>
    <x v="5"/>
    <x v="38"/>
    <x v="0"/>
    <x v="0"/>
    <d v="2025-11-02T00:00:00"/>
    <n v="3"/>
    <n v="1"/>
    <n v="5"/>
    <x v="3"/>
    <n v="1"/>
    <n v="1"/>
    <n v="1"/>
    <n v="1"/>
  </r>
  <r>
    <x v="932"/>
    <x v="1"/>
    <x v="0"/>
    <x v="11"/>
    <d v="2025-10-16T00:00:00"/>
    <x v="1"/>
    <x v="1"/>
    <x v="0"/>
    <x v="0"/>
    <d v="2025-11-16T00:00:00"/>
    <n v="1"/>
    <n v="3"/>
    <n v="7"/>
    <x v="0"/>
    <n v="1"/>
    <n v="1"/>
    <n v="1"/>
    <n v="1"/>
  </r>
  <r>
    <x v="933"/>
    <x v="0"/>
    <x v="0"/>
    <x v="16"/>
    <d v="2025-10-21T00:00:00"/>
    <x v="16"/>
    <x v="32"/>
    <x v="1"/>
    <x v="3"/>
    <m/>
    <n v="4"/>
    <n v="2"/>
    <n v="4"/>
    <x v="2"/>
    <n v="1"/>
    <n v="1"/>
    <n v="1"/>
    <n v="0"/>
  </r>
  <r>
    <x v="934"/>
    <x v="3"/>
    <x v="2"/>
    <x v="24"/>
    <d v="2025-10-09T00:00:00"/>
    <x v="23"/>
    <x v="19"/>
    <x v="0"/>
    <x v="0"/>
    <d v="2025-11-12T00:00:00"/>
    <n v="1"/>
    <n v="5"/>
    <n v="5"/>
    <x v="3"/>
    <n v="1"/>
    <n v="1"/>
    <n v="1"/>
    <n v="1"/>
  </r>
  <r>
    <x v="935"/>
    <x v="0"/>
    <x v="0"/>
    <x v="8"/>
    <d v="2025-11-05T00:00:00"/>
    <x v="39"/>
    <x v="43"/>
    <x v="0"/>
    <x v="0"/>
    <d v="2025-12-15T00:00:00"/>
    <n v="5"/>
    <n v="5"/>
    <n v="6"/>
    <x v="0"/>
    <n v="1"/>
    <n v="1"/>
    <n v="1"/>
    <n v="1"/>
  </r>
  <r>
    <x v="936"/>
    <x v="1"/>
    <x v="0"/>
    <x v="18"/>
    <d v="2025-10-25T00:00:00"/>
    <x v="15"/>
    <x v="34"/>
    <x v="0"/>
    <x v="0"/>
    <d v="2025-11-22T00:00:00"/>
    <n v="5"/>
    <n v="5"/>
    <n v="5"/>
    <x v="8"/>
    <n v="1"/>
    <n v="1"/>
    <n v="1"/>
    <n v="1"/>
  </r>
  <r>
    <x v="937"/>
    <x v="3"/>
    <x v="1"/>
    <x v="30"/>
    <m/>
    <x v="2"/>
    <x v="2"/>
    <x v="1"/>
    <x v="5"/>
    <m/>
    <m/>
    <m/>
    <m/>
    <x v="2"/>
    <n v="1"/>
    <n v="0"/>
    <n v="0"/>
    <n v="0"/>
  </r>
  <r>
    <x v="938"/>
    <x v="2"/>
    <x v="2"/>
    <x v="15"/>
    <d v="2025-10-26T00:00:00"/>
    <x v="31"/>
    <x v="34"/>
    <x v="0"/>
    <x v="0"/>
    <d v="2025-11-16T00:00:00"/>
    <n v="2"/>
    <n v="5"/>
    <n v="4"/>
    <x v="11"/>
    <n v="1"/>
    <n v="1"/>
    <n v="1"/>
    <n v="1"/>
  </r>
  <r>
    <x v="939"/>
    <x v="3"/>
    <x v="1"/>
    <x v="19"/>
    <m/>
    <x v="2"/>
    <x v="2"/>
    <x v="1"/>
    <x v="5"/>
    <m/>
    <m/>
    <m/>
    <m/>
    <x v="2"/>
    <n v="1"/>
    <n v="0"/>
    <n v="0"/>
    <n v="0"/>
  </r>
  <r>
    <x v="940"/>
    <x v="2"/>
    <x v="0"/>
    <x v="20"/>
    <d v="2025-11-02T00:00:00"/>
    <x v="38"/>
    <x v="10"/>
    <x v="0"/>
    <x v="0"/>
    <d v="2025-12-04T00:00:00"/>
    <n v="3"/>
    <n v="5"/>
    <n v="6"/>
    <x v="1"/>
    <n v="1"/>
    <n v="1"/>
    <n v="1"/>
    <n v="1"/>
  </r>
  <r>
    <x v="941"/>
    <x v="2"/>
    <x v="0"/>
    <x v="3"/>
    <d v="2025-11-02T00:00:00"/>
    <x v="4"/>
    <x v="8"/>
    <x v="0"/>
    <x v="0"/>
    <d v="2025-11-30T00:00:00"/>
    <n v="5"/>
    <n v="2"/>
    <n v="6"/>
    <x v="7"/>
    <n v="1"/>
    <n v="1"/>
    <n v="1"/>
    <n v="1"/>
  </r>
  <r>
    <x v="942"/>
    <x v="3"/>
    <x v="2"/>
    <x v="26"/>
    <d v="2025-10-25T00:00:00"/>
    <x v="0"/>
    <x v="26"/>
    <x v="0"/>
    <x v="0"/>
    <d v="2025-11-17T00:00:00"/>
    <n v="3"/>
    <n v="4"/>
    <n v="4"/>
    <x v="8"/>
    <n v="1"/>
    <n v="1"/>
    <n v="1"/>
    <n v="1"/>
  </r>
  <r>
    <x v="943"/>
    <x v="2"/>
    <x v="0"/>
    <x v="16"/>
    <d v="2025-10-18T00:00:00"/>
    <x v="3"/>
    <x v="1"/>
    <x v="0"/>
    <x v="0"/>
    <d v="2025-11-08T00:00:00"/>
    <n v="1"/>
    <n v="3"/>
    <n v="5"/>
    <x v="0"/>
    <n v="1"/>
    <n v="1"/>
    <n v="1"/>
    <n v="1"/>
  </r>
  <r>
    <x v="944"/>
    <x v="0"/>
    <x v="2"/>
    <x v="29"/>
    <d v="2025-10-14T00:00:00"/>
    <x v="11"/>
    <x v="31"/>
    <x v="0"/>
    <x v="0"/>
    <d v="2025-11-13T00:00:00"/>
    <n v="4"/>
    <n v="4"/>
    <n v="4"/>
    <x v="9"/>
    <n v="1"/>
    <n v="1"/>
    <n v="1"/>
    <n v="1"/>
  </r>
  <r>
    <x v="945"/>
    <x v="1"/>
    <x v="0"/>
    <x v="11"/>
    <d v="2025-10-20T00:00:00"/>
    <x v="28"/>
    <x v="32"/>
    <x v="0"/>
    <x v="0"/>
    <d v="2025-11-18T00:00:00"/>
    <n v="5"/>
    <n v="4"/>
    <n v="3"/>
    <x v="5"/>
    <n v="1"/>
    <n v="1"/>
    <n v="1"/>
    <n v="1"/>
  </r>
  <r>
    <x v="946"/>
    <x v="2"/>
    <x v="2"/>
    <x v="0"/>
    <d v="2025-10-25T00:00:00"/>
    <x v="15"/>
    <x v="17"/>
    <x v="0"/>
    <x v="0"/>
    <d v="2025-11-25T00:00:00"/>
    <n v="4"/>
    <n v="5"/>
    <n v="2"/>
    <x v="5"/>
    <n v="1"/>
    <n v="1"/>
    <n v="1"/>
    <n v="1"/>
  </r>
  <r>
    <x v="947"/>
    <x v="0"/>
    <x v="1"/>
    <x v="8"/>
    <m/>
    <x v="2"/>
    <x v="2"/>
    <x v="1"/>
    <x v="1"/>
    <m/>
    <m/>
    <m/>
    <m/>
    <x v="2"/>
    <n v="1"/>
    <n v="0"/>
    <n v="0"/>
    <n v="0"/>
  </r>
  <r>
    <x v="948"/>
    <x v="2"/>
    <x v="0"/>
    <x v="2"/>
    <d v="2025-10-06T00:00:00"/>
    <x v="30"/>
    <x v="6"/>
    <x v="0"/>
    <x v="0"/>
    <d v="2025-11-02T00:00:00"/>
    <n v="5"/>
    <n v="5"/>
    <n v="4"/>
    <x v="1"/>
    <n v="1"/>
    <n v="1"/>
    <n v="1"/>
    <n v="1"/>
  </r>
  <r>
    <x v="949"/>
    <x v="1"/>
    <x v="0"/>
    <x v="30"/>
    <d v="2025-10-05T00:00:00"/>
    <x v="36"/>
    <x v="38"/>
    <x v="0"/>
    <x v="0"/>
    <d v="2025-11-04T00:00:00"/>
    <n v="3"/>
    <n v="2"/>
    <n v="6"/>
    <x v="0"/>
    <n v="1"/>
    <n v="1"/>
    <n v="1"/>
    <n v="1"/>
  </r>
  <r>
    <x v="950"/>
    <x v="0"/>
    <x v="2"/>
    <x v="6"/>
    <d v="2025-10-21T00:00:00"/>
    <x v="28"/>
    <x v="32"/>
    <x v="0"/>
    <x v="0"/>
    <d v="2025-11-21T00:00:00"/>
    <n v="5"/>
    <n v="3"/>
    <n v="3"/>
    <x v="9"/>
    <n v="1"/>
    <n v="1"/>
    <n v="1"/>
    <n v="1"/>
  </r>
  <r>
    <x v="951"/>
    <x v="1"/>
    <x v="2"/>
    <x v="3"/>
    <d v="2025-11-02T00:00:00"/>
    <x v="22"/>
    <x v="18"/>
    <x v="0"/>
    <x v="0"/>
    <d v="2025-11-28T00:00:00"/>
    <n v="5"/>
    <n v="1"/>
    <n v="2"/>
    <x v="10"/>
    <n v="1"/>
    <n v="1"/>
    <n v="1"/>
    <n v="1"/>
  </r>
  <r>
    <x v="952"/>
    <x v="1"/>
    <x v="0"/>
    <x v="27"/>
    <d v="2025-10-14T00:00:00"/>
    <x v="11"/>
    <x v="31"/>
    <x v="0"/>
    <x v="0"/>
    <d v="2025-11-21T00:00:00"/>
    <n v="1"/>
    <n v="4"/>
    <n v="4"/>
    <x v="10"/>
    <n v="1"/>
    <n v="1"/>
    <n v="1"/>
    <n v="1"/>
  </r>
  <r>
    <x v="953"/>
    <x v="0"/>
    <x v="0"/>
    <x v="4"/>
    <d v="2025-10-16T00:00:00"/>
    <x v="25"/>
    <x v="19"/>
    <x v="0"/>
    <x v="0"/>
    <d v="2025-11-03T00:00:00"/>
    <n v="2"/>
    <n v="1"/>
    <n v="2"/>
    <x v="5"/>
    <n v="1"/>
    <n v="1"/>
    <n v="1"/>
    <n v="1"/>
  </r>
  <r>
    <x v="954"/>
    <x v="0"/>
    <x v="2"/>
    <x v="26"/>
    <d v="2025-10-23T00:00:00"/>
    <x v="26"/>
    <x v="24"/>
    <x v="0"/>
    <x v="0"/>
    <d v="2025-11-13T00:00:00"/>
    <n v="1"/>
    <n v="3"/>
    <n v="5"/>
    <x v="10"/>
    <n v="1"/>
    <n v="1"/>
    <n v="1"/>
    <n v="1"/>
  </r>
  <r>
    <x v="955"/>
    <x v="0"/>
    <x v="0"/>
    <x v="7"/>
    <d v="2025-10-08T00:00:00"/>
    <x v="14"/>
    <x v="27"/>
    <x v="0"/>
    <x v="0"/>
    <d v="2025-11-01T00:00:00"/>
    <n v="4"/>
    <n v="4"/>
    <n v="6"/>
    <x v="0"/>
    <n v="1"/>
    <n v="1"/>
    <n v="1"/>
    <n v="1"/>
  </r>
  <r>
    <x v="956"/>
    <x v="3"/>
    <x v="1"/>
    <x v="6"/>
    <m/>
    <x v="2"/>
    <x v="2"/>
    <x v="1"/>
    <x v="5"/>
    <m/>
    <m/>
    <m/>
    <m/>
    <x v="2"/>
    <n v="1"/>
    <n v="0"/>
    <n v="0"/>
    <n v="0"/>
  </r>
  <r>
    <x v="957"/>
    <x v="0"/>
    <x v="0"/>
    <x v="12"/>
    <d v="2025-10-26T00:00:00"/>
    <x v="18"/>
    <x v="24"/>
    <x v="0"/>
    <x v="0"/>
    <d v="2025-11-11T00:00:00"/>
    <n v="3"/>
    <n v="1"/>
    <n v="4"/>
    <x v="4"/>
    <n v="1"/>
    <n v="1"/>
    <n v="1"/>
    <n v="1"/>
  </r>
  <r>
    <x v="958"/>
    <x v="0"/>
    <x v="0"/>
    <x v="20"/>
    <d v="2025-11-02T00:00:00"/>
    <x v="22"/>
    <x v="23"/>
    <x v="0"/>
    <x v="0"/>
    <d v="2025-11-24T00:00:00"/>
    <n v="3"/>
    <n v="1"/>
    <n v="6"/>
    <x v="10"/>
    <n v="1"/>
    <n v="1"/>
    <n v="1"/>
    <n v="1"/>
  </r>
  <r>
    <x v="959"/>
    <x v="0"/>
    <x v="1"/>
    <x v="11"/>
    <m/>
    <x v="2"/>
    <x v="2"/>
    <x v="1"/>
    <x v="3"/>
    <m/>
    <m/>
    <m/>
    <m/>
    <x v="2"/>
    <n v="1"/>
    <n v="0"/>
    <n v="0"/>
    <n v="0"/>
  </r>
  <r>
    <x v="960"/>
    <x v="0"/>
    <x v="2"/>
    <x v="25"/>
    <d v="2025-10-08T00:00:00"/>
    <x v="13"/>
    <x v="38"/>
    <x v="0"/>
    <x v="0"/>
    <d v="2025-10-26T00:00:00"/>
    <n v="5"/>
    <n v="2"/>
    <n v="3"/>
    <x v="1"/>
    <n v="1"/>
    <n v="1"/>
    <n v="1"/>
    <n v="1"/>
  </r>
  <r>
    <x v="961"/>
    <x v="2"/>
    <x v="0"/>
    <x v="10"/>
    <d v="2025-11-01T00:00:00"/>
    <x v="4"/>
    <x v="4"/>
    <x v="0"/>
    <x v="0"/>
    <d v="2025-11-30T00:00:00"/>
    <n v="3"/>
    <n v="3"/>
    <n v="3"/>
    <x v="5"/>
    <n v="1"/>
    <n v="1"/>
    <n v="1"/>
    <n v="1"/>
  </r>
  <r>
    <x v="962"/>
    <x v="3"/>
    <x v="1"/>
    <x v="25"/>
    <m/>
    <x v="2"/>
    <x v="2"/>
    <x v="1"/>
    <x v="1"/>
    <m/>
    <m/>
    <m/>
    <m/>
    <x v="2"/>
    <n v="1"/>
    <n v="0"/>
    <n v="0"/>
    <n v="0"/>
  </r>
  <r>
    <x v="963"/>
    <x v="1"/>
    <x v="2"/>
    <x v="1"/>
    <d v="2025-10-13T00:00:00"/>
    <x v="20"/>
    <x v="27"/>
    <x v="0"/>
    <x v="0"/>
    <d v="2025-11-15T00:00:00"/>
    <n v="2"/>
    <n v="3"/>
    <n v="2"/>
    <x v="9"/>
    <n v="1"/>
    <n v="1"/>
    <n v="1"/>
    <n v="1"/>
  </r>
  <r>
    <x v="964"/>
    <x v="0"/>
    <x v="0"/>
    <x v="18"/>
    <d v="2025-10-22T00:00:00"/>
    <x v="27"/>
    <x v="5"/>
    <x v="0"/>
    <x v="0"/>
    <d v="2025-11-22T00:00:00"/>
    <n v="2"/>
    <n v="3"/>
    <n v="3"/>
    <x v="3"/>
    <n v="1"/>
    <n v="1"/>
    <n v="1"/>
    <n v="1"/>
  </r>
  <r>
    <x v="965"/>
    <x v="2"/>
    <x v="0"/>
    <x v="13"/>
    <d v="2025-10-10T00:00:00"/>
    <x v="23"/>
    <x v="12"/>
    <x v="0"/>
    <x v="0"/>
    <d v="2025-11-18T00:00:00"/>
    <n v="5"/>
    <n v="4"/>
    <n v="7"/>
    <x v="11"/>
    <n v="1"/>
    <n v="1"/>
    <n v="1"/>
    <n v="1"/>
  </r>
  <r>
    <x v="966"/>
    <x v="2"/>
    <x v="0"/>
    <x v="25"/>
    <d v="2025-10-08T00:00:00"/>
    <x v="13"/>
    <x v="38"/>
    <x v="0"/>
    <x v="0"/>
    <d v="2025-11-06T00:00:00"/>
    <n v="5"/>
    <n v="2"/>
    <n v="3"/>
    <x v="8"/>
    <n v="1"/>
    <n v="1"/>
    <n v="1"/>
    <n v="1"/>
  </r>
  <r>
    <x v="967"/>
    <x v="2"/>
    <x v="0"/>
    <x v="13"/>
    <d v="2025-10-09T00:00:00"/>
    <x v="23"/>
    <x v="27"/>
    <x v="0"/>
    <x v="0"/>
    <d v="2025-11-02T00:00:00"/>
    <n v="4"/>
    <n v="5"/>
    <n v="4"/>
    <x v="11"/>
    <n v="1"/>
    <n v="1"/>
    <n v="1"/>
    <n v="1"/>
  </r>
  <r>
    <x v="968"/>
    <x v="1"/>
    <x v="1"/>
    <x v="17"/>
    <m/>
    <x v="2"/>
    <x v="2"/>
    <x v="1"/>
    <x v="4"/>
    <m/>
    <m/>
    <m/>
    <m/>
    <x v="2"/>
    <n v="1"/>
    <n v="0"/>
    <n v="0"/>
    <n v="0"/>
  </r>
  <r>
    <x v="969"/>
    <x v="0"/>
    <x v="0"/>
    <x v="18"/>
    <d v="2025-10-25T00:00:00"/>
    <x v="0"/>
    <x v="34"/>
    <x v="0"/>
    <x v="0"/>
    <d v="2025-12-03T00:00:00"/>
    <n v="5"/>
    <n v="4"/>
    <n v="6"/>
    <x v="5"/>
    <n v="1"/>
    <n v="1"/>
    <n v="1"/>
    <n v="1"/>
  </r>
  <r>
    <x v="970"/>
    <x v="3"/>
    <x v="2"/>
    <x v="0"/>
    <d v="2025-10-22T00:00:00"/>
    <x v="27"/>
    <x v="17"/>
    <x v="0"/>
    <x v="0"/>
    <d v="2025-11-23T00:00:00"/>
    <n v="1"/>
    <n v="3"/>
    <n v="7"/>
    <x v="4"/>
    <n v="1"/>
    <n v="1"/>
    <n v="1"/>
    <n v="1"/>
  </r>
  <r>
    <x v="971"/>
    <x v="3"/>
    <x v="1"/>
    <x v="23"/>
    <m/>
    <x v="2"/>
    <x v="2"/>
    <x v="1"/>
    <x v="5"/>
    <m/>
    <m/>
    <m/>
    <m/>
    <x v="2"/>
    <n v="1"/>
    <n v="0"/>
    <n v="0"/>
    <n v="0"/>
  </r>
  <r>
    <x v="972"/>
    <x v="2"/>
    <x v="2"/>
    <x v="21"/>
    <d v="2025-10-19T00:00:00"/>
    <x v="16"/>
    <x v="7"/>
    <x v="0"/>
    <x v="0"/>
    <d v="2025-11-15T00:00:00"/>
    <n v="1"/>
    <n v="4"/>
    <n v="2"/>
    <x v="4"/>
    <n v="1"/>
    <n v="1"/>
    <n v="1"/>
    <n v="1"/>
  </r>
  <r>
    <x v="973"/>
    <x v="1"/>
    <x v="0"/>
    <x v="12"/>
    <d v="2025-10-24T00:00:00"/>
    <x v="27"/>
    <x v="5"/>
    <x v="0"/>
    <x v="0"/>
    <d v="2025-11-26T00:00:00"/>
    <n v="1"/>
    <n v="1"/>
    <n v="3"/>
    <x v="3"/>
    <n v="1"/>
    <n v="1"/>
    <n v="1"/>
    <n v="1"/>
  </r>
  <r>
    <x v="974"/>
    <x v="1"/>
    <x v="0"/>
    <x v="1"/>
    <d v="2025-10-13T00:00:00"/>
    <x v="25"/>
    <x v="15"/>
    <x v="0"/>
    <x v="0"/>
    <d v="2025-11-02T00:00:00"/>
    <n v="2"/>
    <n v="4"/>
    <n v="6"/>
    <x v="11"/>
    <n v="1"/>
    <n v="1"/>
    <n v="1"/>
    <n v="1"/>
  </r>
  <r>
    <x v="975"/>
    <x v="1"/>
    <x v="0"/>
    <x v="27"/>
    <d v="2025-10-16T00:00:00"/>
    <x v="6"/>
    <x v="7"/>
    <x v="1"/>
    <x v="2"/>
    <m/>
    <n v="3"/>
    <n v="4"/>
    <n v="5"/>
    <x v="2"/>
    <n v="1"/>
    <n v="1"/>
    <n v="1"/>
    <n v="0"/>
  </r>
  <r>
    <x v="976"/>
    <x v="3"/>
    <x v="0"/>
    <x v="18"/>
    <d v="2025-10-24T00:00:00"/>
    <x v="18"/>
    <x v="24"/>
    <x v="1"/>
    <x v="5"/>
    <m/>
    <n v="4"/>
    <n v="3"/>
    <n v="4"/>
    <x v="2"/>
    <n v="1"/>
    <n v="1"/>
    <n v="1"/>
    <n v="0"/>
  </r>
  <r>
    <x v="977"/>
    <x v="2"/>
    <x v="1"/>
    <x v="16"/>
    <m/>
    <x v="2"/>
    <x v="2"/>
    <x v="1"/>
    <x v="4"/>
    <m/>
    <m/>
    <m/>
    <m/>
    <x v="2"/>
    <n v="1"/>
    <n v="0"/>
    <n v="0"/>
    <n v="0"/>
  </r>
  <r>
    <x v="978"/>
    <x v="0"/>
    <x v="0"/>
    <x v="29"/>
    <d v="2025-10-15T00:00:00"/>
    <x v="20"/>
    <x v="19"/>
    <x v="0"/>
    <x v="0"/>
    <d v="2025-11-02T00:00:00"/>
    <n v="5"/>
    <n v="1"/>
    <n v="3"/>
    <x v="1"/>
    <n v="1"/>
    <n v="1"/>
    <n v="1"/>
    <n v="1"/>
  </r>
  <r>
    <x v="979"/>
    <x v="3"/>
    <x v="0"/>
    <x v="11"/>
    <d v="2025-10-19T00:00:00"/>
    <x v="24"/>
    <x v="7"/>
    <x v="0"/>
    <x v="0"/>
    <d v="2025-11-19T00:00:00"/>
    <n v="4"/>
    <n v="3"/>
    <n v="3"/>
    <x v="7"/>
    <n v="1"/>
    <n v="1"/>
    <n v="1"/>
    <n v="1"/>
  </r>
  <r>
    <x v="980"/>
    <x v="2"/>
    <x v="2"/>
    <x v="16"/>
    <d v="2025-10-19T00:00:00"/>
    <x v="6"/>
    <x v="15"/>
    <x v="0"/>
    <x v="0"/>
    <d v="2025-11-17T00:00:00"/>
    <n v="2"/>
    <n v="1"/>
    <n v="3"/>
    <x v="6"/>
    <n v="1"/>
    <n v="1"/>
    <n v="1"/>
    <n v="1"/>
  </r>
  <r>
    <x v="981"/>
    <x v="2"/>
    <x v="1"/>
    <x v="18"/>
    <m/>
    <x v="2"/>
    <x v="2"/>
    <x v="1"/>
    <x v="1"/>
    <m/>
    <m/>
    <m/>
    <m/>
    <x v="2"/>
    <n v="1"/>
    <n v="0"/>
    <n v="0"/>
    <n v="0"/>
  </r>
  <r>
    <x v="982"/>
    <x v="0"/>
    <x v="1"/>
    <x v="4"/>
    <m/>
    <x v="2"/>
    <x v="2"/>
    <x v="1"/>
    <x v="4"/>
    <m/>
    <m/>
    <m/>
    <m/>
    <x v="2"/>
    <n v="1"/>
    <n v="0"/>
    <n v="0"/>
    <n v="0"/>
  </r>
  <r>
    <x v="983"/>
    <x v="0"/>
    <x v="0"/>
    <x v="7"/>
    <d v="2025-10-09T00:00:00"/>
    <x v="13"/>
    <x v="14"/>
    <x v="0"/>
    <x v="0"/>
    <d v="2025-10-29T00:00:00"/>
    <n v="5"/>
    <n v="1"/>
    <n v="6"/>
    <x v="0"/>
    <n v="1"/>
    <n v="1"/>
    <n v="1"/>
    <n v="1"/>
  </r>
  <r>
    <x v="984"/>
    <x v="0"/>
    <x v="2"/>
    <x v="19"/>
    <d v="2025-10-31T00:00:00"/>
    <x v="12"/>
    <x v="18"/>
    <x v="0"/>
    <x v="0"/>
    <d v="2025-11-28T00:00:00"/>
    <n v="5"/>
    <n v="1"/>
    <n v="4"/>
    <x v="0"/>
    <n v="1"/>
    <n v="1"/>
    <n v="1"/>
    <n v="1"/>
  </r>
  <r>
    <x v="985"/>
    <x v="1"/>
    <x v="2"/>
    <x v="12"/>
    <d v="2025-10-25T00:00:00"/>
    <x v="8"/>
    <x v="34"/>
    <x v="0"/>
    <x v="0"/>
    <d v="2025-11-28T00:00:00"/>
    <n v="2"/>
    <n v="3"/>
    <n v="7"/>
    <x v="11"/>
    <n v="1"/>
    <n v="1"/>
    <n v="1"/>
    <n v="1"/>
  </r>
  <r>
    <x v="986"/>
    <x v="0"/>
    <x v="2"/>
    <x v="7"/>
    <d v="2025-10-07T00:00:00"/>
    <x v="5"/>
    <x v="6"/>
    <x v="0"/>
    <x v="0"/>
    <d v="2025-10-26T00:00:00"/>
    <n v="3"/>
    <n v="1"/>
    <n v="7"/>
    <x v="1"/>
    <n v="1"/>
    <n v="1"/>
    <n v="1"/>
    <n v="1"/>
  </r>
  <r>
    <x v="987"/>
    <x v="2"/>
    <x v="2"/>
    <x v="3"/>
    <d v="2025-11-02T00:00:00"/>
    <x v="4"/>
    <x v="11"/>
    <x v="0"/>
    <x v="0"/>
    <d v="2025-11-20T00:00:00"/>
    <n v="5"/>
    <n v="2"/>
    <n v="4"/>
    <x v="6"/>
    <n v="1"/>
    <n v="1"/>
    <n v="1"/>
    <n v="1"/>
  </r>
  <r>
    <x v="988"/>
    <x v="0"/>
    <x v="0"/>
    <x v="0"/>
    <d v="2025-10-24T00:00:00"/>
    <x v="26"/>
    <x v="17"/>
    <x v="0"/>
    <x v="0"/>
    <d v="2025-11-19T00:00:00"/>
    <n v="3"/>
    <n v="2"/>
    <n v="6"/>
    <x v="8"/>
    <n v="1"/>
    <n v="1"/>
    <n v="1"/>
    <n v="1"/>
  </r>
  <r>
    <x v="989"/>
    <x v="2"/>
    <x v="1"/>
    <x v="0"/>
    <m/>
    <x v="2"/>
    <x v="2"/>
    <x v="1"/>
    <x v="2"/>
    <m/>
    <m/>
    <m/>
    <m/>
    <x v="2"/>
    <n v="1"/>
    <n v="0"/>
    <n v="0"/>
    <n v="0"/>
  </r>
  <r>
    <x v="990"/>
    <x v="3"/>
    <x v="0"/>
    <x v="10"/>
    <d v="2025-10-31T00:00:00"/>
    <x v="7"/>
    <x v="4"/>
    <x v="0"/>
    <x v="0"/>
    <d v="2025-12-07T00:00:00"/>
    <n v="2"/>
    <n v="5"/>
    <n v="2"/>
    <x v="5"/>
    <n v="1"/>
    <n v="1"/>
    <n v="1"/>
    <n v="1"/>
  </r>
  <r>
    <x v="991"/>
    <x v="1"/>
    <x v="2"/>
    <x v="22"/>
    <d v="2025-10-29T00:00:00"/>
    <x v="31"/>
    <x v="4"/>
    <x v="0"/>
    <x v="0"/>
    <d v="2025-11-27T00:00:00"/>
    <n v="4"/>
    <n v="2"/>
    <n v="7"/>
    <x v="9"/>
    <n v="1"/>
    <n v="1"/>
    <n v="1"/>
    <n v="1"/>
  </r>
  <r>
    <x v="992"/>
    <x v="3"/>
    <x v="2"/>
    <x v="21"/>
    <d v="2025-10-23T00:00:00"/>
    <x v="8"/>
    <x v="34"/>
    <x v="0"/>
    <x v="0"/>
    <d v="2025-11-14T00:00:00"/>
    <n v="5"/>
    <n v="5"/>
    <n v="7"/>
    <x v="7"/>
    <n v="1"/>
    <n v="1"/>
    <n v="1"/>
    <n v="1"/>
  </r>
  <r>
    <x v="993"/>
    <x v="3"/>
    <x v="2"/>
    <x v="15"/>
    <d v="2025-10-27T00:00:00"/>
    <x v="0"/>
    <x v="26"/>
    <x v="0"/>
    <x v="0"/>
    <d v="2025-11-28T00:00:00"/>
    <n v="3"/>
    <n v="2"/>
    <n v="4"/>
    <x v="11"/>
    <n v="1"/>
    <n v="1"/>
    <n v="1"/>
    <n v="1"/>
  </r>
  <r>
    <x v="994"/>
    <x v="2"/>
    <x v="2"/>
    <x v="3"/>
    <d v="2025-11-02T00:00:00"/>
    <x v="7"/>
    <x v="36"/>
    <x v="0"/>
    <x v="0"/>
    <d v="2025-12-09T00:00:00"/>
    <n v="5"/>
    <n v="3"/>
    <n v="6"/>
    <x v="10"/>
    <n v="1"/>
    <n v="1"/>
    <n v="1"/>
    <n v="1"/>
  </r>
  <r>
    <x v="995"/>
    <x v="3"/>
    <x v="2"/>
    <x v="28"/>
    <d v="2025-10-10T00:00:00"/>
    <x v="17"/>
    <x v="12"/>
    <x v="0"/>
    <x v="0"/>
    <d v="2025-11-18T00:00:00"/>
    <n v="3"/>
    <n v="5"/>
    <n v="6"/>
    <x v="7"/>
    <n v="1"/>
    <n v="1"/>
    <n v="1"/>
    <n v="1"/>
  </r>
  <r>
    <x v="996"/>
    <x v="2"/>
    <x v="2"/>
    <x v="4"/>
    <d v="2025-10-19T00:00:00"/>
    <x v="16"/>
    <x v="1"/>
    <x v="0"/>
    <x v="0"/>
    <d v="2025-11-12T00:00:00"/>
    <n v="5"/>
    <n v="4"/>
    <n v="3"/>
    <x v="11"/>
    <n v="1"/>
    <n v="1"/>
    <n v="1"/>
    <n v="1"/>
  </r>
  <r>
    <x v="997"/>
    <x v="0"/>
    <x v="0"/>
    <x v="11"/>
    <d v="2025-10-20T00:00:00"/>
    <x v="28"/>
    <x v="9"/>
    <x v="0"/>
    <x v="0"/>
    <d v="2025-11-19T00:00:00"/>
    <n v="5"/>
    <n v="4"/>
    <n v="6"/>
    <x v="9"/>
    <n v="1"/>
    <n v="1"/>
    <n v="1"/>
    <n v="1"/>
  </r>
  <r>
    <x v="998"/>
    <x v="0"/>
    <x v="1"/>
    <x v="10"/>
    <m/>
    <x v="2"/>
    <x v="2"/>
    <x v="1"/>
    <x v="3"/>
    <m/>
    <m/>
    <m/>
    <m/>
    <x v="2"/>
    <n v="1"/>
    <n v="0"/>
    <n v="0"/>
    <n v="0"/>
  </r>
  <r>
    <x v="999"/>
    <x v="2"/>
    <x v="0"/>
    <x v="24"/>
    <d v="2025-10-13T00:00:00"/>
    <x v="17"/>
    <x v="27"/>
    <x v="0"/>
    <x v="0"/>
    <d v="2025-11-13T00:00:00"/>
    <n v="5"/>
    <n v="2"/>
    <n v="3"/>
    <x v="8"/>
    <n v="1"/>
    <n v="1"/>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E7C176-A908-4972-8A73-B1CFBDC8BBA7}"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A3:E8" firstHeaderRow="0" firstDataRow="1" firstDataCol="1"/>
  <pivotFields count="18">
    <pivotField compact="0" outline="0" showAll="0"/>
    <pivotField axis="axisRow" compact="0" outline="0" showAll="0" sortType="descending">
      <items count="5">
        <item x="0"/>
        <item x="3"/>
        <item x="1"/>
        <item x="2"/>
        <item t="default"/>
      </items>
      <autoSortScope>
        <pivotArea dataOnly="0" outline="0" fieldPosition="0">
          <references count="1">
            <reference field="4294967294" count="1" selected="0">
              <x v="3"/>
            </reference>
          </references>
        </pivotArea>
      </autoSortScope>
    </pivotField>
    <pivotField compact="0" outline="0" showAll="0">
      <items count="4">
        <item x="1"/>
        <item x="2"/>
        <item x="0"/>
        <item t="default"/>
      </items>
    </pivotField>
    <pivotField compact="0" numFmtId="164" outline="0"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compact="0" outline="0" showAll="0">
      <items count="3">
        <item x="0"/>
        <item x="1"/>
        <item t="default"/>
      </items>
    </pivotField>
    <pivotField compact="0" outline="0" showAll="0">
      <items count="7">
        <item x="3"/>
        <item x="4"/>
        <item x="2"/>
        <item x="1"/>
        <item x="5"/>
        <item x="0"/>
        <item t="default"/>
      </items>
    </pivotField>
    <pivotField compact="0" outline="0" showAll="0"/>
    <pivotField compact="0" outline="0" showAll="0"/>
    <pivotField compact="0" outline="0" showAll="0"/>
    <pivotField compact="0" outline="0" showAll="0"/>
    <pivotField compact="0" outline="0" showAll="0">
      <items count="13">
        <item x="6"/>
        <item x="10"/>
        <item x="0"/>
        <item x="9"/>
        <item x="8"/>
        <item x="7"/>
        <item x="5"/>
        <item x="11"/>
        <item x="1"/>
        <item x="3"/>
        <item x="4"/>
        <item x="2"/>
        <item t="default"/>
      </items>
    </pivotField>
    <pivotField dataField="1" compact="0" outline="0" showAll="0"/>
    <pivotField dataField="1" compact="0" outline="0" showAll="0"/>
    <pivotField dataField="1" compact="0" outline="0" showAll="0"/>
    <pivotField dataField="1" compact="0" outline="0" showAll="0"/>
  </pivotFields>
  <rowFields count="1">
    <field x="1"/>
  </rowFields>
  <rowItems count="5">
    <i>
      <x v="3"/>
    </i>
    <i>
      <x/>
    </i>
    <i>
      <x v="2"/>
    </i>
    <i>
      <x v="1"/>
    </i>
    <i t="grand">
      <x/>
    </i>
  </rowItems>
  <colFields count="1">
    <field x="-2"/>
  </colFields>
  <colItems count="4">
    <i>
      <x/>
    </i>
    <i i="1">
      <x v="1"/>
    </i>
    <i i="2">
      <x v="2"/>
    </i>
    <i i="3">
      <x v="3"/>
    </i>
  </colItems>
  <dataFields count="4">
    <dataField name="Sum of Total leads" fld="14" baseField="0" baseItem="0"/>
    <dataField name="Sum of Pre-booked" fld="15" baseField="0" baseItem="0"/>
    <dataField name="Sum of Booked" fld="16" baseField="0" baseItem="0"/>
    <dataField name="Sum of Delivered" fld="17" baseField="0" baseItem="0"/>
  </dataFields>
  <chartFormats count="8">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1"/>
          </reference>
          <reference field="1" count="1" selected="0">
            <x v="1"/>
          </reference>
        </references>
      </pivotArea>
    </chartFormat>
    <chartFormat chart="11" format="14">
      <pivotArea type="data" outline="0" fieldPosition="0">
        <references count="2">
          <reference field="4294967294" count="1" selected="0">
            <x v="2"/>
          </reference>
          <reference field="1" count="1" selected="0">
            <x v="1"/>
          </reference>
        </references>
      </pivotArea>
    </chartFormat>
    <chartFormat chart="11" format="15">
      <pivotArea type="data" outline="0" fieldPosition="0">
        <references count="2">
          <reference field="4294967294" count="1" selected="0">
            <x v="3"/>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Lead Conversion Funnel"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75AC8-1D60-4D89-B8FC-FAB74ADC2C4C}"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8" firstHeaderRow="0" firstDataRow="1" firstDataCol="1"/>
  <pivotFields count="18">
    <pivotField compact="0" outline="0" showAll="0"/>
    <pivotField axis="axisRow" compact="0" outline="0" showAll="0">
      <items count="5">
        <item x="0"/>
        <item x="3"/>
        <item x="1"/>
        <item x="2"/>
        <item t="default"/>
      </items>
    </pivotField>
    <pivotField compact="0" outline="0" showAll="0">
      <items count="4">
        <item x="1"/>
        <item x="2"/>
        <item x="0"/>
        <item t="default"/>
      </items>
    </pivotField>
    <pivotField compact="0" numFmtId="164" outline="0"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compact="0" outline="0" showAll="0">
      <items count="3">
        <item x="0"/>
        <item x="1"/>
        <item t="default"/>
      </items>
    </pivotField>
    <pivotField compact="0" outline="0" showAll="0">
      <items count="7">
        <item x="3"/>
        <item x="4"/>
        <item x="2"/>
        <item x="1"/>
        <item x="5"/>
        <item x="0"/>
        <item t="default"/>
      </items>
    </pivotField>
    <pivotField compact="0" outline="0" showAll="0"/>
    <pivotField dataField="1" compact="0" outline="0" showAll="0"/>
    <pivotField dataField="1" compact="0" outline="0" showAll="0"/>
    <pivotField dataField="1" compact="0" outline="0" showAll="0"/>
    <pivotField compact="0" outline="0" showAll="0">
      <items count="13">
        <item x="6"/>
        <item x="10"/>
        <item x="0"/>
        <item x="9"/>
        <item x="8"/>
        <item x="7"/>
        <item x="5"/>
        <item x="11"/>
        <item x="1"/>
        <item x="3"/>
        <item x="4"/>
        <item x="2"/>
        <item t="default"/>
      </items>
    </pivotField>
    <pivotField compact="0" outline="0" showAll="0"/>
    <pivotField compact="0" outline="0" showAll="0"/>
    <pivotField compact="0" outline="0" showAll="0"/>
    <pivotField compact="0" outline="0" showAll="0"/>
  </pivotFields>
  <rowFields count="1">
    <field x="1"/>
  </rowFields>
  <rowItems count="5">
    <i>
      <x/>
    </i>
    <i>
      <x v="1"/>
    </i>
    <i>
      <x v="2"/>
    </i>
    <i>
      <x v="3"/>
    </i>
    <i t="grand">
      <x/>
    </i>
  </rowItems>
  <colFields count="1">
    <field x="-2"/>
  </colFields>
  <colItems count="3">
    <i>
      <x/>
    </i>
    <i i="1">
      <x v="1"/>
    </i>
    <i i="2">
      <x v="2"/>
    </i>
  </colItems>
  <dataFields count="3">
    <dataField name="Average of TAT Pre-Booking (Days)" fld="10" subtotal="average" baseField="0" baseItem="0"/>
    <dataField name="Average of TAT Booking (Days)" fld="11" subtotal="average" baseField="0" baseItem="0"/>
    <dataField name="Average of TAT Delivery (Days)" fld="12" subtotal="average" baseField="0" baseItem="0"/>
  </dataFields>
  <formats count="1">
    <format dxfId="8">
      <pivotArea outline="0" collapsedLevelsAreSubtotals="1" fieldPosition="0"/>
    </format>
  </formats>
  <chartFormats count="3">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A0F76F-DD4F-4D61-B356-37215D4345B9}" name="PivotTable5" cacheId="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8">
  <location ref="A5:G11" firstHeaderRow="1" firstDataRow="2" firstDataCol="1" rowPageCount="1" colPageCount="1"/>
  <pivotFields count="18">
    <pivotField dataField="1" compact="0" outline="0" showAll="0"/>
    <pivotField axis="axisRow" compact="0" outline="0" showAll="0">
      <items count="5">
        <item x="0"/>
        <item x="3"/>
        <item x="1"/>
        <item x="2"/>
        <item t="default"/>
      </items>
    </pivotField>
    <pivotField compact="0" outline="0" showAll="0">
      <items count="4">
        <item x="1"/>
        <item x="2"/>
        <item x="0"/>
        <item t="default"/>
      </items>
    </pivotField>
    <pivotField compact="0" numFmtId="164" outline="0"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axis="axisPage" compact="0" outline="0" showAll="0">
      <items count="3">
        <item h="1" x="0"/>
        <item x="1"/>
        <item t="default"/>
      </items>
    </pivotField>
    <pivotField axis="axisCol" compact="0" outline="0" showAll="0">
      <items count="7">
        <item x="3"/>
        <item x="4"/>
        <item x="2"/>
        <item x="1"/>
        <item x="5"/>
        <item x="0"/>
        <item t="default"/>
      </items>
    </pivotField>
    <pivotField compact="0" outline="0" showAll="0"/>
    <pivotField compact="0" outline="0" showAll="0"/>
    <pivotField compact="0" outline="0" showAll="0"/>
    <pivotField compact="0" outline="0" showAll="0"/>
    <pivotField compact="0" outline="0" showAll="0">
      <items count="13">
        <item x="6"/>
        <item x="10"/>
        <item x="0"/>
        <item x="9"/>
        <item x="8"/>
        <item x="7"/>
        <item x="5"/>
        <item x="11"/>
        <item x="1"/>
        <item x="3"/>
        <item x="4"/>
        <item x="2"/>
        <item t="default"/>
      </items>
    </pivotField>
    <pivotField compact="0" outline="0" showAll="0"/>
    <pivotField compact="0" outline="0" showAll="0"/>
    <pivotField compact="0" outline="0" showAll="0"/>
    <pivotField compact="0" outline="0" showAll="0"/>
  </pivotFields>
  <rowFields count="1">
    <field x="1"/>
  </rowFields>
  <rowItems count="5">
    <i>
      <x/>
    </i>
    <i>
      <x v="1"/>
    </i>
    <i>
      <x v="2"/>
    </i>
    <i>
      <x v="3"/>
    </i>
    <i t="grand">
      <x/>
    </i>
  </rowItems>
  <colFields count="1">
    <field x="8"/>
  </colFields>
  <colItems count="6">
    <i>
      <x/>
    </i>
    <i>
      <x v="1"/>
    </i>
    <i>
      <x v="2"/>
    </i>
    <i>
      <x v="3"/>
    </i>
    <i>
      <x v="4"/>
    </i>
    <i t="grand">
      <x/>
    </i>
  </colItems>
  <pageFields count="1">
    <pageField fld="7" hier="-1"/>
  </pageFields>
  <dataFields count="1">
    <dataField name="Count of Lead ID" fld="0" subtotal="count" baseField="0" baseItem="0"/>
  </dataFields>
  <chartFormats count="7">
    <chartFormat chart="4" format="10" series="1">
      <pivotArea type="data" outline="0" fieldPosition="0">
        <references count="2">
          <reference field="4294967294" count="1" selected="0">
            <x v="0"/>
          </reference>
          <reference field="8" count="1" selected="0">
            <x v="0"/>
          </reference>
        </references>
      </pivotArea>
    </chartFormat>
    <chartFormat chart="4" format="11" series="1">
      <pivotArea type="data" outline="0" fieldPosition="0">
        <references count="2">
          <reference field="4294967294" count="1" selected="0">
            <x v="0"/>
          </reference>
          <reference field="8" count="1" selected="0">
            <x v="1"/>
          </reference>
        </references>
      </pivotArea>
    </chartFormat>
    <chartFormat chart="4" format="12" series="1">
      <pivotArea type="data" outline="0" fieldPosition="0">
        <references count="2">
          <reference field="4294967294" count="1" selected="0">
            <x v="0"/>
          </reference>
          <reference field="8" count="1" selected="0">
            <x v="2"/>
          </reference>
        </references>
      </pivotArea>
    </chartFormat>
    <chartFormat chart="4" format="13" series="1">
      <pivotArea type="data" outline="0" fieldPosition="0">
        <references count="2">
          <reference field="4294967294" count="1" selected="0">
            <x v="0"/>
          </reference>
          <reference field="8" count="1" selected="0">
            <x v="3"/>
          </reference>
        </references>
      </pivotArea>
    </chartFormat>
    <chartFormat chart="4" format="14" series="1">
      <pivotArea type="data" outline="0" fieldPosition="0">
        <references count="2">
          <reference field="4294967294" count="1" selected="0">
            <x v="0"/>
          </reference>
          <reference field="8" count="1" selected="0">
            <x v="4"/>
          </reference>
        </references>
      </pivotArea>
    </chartFormat>
    <chartFormat chart="4" format="15" series="1">
      <pivotArea type="data" outline="0" fieldPosition="0">
        <references count="1">
          <reference field="4294967294" count="1" selected="0">
            <x v="0"/>
          </reference>
        </references>
      </pivotArea>
    </chartFormat>
    <chartFormat chart="4" format="16"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8DA36D-CF14-4460-9AD1-B5227B2C5CE8}"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A3:E9" firstHeaderRow="1" firstDataRow="2" firstDataCol="1"/>
  <pivotFields count="18">
    <pivotField dataField="1" compact="0" outline="0" showAll="0"/>
    <pivotField axis="axisRow" compact="0" outline="0" showAll="0">
      <items count="5">
        <item x="0"/>
        <item x="3"/>
        <item x="1"/>
        <item x="2"/>
        <item t="default"/>
      </items>
    </pivotField>
    <pivotField axis="axisCol" compact="0" outline="0" showAll="0">
      <items count="4">
        <item x="1"/>
        <item x="2"/>
        <item x="0"/>
        <item t="default"/>
      </items>
    </pivotField>
    <pivotField compact="0" numFmtId="164" outline="0" showAll="0">
      <items count="32">
        <item x="2"/>
        <item x="30"/>
        <item x="25"/>
        <item x="7"/>
        <item x="13"/>
        <item x="14"/>
        <item x="28"/>
        <item x="24"/>
        <item x="17"/>
        <item x="29"/>
        <item x="1"/>
        <item x="9"/>
        <item x="27"/>
        <item x="4"/>
        <item x="11"/>
        <item x="6"/>
        <item x="16"/>
        <item x="21"/>
        <item x="23"/>
        <item x="18"/>
        <item x="0"/>
        <item x="26"/>
        <item x="12"/>
        <item x="15"/>
        <item x="22"/>
        <item x="19"/>
        <item x="5"/>
        <item x="3"/>
        <item x="10"/>
        <item x="20"/>
        <item x="8"/>
        <item t="default"/>
      </items>
    </pivotField>
    <pivotField compact="0" outline="0" showAll="0"/>
    <pivotField compact="0" outline="0"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compact="0" outline="0"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compact="0" outline="0" showAll="0">
      <items count="3">
        <item x="0"/>
        <item x="1"/>
        <item t="default"/>
      </items>
    </pivotField>
    <pivotField compact="0" outline="0" showAll="0">
      <items count="7">
        <item x="3"/>
        <item x="4"/>
        <item x="2"/>
        <item x="1"/>
        <item x="5"/>
        <item x="0"/>
        <item t="default"/>
      </items>
    </pivotField>
    <pivotField compact="0" outline="0" showAll="0"/>
    <pivotField compact="0" outline="0" showAll="0"/>
    <pivotField compact="0" outline="0" showAll="0"/>
    <pivotField compact="0" outline="0" showAll="0"/>
    <pivotField compact="0" outline="0" showAll="0">
      <items count="13">
        <item x="6"/>
        <item x="10"/>
        <item x="0"/>
        <item x="9"/>
        <item x="8"/>
        <item x="7"/>
        <item x="5"/>
        <item x="11"/>
        <item x="1"/>
        <item x="3"/>
        <item x="4"/>
        <item x="2"/>
        <item t="default"/>
      </items>
    </pivotField>
    <pivotField compact="0" outline="0" showAll="0"/>
    <pivotField compact="0" outline="0" showAll="0"/>
    <pivotField compact="0" outline="0" showAll="0"/>
    <pivotField compact="0" outline="0" showAll="0"/>
  </pivotFields>
  <rowFields count="1">
    <field x="1"/>
  </rowFields>
  <rowItems count="5">
    <i>
      <x/>
    </i>
    <i>
      <x v="1"/>
    </i>
    <i>
      <x v="2"/>
    </i>
    <i>
      <x v="3"/>
    </i>
    <i t="grand">
      <x/>
    </i>
  </rowItems>
  <colFields count="1">
    <field x="2"/>
  </colFields>
  <colItems count="4">
    <i>
      <x/>
    </i>
    <i>
      <x v="1"/>
    </i>
    <i>
      <x v="2"/>
    </i>
    <i t="grand">
      <x/>
    </i>
  </colItems>
  <dataFields count="1">
    <dataField name="Count of Lead ID" fld="0" subtotal="count" baseField="0" baseItem="0"/>
  </dataFields>
  <chartFormats count="52">
    <chartFormat chart="7" format="33"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7" format="34" series="1">
      <pivotArea type="data" outline="0" fieldPosition="0">
        <references count="2">
          <reference field="4294967294" count="1" selected="0">
            <x v="0"/>
          </reference>
          <reference field="2" count="1" selected="0">
            <x v="1"/>
          </reference>
        </references>
      </pivotArea>
    </chartFormat>
    <chartFormat chart="7" format="35" series="1">
      <pivotArea type="data" outline="0" fieldPosition="0">
        <references count="2">
          <reference field="4294967294" count="1" selected="0">
            <x v="0"/>
          </reference>
          <reference field="2" count="1" selected="0">
            <x v="2"/>
          </reference>
        </references>
      </pivotArea>
    </chartFormat>
    <chartFormat chart="6" format="19" series="1">
      <pivotArea type="data" outline="0" fieldPosition="0">
        <references count="2">
          <reference field="4294967294" count="1" selected="0">
            <x v="0"/>
          </reference>
          <reference field="2" count="1" selected="0">
            <x v="1"/>
          </reference>
        </references>
      </pivotArea>
    </chartFormat>
    <chartFormat chart="6" format="20" series="1">
      <pivotArea type="data" outline="0" fieldPosition="0">
        <references count="2">
          <reference field="4294967294" count="1" selected="0">
            <x v="0"/>
          </reference>
          <reference field="2" count="1" selected="0">
            <x v="2"/>
          </reference>
        </references>
      </pivotArea>
    </chartFormat>
    <chartFormat chart="5" format="4" series="1">
      <pivotArea type="data" outline="0" fieldPosition="0">
        <references count="2">
          <reference field="4294967294" count="1" selected="0">
            <x v="0"/>
          </reference>
          <reference field="2" count="1" selected="0">
            <x v="1"/>
          </reference>
        </references>
      </pivotArea>
    </chartFormat>
    <chartFormat chart="5" format="5" series="1">
      <pivotArea type="data" outline="0" fieldPosition="0">
        <references count="2">
          <reference field="4294967294" count="1" selected="0">
            <x v="0"/>
          </reference>
          <reference field="2" count="1" selected="0">
            <x v="2"/>
          </reference>
        </references>
      </pivotArea>
    </chartFormat>
    <chartFormat chart="3" format="14" series="1">
      <pivotArea type="data" outline="0" fieldPosition="0">
        <references count="2">
          <reference field="4294967294" count="1" selected="0">
            <x v="0"/>
          </reference>
          <reference field="2" count="1" selected="0">
            <x v="1"/>
          </reference>
        </references>
      </pivotArea>
    </chartFormat>
    <chartFormat chart="3" format="15" series="1">
      <pivotArea type="data" outline="0" fieldPosition="0">
        <references count="2">
          <reference field="4294967294" count="1" selected="0">
            <x v="0"/>
          </reference>
          <reference field="2" count="1" selected="0">
            <x v="2"/>
          </reference>
        </references>
      </pivotArea>
    </chartFormat>
    <chartFormat chart="7" format="36" series="1">
      <pivotArea type="data" outline="0" fieldPosition="0">
        <references count="3">
          <reference field="4294967294" count="1" selected="0">
            <x v="0"/>
          </reference>
          <reference field="1" count="1" selected="0">
            <x v="3"/>
          </reference>
          <reference field="2" count="1" selected="0">
            <x v="0"/>
          </reference>
        </references>
      </pivotArea>
    </chartFormat>
    <chartFormat chart="7" format="37" series="1">
      <pivotArea type="data" outline="0" fieldPosition="0">
        <references count="3">
          <reference field="4294967294" count="1" selected="0">
            <x v="0"/>
          </reference>
          <reference field="1" count="1" selected="0">
            <x v="0"/>
          </reference>
          <reference field="2" count="1" selected="0">
            <x v="1"/>
          </reference>
        </references>
      </pivotArea>
    </chartFormat>
    <chartFormat chart="7" format="38" series="1">
      <pivotArea type="data" outline="0" fieldPosition="0">
        <references count="3">
          <reference field="4294967294" count="1" selected="0">
            <x v="0"/>
          </reference>
          <reference field="1" count="1" selected="0">
            <x v="1"/>
          </reference>
          <reference field="2" count="1" selected="0">
            <x v="1"/>
          </reference>
        </references>
      </pivotArea>
    </chartFormat>
    <chartFormat chart="7" format="39" series="1">
      <pivotArea type="data" outline="0" fieldPosition="0">
        <references count="3">
          <reference field="4294967294" count="1" selected="0">
            <x v="0"/>
          </reference>
          <reference field="1" count="1" selected="0">
            <x v="2"/>
          </reference>
          <reference field="2" count="1" selected="0">
            <x v="1"/>
          </reference>
        </references>
      </pivotArea>
    </chartFormat>
    <chartFormat chart="7" format="40" series="1">
      <pivotArea type="data" outline="0" fieldPosition="0">
        <references count="3">
          <reference field="4294967294" count="1" selected="0">
            <x v="0"/>
          </reference>
          <reference field="1" count="1" selected="0">
            <x v="3"/>
          </reference>
          <reference field="2" count="1" selected="0">
            <x v="1"/>
          </reference>
        </references>
      </pivotArea>
    </chartFormat>
    <chartFormat chart="7" format="41" series="1">
      <pivotArea type="data" outline="0" fieldPosition="0">
        <references count="3">
          <reference field="4294967294" count="1" selected="0">
            <x v="0"/>
          </reference>
          <reference field="1" count="1" selected="0">
            <x v="0"/>
          </reference>
          <reference field="2" count="1" selected="0">
            <x v="2"/>
          </reference>
        </references>
      </pivotArea>
    </chartFormat>
    <chartFormat chart="7" format="42" series="1">
      <pivotArea type="data" outline="0" fieldPosition="0">
        <references count="3">
          <reference field="4294967294" count="1" selected="0">
            <x v="0"/>
          </reference>
          <reference field="1" count="1" selected="0">
            <x v="1"/>
          </reference>
          <reference field="2" count="1" selected="0">
            <x v="2"/>
          </reference>
        </references>
      </pivotArea>
    </chartFormat>
    <chartFormat chart="7" format="43" series="1">
      <pivotArea type="data" outline="0" fieldPosition="0">
        <references count="3">
          <reference field="4294967294" count="1" selected="0">
            <x v="0"/>
          </reference>
          <reference field="1" count="1" selected="0">
            <x v="2"/>
          </reference>
          <reference field="2" count="1" selected="0">
            <x v="2"/>
          </reference>
        </references>
      </pivotArea>
    </chartFormat>
    <chartFormat chart="7" format="44" series="1">
      <pivotArea type="data" outline="0" fieldPosition="0">
        <references count="3">
          <reference field="4294967294" count="1" selected="0">
            <x v="0"/>
          </reference>
          <reference field="1" count="1" selected="0">
            <x v="3"/>
          </reference>
          <reference field="2" count="1" selected="0">
            <x v="2"/>
          </reference>
        </references>
      </pivotArea>
    </chartFormat>
    <chartFormat chart="6" format="21" series="1">
      <pivotArea type="data" outline="0" fieldPosition="0">
        <references count="3">
          <reference field="4294967294" count="1" selected="0">
            <x v="0"/>
          </reference>
          <reference field="1" count="1" selected="0">
            <x v="3"/>
          </reference>
          <reference field="2" count="1" selected="0">
            <x v="0"/>
          </reference>
        </references>
      </pivotArea>
    </chartFormat>
    <chartFormat chart="6" format="22" series="1">
      <pivotArea type="data" outline="0" fieldPosition="0">
        <references count="3">
          <reference field="4294967294" count="1" selected="0">
            <x v="0"/>
          </reference>
          <reference field="1" count="1" selected="0">
            <x v="0"/>
          </reference>
          <reference field="2" count="1" selected="0">
            <x v="1"/>
          </reference>
        </references>
      </pivotArea>
    </chartFormat>
    <chartFormat chart="6" format="23" series="1">
      <pivotArea type="data" outline="0" fieldPosition="0">
        <references count="3">
          <reference field="4294967294" count="1" selected="0">
            <x v="0"/>
          </reference>
          <reference field="1" count="1" selected="0">
            <x v="1"/>
          </reference>
          <reference field="2" count="1" selected="0">
            <x v="1"/>
          </reference>
        </references>
      </pivotArea>
    </chartFormat>
    <chartFormat chart="6" format="24" series="1">
      <pivotArea type="data" outline="0" fieldPosition="0">
        <references count="3">
          <reference field="4294967294" count="1" selected="0">
            <x v="0"/>
          </reference>
          <reference field="1" count="1" selected="0">
            <x v="2"/>
          </reference>
          <reference field="2" count="1" selected="0">
            <x v="1"/>
          </reference>
        </references>
      </pivotArea>
    </chartFormat>
    <chartFormat chart="6" format="25" series="1">
      <pivotArea type="data" outline="0" fieldPosition="0">
        <references count="3">
          <reference field="4294967294" count="1" selected="0">
            <x v="0"/>
          </reference>
          <reference field="1" count="1" selected="0">
            <x v="3"/>
          </reference>
          <reference field="2" count="1" selected="0">
            <x v="1"/>
          </reference>
        </references>
      </pivotArea>
    </chartFormat>
    <chartFormat chart="6" format="26" series="1">
      <pivotArea type="data" outline="0" fieldPosition="0">
        <references count="3">
          <reference field="4294967294" count="1" selected="0">
            <x v="0"/>
          </reference>
          <reference field="1" count="1" selected="0">
            <x v="0"/>
          </reference>
          <reference field="2" count="1" selected="0">
            <x v="2"/>
          </reference>
        </references>
      </pivotArea>
    </chartFormat>
    <chartFormat chart="6" format="27" series="1">
      <pivotArea type="data" outline="0" fieldPosition="0">
        <references count="3">
          <reference field="4294967294" count="1" selected="0">
            <x v="0"/>
          </reference>
          <reference field="1" count="1" selected="0">
            <x v="1"/>
          </reference>
          <reference field="2" count="1" selected="0">
            <x v="2"/>
          </reference>
        </references>
      </pivotArea>
    </chartFormat>
    <chartFormat chart="6" format="28" series="1">
      <pivotArea type="data" outline="0" fieldPosition="0">
        <references count="3">
          <reference field="4294967294" count="1" selected="0">
            <x v="0"/>
          </reference>
          <reference field="1" count="1" selected="0">
            <x v="2"/>
          </reference>
          <reference field="2" count="1" selected="0">
            <x v="2"/>
          </reference>
        </references>
      </pivotArea>
    </chartFormat>
    <chartFormat chart="6" format="29" series="1">
      <pivotArea type="data" outline="0" fieldPosition="0">
        <references count="3">
          <reference field="4294967294" count="1" selected="0">
            <x v="0"/>
          </reference>
          <reference field="1" count="1" selected="0">
            <x v="3"/>
          </reference>
          <reference field="2" count="1" selected="0">
            <x v="2"/>
          </reference>
        </references>
      </pivotArea>
    </chartFormat>
    <chartFormat chart="5" format="6" series="1">
      <pivotArea type="data" outline="0" fieldPosition="0">
        <references count="3">
          <reference field="4294967294" count="1" selected="0">
            <x v="0"/>
          </reference>
          <reference field="1" count="1" selected="0">
            <x v="3"/>
          </reference>
          <reference field="2" count="1" selected="0">
            <x v="0"/>
          </reference>
        </references>
      </pivotArea>
    </chartFormat>
    <chartFormat chart="5" format="7" series="1">
      <pivotArea type="data" outline="0" fieldPosition="0">
        <references count="3">
          <reference field="4294967294" count="1" selected="0">
            <x v="0"/>
          </reference>
          <reference field="1" count="1" selected="0">
            <x v="0"/>
          </reference>
          <reference field="2" count="1" selected="0">
            <x v="1"/>
          </reference>
        </references>
      </pivotArea>
    </chartFormat>
    <chartFormat chart="5" format="8" series="1">
      <pivotArea type="data" outline="0" fieldPosition="0">
        <references count="3">
          <reference field="4294967294" count="1" selected="0">
            <x v="0"/>
          </reference>
          <reference field="1" count="1" selected="0">
            <x v="1"/>
          </reference>
          <reference field="2" count="1" selected="0">
            <x v="1"/>
          </reference>
        </references>
      </pivotArea>
    </chartFormat>
    <chartFormat chart="5" format="9" series="1">
      <pivotArea type="data" outline="0" fieldPosition="0">
        <references count="3">
          <reference field="4294967294" count="1" selected="0">
            <x v="0"/>
          </reference>
          <reference field="1" count="1" selected="0">
            <x v="2"/>
          </reference>
          <reference field="2" count="1" selected="0">
            <x v="1"/>
          </reference>
        </references>
      </pivotArea>
    </chartFormat>
    <chartFormat chart="5" format="10" series="1">
      <pivotArea type="data" outline="0" fieldPosition="0">
        <references count="3">
          <reference field="4294967294" count="1" selected="0">
            <x v="0"/>
          </reference>
          <reference field="1" count="1" selected="0">
            <x v="3"/>
          </reference>
          <reference field="2" count="1" selected="0">
            <x v="1"/>
          </reference>
        </references>
      </pivotArea>
    </chartFormat>
    <chartFormat chart="5" format="11" series="1">
      <pivotArea type="data" outline="0" fieldPosition="0">
        <references count="3">
          <reference field="4294967294" count="1" selected="0">
            <x v="0"/>
          </reference>
          <reference field="1" count="1" selected="0">
            <x v="0"/>
          </reference>
          <reference field="2" count="1" selected="0">
            <x v="2"/>
          </reference>
        </references>
      </pivotArea>
    </chartFormat>
    <chartFormat chart="5" format="12" series="1">
      <pivotArea type="data" outline="0" fieldPosition="0">
        <references count="3">
          <reference field="4294967294" count="1" selected="0">
            <x v="0"/>
          </reference>
          <reference field="1" count="1" selected="0">
            <x v="1"/>
          </reference>
          <reference field="2" count="1" selected="0">
            <x v="2"/>
          </reference>
        </references>
      </pivotArea>
    </chartFormat>
    <chartFormat chart="5" format="13" series="1">
      <pivotArea type="data" outline="0" fieldPosition="0">
        <references count="3">
          <reference field="4294967294" count="1" selected="0">
            <x v="0"/>
          </reference>
          <reference field="1" count="1" selected="0">
            <x v="2"/>
          </reference>
          <reference field="2" count="1" selected="0">
            <x v="2"/>
          </reference>
        </references>
      </pivotArea>
    </chartFormat>
    <chartFormat chart="5" format="14" series="1">
      <pivotArea type="data" outline="0" fieldPosition="0">
        <references count="3">
          <reference field="4294967294" count="1" selected="0">
            <x v="0"/>
          </reference>
          <reference field="1" count="1" selected="0">
            <x v="3"/>
          </reference>
          <reference field="2" count="1" selected="0">
            <x v="2"/>
          </reference>
        </references>
      </pivotArea>
    </chartFormat>
    <chartFormat chart="3" format="16" series="1">
      <pivotArea type="data" outline="0" fieldPosition="0">
        <references count="3">
          <reference field="4294967294" count="1" selected="0">
            <x v="0"/>
          </reference>
          <reference field="1" count="1" selected="0">
            <x v="3"/>
          </reference>
          <reference field="2" count="1" selected="0">
            <x v="0"/>
          </reference>
        </references>
      </pivotArea>
    </chartFormat>
    <chartFormat chart="3" format="17" series="1">
      <pivotArea type="data" outline="0" fieldPosition="0">
        <references count="3">
          <reference field="4294967294" count="1" selected="0">
            <x v="0"/>
          </reference>
          <reference field="1" count="1" selected="0">
            <x v="0"/>
          </reference>
          <reference field="2" count="1" selected="0">
            <x v="1"/>
          </reference>
        </references>
      </pivotArea>
    </chartFormat>
    <chartFormat chart="3" format="18" series="1">
      <pivotArea type="data" outline="0" fieldPosition="0">
        <references count="3">
          <reference field="4294967294" count="1" selected="0">
            <x v="0"/>
          </reference>
          <reference field="1" count="1" selected="0">
            <x v="1"/>
          </reference>
          <reference field="2" count="1" selected="0">
            <x v="1"/>
          </reference>
        </references>
      </pivotArea>
    </chartFormat>
    <chartFormat chart="3" format="19" series="1">
      <pivotArea type="data" outline="0" fieldPosition="0">
        <references count="3">
          <reference field="4294967294" count="1" selected="0">
            <x v="0"/>
          </reference>
          <reference field="1" count="1" selected="0">
            <x v="2"/>
          </reference>
          <reference field="2" count="1" selected="0">
            <x v="1"/>
          </reference>
        </references>
      </pivotArea>
    </chartFormat>
    <chartFormat chart="3" format="20" series="1">
      <pivotArea type="data" outline="0" fieldPosition="0">
        <references count="3">
          <reference field="4294967294" count="1" selected="0">
            <x v="0"/>
          </reference>
          <reference field="1" count="1" selected="0">
            <x v="3"/>
          </reference>
          <reference field="2" count="1" selected="0">
            <x v="1"/>
          </reference>
        </references>
      </pivotArea>
    </chartFormat>
    <chartFormat chart="3" format="21" series="1">
      <pivotArea type="data" outline="0" fieldPosition="0">
        <references count="3">
          <reference field="4294967294" count="1" selected="0">
            <x v="0"/>
          </reference>
          <reference field="1" count="1" selected="0">
            <x v="0"/>
          </reference>
          <reference field="2" count="1" selected="0">
            <x v="2"/>
          </reference>
        </references>
      </pivotArea>
    </chartFormat>
    <chartFormat chart="3" format="22" series="1">
      <pivotArea type="data" outline="0" fieldPosition="0">
        <references count="3">
          <reference field="4294967294" count="1" selected="0">
            <x v="0"/>
          </reference>
          <reference field="1" count="1" selected="0">
            <x v="1"/>
          </reference>
          <reference field="2" count="1" selected="0">
            <x v="2"/>
          </reference>
        </references>
      </pivotArea>
    </chartFormat>
    <chartFormat chart="3" format="23" series="1">
      <pivotArea type="data" outline="0" fieldPosition="0">
        <references count="3">
          <reference field="4294967294" count="1" selected="0">
            <x v="0"/>
          </reference>
          <reference field="1" count="1" selected="0">
            <x v="2"/>
          </reference>
          <reference field="2" count="1" selected="0">
            <x v="2"/>
          </reference>
        </references>
      </pivotArea>
    </chartFormat>
    <chartFormat chart="3" format="24" series="1">
      <pivotArea type="data" outline="0" fieldPosition="0">
        <references count="3">
          <reference field="4294967294" count="1" selected="0">
            <x v="0"/>
          </reference>
          <reference field="1" count="1" selected="0">
            <x v="3"/>
          </reference>
          <reference field="2" count="1" selected="0">
            <x v="2"/>
          </reference>
        </references>
      </pivotArea>
    </chartFormat>
    <chartFormat chart="23" format="6" series="1">
      <pivotArea type="data" outline="0" fieldPosition="0">
        <references count="2">
          <reference field="4294967294" count="1" selected="0">
            <x v="0"/>
          </reference>
          <reference field="2" count="1" selected="0">
            <x v="0"/>
          </reference>
        </references>
      </pivotArea>
    </chartFormat>
    <chartFormat chart="23" format="7" series="1">
      <pivotArea type="data" outline="0" fieldPosition="0">
        <references count="2">
          <reference field="4294967294" count="1" selected="0">
            <x v="0"/>
          </reference>
          <reference field="2" count="1" selected="0">
            <x v="1"/>
          </reference>
        </references>
      </pivotArea>
    </chartFormat>
    <chartFormat chart="23" format="8" series="1">
      <pivotArea type="data" outline="0" fieldPosition="0">
        <references count="2">
          <reference field="4294967294" count="1" selected="0">
            <x v="0"/>
          </reference>
          <reference field="2" count="1" selected="0">
            <x v="2"/>
          </reference>
        </references>
      </pivotArea>
    </chartFormat>
    <chartFormat chart="2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16B47-A924-4866-B8C7-3A9588BF69C1}"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E9" firstHeaderRow="1" firstDataRow="2" firstDataCol="1"/>
  <pivotFields count="19">
    <pivotField compact="0" outline="0" showAll="0"/>
    <pivotField axis="axisRow" compact="0" outline="0" showAll="0">
      <items count="5">
        <item x="0"/>
        <item x="3"/>
        <item x="1"/>
        <item x="2"/>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Col" compact="0" outline="0" showAll="0">
      <items count="5">
        <item h="1" x="2"/>
        <item x="0"/>
        <item x="1"/>
        <item x="3"/>
        <item t="default"/>
      </items>
    </pivotField>
  </pivotFields>
  <rowFields count="1">
    <field x="1"/>
  </rowFields>
  <rowItems count="5">
    <i>
      <x/>
    </i>
    <i>
      <x v="1"/>
    </i>
    <i>
      <x v="2"/>
    </i>
    <i>
      <x v="3"/>
    </i>
    <i t="grand">
      <x/>
    </i>
  </rowItems>
  <colFields count="1">
    <field x="18"/>
  </colFields>
  <colItems count="4">
    <i>
      <x v="1"/>
    </i>
    <i>
      <x v="2"/>
    </i>
    <i>
      <x v="3"/>
    </i>
    <i t="grand">
      <x/>
    </i>
  </colItems>
  <dataFields count="1">
    <dataField name="Count of Customer Rating" fld="13" subtotal="count" baseField="0" baseItem="0"/>
  </dataFields>
  <chartFormats count="15">
    <chartFormat chart="5" format="7" series="1">
      <pivotArea type="data" outline="0" fieldPosition="0">
        <references count="2">
          <reference field="4294967294" count="1" selected="0">
            <x v="0"/>
          </reference>
          <reference field="18" count="1" selected="0">
            <x v="1"/>
          </reference>
        </references>
      </pivotArea>
    </chartFormat>
    <chartFormat chart="5" format="8" series="1">
      <pivotArea type="data" outline="0" fieldPosition="0">
        <references count="2">
          <reference field="4294967294" count="1" selected="0">
            <x v="0"/>
          </reference>
          <reference field="18" count="1" selected="0">
            <x v="2"/>
          </reference>
        </references>
      </pivotArea>
    </chartFormat>
    <chartFormat chart="5" format="9" series="1">
      <pivotArea type="data" outline="0" fieldPosition="0">
        <references count="2">
          <reference field="4294967294" count="1" selected="0">
            <x v="0"/>
          </reference>
          <reference field="18" count="1" selected="0">
            <x v="3"/>
          </reference>
        </references>
      </pivotArea>
    </chartFormat>
    <chartFormat chart="7" format="0" series="1">
      <pivotArea type="data" outline="0" fieldPosition="0">
        <references count="2">
          <reference field="4294967294" count="1" selected="0">
            <x v="0"/>
          </reference>
          <reference field="18" count="1" selected="0">
            <x v="1"/>
          </reference>
        </references>
      </pivotArea>
    </chartFormat>
    <chartFormat chart="7" format="1" series="1">
      <pivotArea type="data" outline="0" fieldPosition="0">
        <references count="2">
          <reference field="4294967294" count="1" selected="0">
            <x v="0"/>
          </reference>
          <reference field="18" count="1" selected="0">
            <x v="2"/>
          </reference>
        </references>
      </pivotArea>
    </chartFormat>
    <chartFormat chart="7" format="2" series="1">
      <pivotArea type="data" outline="0" fieldPosition="0">
        <references count="2">
          <reference field="4294967294" count="1" selected="0">
            <x v="0"/>
          </reference>
          <reference field="18" count="1" selected="0">
            <x v="3"/>
          </reference>
        </references>
      </pivotArea>
    </chartFormat>
    <chartFormat chart="11" format="6" series="1">
      <pivotArea type="data" outline="0" fieldPosition="0">
        <references count="2">
          <reference field="4294967294" count="1" selected="0">
            <x v="0"/>
          </reference>
          <reference field="18" count="1" selected="0">
            <x v="1"/>
          </reference>
        </references>
      </pivotArea>
    </chartFormat>
    <chartFormat chart="11" format="7" series="1">
      <pivotArea type="data" outline="0" fieldPosition="0">
        <references count="2">
          <reference field="4294967294" count="1" selected="0">
            <x v="0"/>
          </reference>
          <reference field="18" count="1" selected="0">
            <x v="2"/>
          </reference>
        </references>
      </pivotArea>
    </chartFormat>
    <chartFormat chart="11" format="8" series="1">
      <pivotArea type="data" outline="0" fieldPosition="0">
        <references count="2">
          <reference field="4294967294" count="1" selected="0">
            <x v="0"/>
          </reference>
          <reference field="18" count="1" selected="0">
            <x v="3"/>
          </reference>
        </references>
      </pivotArea>
    </chartFormat>
    <chartFormat chart="12" format="9" series="1">
      <pivotArea type="data" outline="0" fieldPosition="0">
        <references count="2">
          <reference field="4294967294" count="1" selected="0">
            <x v="0"/>
          </reference>
          <reference field="18" count="1" selected="0">
            <x v="1"/>
          </reference>
        </references>
      </pivotArea>
    </chartFormat>
    <chartFormat chart="12" format="10" series="1">
      <pivotArea type="data" outline="0" fieldPosition="0">
        <references count="2">
          <reference field="4294967294" count="1" selected="0">
            <x v="0"/>
          </reference>
          <reference field="18" count="1" selected="0">
            <x v="2"/>
          </reference>
        </references>
      </pivotArea>
    </chartFormat>
    <chartFormat chart="12" format="11" series="1">
      <pivotArea type="data" outline="0" fieldPosition="0">
        <references count="2">
          <reference field="4294967294" count="1" selected="0">
            <x v="0"/>
          </reference>
          <reference field="18" count="1" selected="0">
            <x v="3"/>
          </reference>
        </references>
      </pivotArea>
    </chartFormat>
    <chartFormat chart="13" format="12" series="1">
      <pivotArea type="data" outline="0" fieldPosition="0">
        <references count="2">
          <reference field="4294967294" count="1" selected="0">
            <x v="0"/>
          </reference>
          <reference field="18" count="1" selected="0">
            <x v="1"/>
          </reference>
        </references>
      </pivotArea>
    </chartFormat>
    <chartFormat chart="13" format="13" series="1">
      <pivotArea type="data" outline="0" fieldPosition="0">
        <references count="2">
          <reference field="4294967294" count="1" selected="0">
            <x v="0"/>
          </reference>
          <reference field="18" count="1" selected="0">
            <x v="2"/>
          </reference>
        </references>
      </pivotArea>
    </chartFormat>
    <chartFormat chart="13" format="14"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70CCED10-4194-0D46-AD52-CCA003FDCDA7}" sourceName="Lead Type">
  <pivotTables>
    <pivotTable tabId="2" name="PivotTable2"/>
    <pivotTable tabId="3" name="PivotTable3"/>
    <pivotTable tabId="4" name="PivotTable5"/>
    <pivotTable tabId="6" name="PivotTable6"/>
  </pivotTables>
  <data>
    <tabular pivotCacheId="138444826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Status" xr10:uid="{C03FA46A-8702-F344-89A8-8B6EB96FD751}" sourceName="Cancellation Status">
  <pivotTables>
    <pivotTable tabId="2" name="PivotTable2"/>
    <pivotTable tabId="3" name="PivotTable3"/>
    <pivotTable tabId="4" name="PivotTable5"/>
    <pivotTable tabId="6" name="PivotTable6"/>
  </pivotTables>
  <data>
    <tabular pivotCacheId="138444826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 xr10:uid="{D22EB77E-7E71-1D4C-B250-0E5053A33C1A}" sourceName="Cancellation Reason">
  <pivotTables>
    <pivotTable tabId="2" name="PivotTable2"/>
    <pivotTable tabId="3" name="PivotTable3"/>
    <pivotTable tabId="4" name="PivotTable5"/>
    <pivotTable tabId="6" name="PivotTable6"/>
  </pivotTables>
  <data>
    <tabular pivotCacheId="1384448269">
      <items count="6">
        <i x="3" s="1"/>
        <i x="4" s="1"/>
        <i x="2" s="1"/>
        <i x="1"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C3600570-B3D2-EC49-95D9-1EEC510841AB}" sourceName="Store Name">
  <pivotTables>
    <pivotTable tabId="2" name="PivotTable2"/>
    <pivotTable tabId="3" name="PivotTable3"/>
    <pivotTable tabId="4" name="PivotTable5"/>
    <pivotTable tabId="6" name="PivotTable6"/>
  </pivotTables>
  <data>
    <tabular pivotCacheId="1384448269">
      <items count="4">
        <i x="0" s="1"/>
        <i x="3"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PS_Category" xr10:uid="{525BD5AE-6124-5B44-8189-D6A19CB68431}" sourceName="NPS Category">
  <pivotTables>
    <pivotTable tabId="7" name="PivotTable7"/>
  </pivotTables>
  <data>
    <tabular pivotCacheId="706603758">
      <items count="4">
        <i x="0" s="1"/>
        <i x="1" s="1"/>
        <i x="3"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 Type" xr10:uid="{28FEAF7B-4B5C-FE4C-A884-9C75DF3C230F}" cache="Slicer_Lead_Type" caption="Lead Type" rowHeight="230716"/>
  <slicer name="Cancellation Status" xr10:uid="{B9C353C2-CD63-2F4F-A579-5EA9B3113D23}" cache="Slicer_Cancellation_Status" caption="Cancellation Status" rowHeight="230716"/>
  <slicer name="Cancellation Reason" xr10:uid="{87BF4B66-9A42-A54B-B920-AB58E159DD03}" cache="Slicer_Cancellation_Reason" caption="Cancellation Reason" rowHeight="230716"/>
  <slicer name="Store Name" xr10:uid="{593EAE34-E4C9-4542-B4F0-3581E86B9BAC}" cache="Slicer_Store_Name" caption="Store Name" rowHeight="230716"/>
  <slicer name="NPS Category" xr10:uid="{4EED82B8-E631-E242-8048-D7A00F2A8858}" cache="Slicer_NPS_Category" caption="NPS Catego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BEDDA-67DB-4658-9E55-39F8700514CF}" name="Table1" displayName="Table1" ref="A3:R17" totalsRowShown="0">
  <autoFilter ref="A3:R17" xr:uid="{883BEDDA-67DB-4658-9E55-39F8700514CF}"/>
  <tableColumns count="18">
    <tableColumn id="1" xr3:uid="{FF913BB6-50DB-46C8-8451-389390765EB6}" name="Lead ID"/>
    <tableColumn id="2" xr3:uid="{A14BA214-21CC-4B4F-BFB7-4EC7CE115158}" name="Store Name"/>
    <tableColumn id="3" xr3:uid="{9648474C-EBBC-4FA6-B706-410BFD425FEA}" name="Lead Type"/>
    <tableColumn id="4" xr3:uid="{F00701BA-850B-4966-8EBF-A55B8D2D6B41}" name="Lead Date" dataDxfId="7"/>
    <tableColumn id="5" xr3:uid="{63C9EFB1-E1AD-4A54-9BE6-17ABA1F4F5A4}" name="Pre-Booking Date"/>
    <tableColumn id="6" xr3:uid="{7B901035-3B42-4041-B3C3-79F9E65E0B2C}" name="Booking Date"/>
    <tableColumn id="7" xr3:uid="{1CF001F1-9837-49D8-87A9-8F141E33DB78}" name="Delivery Date"/>
    <tableColumn id="8" xr3:uid="{6F5EEFD6-EBDB-4437-B033-08B159C12979}" name="Cancellation Status"/>
    <tableColumn id="9" xr3:uid="{C95C3D54-97DE-4D2A-9293-7A51AC889FFA}" name="Cancellation Reason"/>
    <tableColumn id="10" xr3:uid="{39984432-47DC-4312-9715-4286D40B5D0E}" name="Service Follow-up Date"/>
    <tableColumn id="11" xr3:uid="{321AB1F9-A001-466C-A23A-BD919EDBDFCD}" name="TAT Pre-Booking (Days)"/>
    <tableColumn id="12" xr3:uid="{CCA91F30-A871-46AA-A821-CC7D550AB9FB}" name="TAT Booking (Days)"/>
    <tableColumn id="13" xr3:uid="{EC8C4068-5EDF-4720-9884-8566CB0D9F1A}" name="TAT Delivery (Days)"/>
    <tableColumn id="14" xr3:uid="{EEE6DE49-7E21-4E31-919B-CFE5009A9398}" name="Customer Rating"/>
    <tableColumn id="15" xr3:uid="{72F4AF44-C6E8-44C1-8132-17460AABF156}" name="Total leads"/>
    <tableColumn id="16" xr3:uid="{05F9E43D-E291-4767-9954-2F3901828636}" name="Pre-booked"/>
    <tableColumn id="17" xr3:uid="{4F8BFDAE-3E0E-4A15-9BE6-72BDF9F79645}" name="Booked"/>
    <tableColumn id="18" xr3:uid="{3CAFBA31-400B-4B1B-B9C0-2DA181C7B89C}" name="Deliver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23ABC3-C29E-A74F-8193-6B1F2C50BDBB}" name="Table2" displayName="Table2" ref="A3:S1003" totalsRowShown="0">
  <autoFilter ref="A3:S1003" xr:uid="{5F23ABC3-C29E-A74F-8193-6B1F2C50BDBB}"/>
  <tableColumns count="19">
    <tableColumn id="1" xr3:uid="{D3874A8C-B3F7-3843-AE3C-4745862B88C6}" name="Lead ID"/>
    <tableColumn id="2" xr3:uid="{E91A4C99-C94C-7849-B24B-83121F671648}" name="Store Name"/>
    <tableColumn id="3" xr3:uid="{5F4F0AF9-82CF-BE4D-92C2-1F8519E6E852}" name="Lead Type"/>
    <tableColumn id="4" xr3:uid="{CD34F796-8DEE-7941-820D-A9297886C75B}" name="Lead Date" dataDxfId="6"/>
    <tableColumn id="5" xr3:uid="{EADD8DC6-D87D-5245-B7C0-ABAC1E0C0B33}" name="Pre-Booking Date" dataDxfId="5"/>
    <tableColumn id="6" xr3:uid="{A17A8722-A3FA-8043-8538-06712832066A}" name="Booking Date" dataDxfId="4"/>
    <tableColumn id="7" xr3:uid="{4A38BC93-AB02-694F-9E5C-403B47DE3B9C}" name="Delivery Date" dataDxfId="3"/>
    <tableColumn id="8" xr3:uid="{FFC1D199-AF1E-F34A-9F80-E59B2B66009E}" name="Cancellation Status"/>
    <tableColumn id="9" xr3:uid="{8D3917B3-BD3E-044F-9121-4F450FC93D08}" name="Cancellation Reason"/>
    <tableColumn id="10" xr3:uid="{DD50E97A-6F4C-5B42-81D9-25E43E8A01F6}" name="Service Follow-up Date" dataDxfId="2"/>
    <tableColumn id="11" xr3:uid="{CEF3145C-DA43-E04A-896F-13BB241282D6}" name="TAT Pre-Booking (Days)"/>
    <tableColumn id="12" xr3:uid="{7E3A431E-ABE5-1D4A-92D5-AFEFAF3AC86F}" name="TAT Booking (Days)"/>
    <tableColumn id="13" xr3:uid="{23F5B86B-BA88-9143-B782-604946268D50}" name="TAT Delivery (Days)"/>
    <tableColumn id="14" xr3:uid="{2640A268-CE28-FF45-B2CA-2204F767025E}" name="Customer Rating"/>
    <tableColumn id="15" xr3:uid="{055744DE-FCD4-E94E-9565-B6B778E0FE04}" name="Total leads"/>
    <tableColumn id="16" xr3:uid="{864F5180-AA18-7540-9396-3287F508706B}" name="Pre-booked"/>
    <tableColumn id="17" xr3:uid="{0A48D74D-6073-704F-93A5-78EC017FC0BD}" name="Booked"/>
    <tableColumn id="18" xr3:uid="{493EDAC4-959D-E442-A8D5-C27ABF3C925A}" name="Delivered"/>
    <tableColumn id="19" xr3:uid="{B58FC728-1C36-F645-B173-ECE2C868C885}" name="NPS Category"/>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d_Date" xr10:uid="{F256DDD1-5DA8-4808-9011-E61264942D2A}" sourceName="Lead Date">
  <pivotTables>
    <pivotTable tabId="4" name="PivotTable5"/>
  </pivotTables>
  <state minimalRefreshVersion="6" lastRefreshVersion="6" pivotCacheId="1384448269"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elivery_Date" xr10:uid="{03BA5D4E-00B9-4E96-9CCB-5676D75F81E5}" sourceName="Delivery Date">
  <pivotTables>
    <pivotTable tabId="4" name="PivotTable5"/>
  </pivotTables>
  <state minimalRefreshVersion="6" lastRefreshVersion="6" pivotCacheId="138444826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d Date" xr10:uid="{B9A722EE-A4E8-4091-9A8D-9621329BD916}" cache="NativeTimeline_Lead_Date" caption="Lead Date" level="2" selectionLevel="2" scrollPosition="2025-06-07T00:00:00"/>
  <timeline name="Delivery Date" xr10:uid="{69AC282F-D6C4-4F5E-9858-AA22EA7CE1B2}" cache="NativeTimeline_Delivery_Date" caption="Delivery Date" level="2" selectionLevel="2" scrollPosition="2025-06-07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workbookViewId="0">
      <selection activeCell="T11" sqref="T11"/>
    </sheetView>
  </sheetViews>
  <sheetFormatPr baseColWidth="10" defaultColWidth="14.5" defaultRowHeight="15" customHeight="1"/>
  <cols>
    <col min="1" max="1" width="7.33203125" customWidth="1"/>
    <col min="2" max="2" width="13.6640625" customWidth="1"/>
    <col min="3" max="3" width="9.5" customWidth="1"/>
    <col min="4" max="7" width="18.1640625" customWidth="1"/>
    <col min="8" max="8" width="17.33203125" customWidth="1"/>
    <col min="9" max="9" width="18.1640625" customWidth="1"/>
    <col min="10" max="10" width="20.33203125" customWidth="1"/>
    <col min="11" max="11" width="21" customWidth="1"/>
    <col min="12" max="13" width="17.5" customWidth="1"/>
    <col min="14" max="14" width="19.1640625" customWidth="1"/>
    <col min="15" max="15" width="14.5" customWidth="1"/>
    <col min="16" max="16" width="12.5" customWidth="1"/>
    <col min="17" max="17" width="8.6640625" customWidth="1"/>
    <col min="18" max="18" width="11.1640625" customWidth="1"/>
    <col min="19" max="19" width="15" customWidth="1"/>
    <col min="20" max="20" width="20.83203125" customWidth="1"/>
    <col min="21" max="26" width="8.6640625" customWidth="1"/>
  </cols>
  <sheetData>
    <row r="1" spans="1:20" ht="14.25" customHeight="1">
      <c r="A1" s="7" t="s">
        <v>0</v>
      </c>
      <c r="B1" s="1" t="s">
        <v>1</v>
      </c>
      <c r="C1" s="1" t="s">
        <v>2</v>
      </c>
      <c r="D1" s="1" t="s">
        <v>3</v>
      </c>
      <c r="E1" s="1" t="s">
        <v>4</v>
      </c>
      <c r="F1" s="1" t="s">
        <v>5</v>
      </c>
      <c r="G1" s="1" t="s">
        <v>6</v>
      </c>
      <c r="H1" s="1" t="s">
        <v>7</v>
      </c>
      <c r="I1" s="1" t="s">
        <v>8</v>
      </c>
      <c r="J1" s="1" t="s">
        <v>9</v>
      </c>
      <c r="K1" s="7" t="s">
        <v>10</v>
      </c>
      <c r="L1" s="7" t="s">
        <v>11</v>
      </c>
      <c r="M1" s="7" t="s">
        <v>12</v>
      </c>
      <c r="N1" s="2" t="s">
        <v>13</v>
      </c>
      <c r="O1" s="23" t="s">
        <v>14</v>
      </c>
      <c r="P1" s="23" t="s">
        <v>15</v>
      </c>
      <c r="Q1" s="24" t="s">
        <v>16</v>
      </c>
      <c r="R1" s="23" t="s">
        <v>17</v>
      </c>
      <c r="S1" s="23" t="s">
        <v>18</v>
      </c>
      <c r="T1" s="6"/>
    </row>
    <row r="2" spans="1:20" ht="14.25" customHeight="1">
      <c r="A2" s="3" t="s">
        <v>19</v>
      </c>
      <c r="B2" s="3" t="s">
        <v>20</v>
      </c>
      <c r="C2" s="3" t="s">
        <v>21</v>
      </c>
      <c r="D2" s="4">
        <v>45951</v>
      </c>
      <c r="E2" s="4">
        <v>45955</v>
      </c>
      <c r="F2" s="4">
        <v>45959</v>
      </c>
      <c r="G2" s="4">
        <v>45964</v>
      </c>
      <c r="H2" s="3" t="s">
        <v>22</v>
      </c>
      <c r="J2" s="4">
        <v>45989</v>
      </c>
      <c r="K2" s="3">
        <v>4</v>
      </c>
      <c r="L2" s="3">
        <v>4</v>
      </c>
      <c r="M2" s="3">
        <v>5</v>
      </c>
      <c r="N2" s="3">
        <v>2</v>
      </c>
      <c r="O2">
        <v>1</v>
      </c>
      <c r="P2">
        <f>IF(E2&lt;&gt;"", 1, 0)</f>
        <v>1</v>
      </c>
      <c r="Q2">
        <f>IF(G2&lt;&gt;"",1,0)</f>
        <v>1</v>
      </c>
      <c r="R2">
        <f>IF(AND(G2&lt;&gt;"", H2="No"), 1, 0)</f>
        <v>1</v>
      </c>
      <c r="S2" s="10" t="str" cm="1">
        <f t="array" ref="S2">_xlfn.IFS(N2="", "", N2&gt;=9,"Promoter", N2&gt;=7,"Passive", N2&lt;=6,"Detractor")</f>
        <v>Detractor</v>
      </c>
    </row>
    <row r="3" spans="1:20" ht="14.25" customHeight="1">
      <c r="A3" s="3" t="s">
        <v>23</v>
      </c>
      <c r="B3" s="3" t="s">
        <v>24</v>
      </c>
      <c r="C3" s="3" t="s">
        <v>21</v>
      </c>
      <c r="D3" s="4">
        <v>45941</v>
      </c>
      <c r="E3" s="4">
        <v>45944</v>
      </c>
      <c r="F3" s="4">
        <v>45949</v>
      </c>
      <c r="G3" s="4">
        <v>45956</v>
      </c>
      <c r="H3" s="3" t="s">
        <v>22</v>
      </c>
      <c r="J3" s="4">
        <v>45983</v>
      </c>
      <c r="K3" s="3">
        <v>3</v>
      </c>
      <c r="L3" s="3">
        <v>5</v>
      </c>
      <c r="M3" s="3">
        <v>7</v>
      </c>
      <c r="N3" s="3">
        <v>8</v>
      </c>
      <c r="O3">
        <v>1</v>
      </c>
      <c r="P3">
        <f t="shared" ref="P3:P66" si="0">IF(E3&lt;&gt;"", 1, 0)</f>
        <v>1</v>
      </c>
      <c r="Q3">
        <f t="shared" ref="Q3:Q66" si="1">IF(G3&lt;&gt;"",1,0)</f>
        <v>1</v>
      </c>
      <c r="R3">
        <f t="shared" ref="R3:R66" si="2">IF(AND(G3&lt;&gt;"", H3="No"), 1, 0)</f>
        <v>1</v>
      </c>
      <c r="S3" s="10" t="str" cm="1">
        <f t="array" ref="S3">_xlfn.IFS(N3="", "", N3&gt;=9,"Promoter", N3&gt;=7,"Passive", N3&lt;=6,"Detractor")</f>
        <v>Passive</v>
      </c>
    </row>
    <row r="4" spans="1:20" ht="14.25" customHeight="1">
      <c r="A4" s="3" t="s">
        <v>25</v>
      </c>
      <c r="B4" s="3" t="s">
        <v>26</v>
      </c>
      <c r="C4" s="3" t="s">
        <v>27</v>
      </c>
      <c r="D4" s="4">
        <v>45931</v>
      </c>
      <c r="H4" s="3" t="s">
        <v>28</v>
      </c>
      <c r="I4" s="3" t="s">
        <v>29</v>
      </c>
      <c r="O4">
        <v>1</v>
      </c>
      <c r="P4">
        <f t="shared" si="0"/>
        <v>0</v>
      </c>
      <c r="Q4">
        <f t="shared" si="1"/>
        <v>0</v>
      </c>
      <c r="R4">
        <f t="shared" si="2"/>
        <v>0</v>
      </c>
      <c r="S4" s="10" t="str" cm="1">
        <f t="array" ref="S4">_xlfn.IFS(N4="", "", N4&gt;=9,"Promoter", N4&gt;=7,"Passive", N4&lt;=6,"Detractor")</f>
        <v/>
      </c>
    </row>
    <row r="5" spans="1:20" ht="14.25" customHeight="1">
      <c r="A5" s="3" t="s">
        <v>30</v>
      </c>
      <c r="B5" s="3" t="s">
        <v>20</v>
      </c>
      <c r="C5" s="3" t="s">
        <v>27</v>
      </c>
      <c r="D5" s="4">
        <v>45958</v>
      </c>
      <c r="H5" s="3" t="s">
        <v>28</v>
      </c>
      <c r="I5" s="3" t="s">
        <v>31</v>
      </c>
      <c r="O5">
        <v>1</v>
      </c>
      <c r="P5">
        <f t="shared" si="0"/>
        <v>0</v>
      </c>
      <c r="Q5">
        <f t="shared" si="1"/>
        <v>0</v>
      </c>
      <c r="R5">
        <f t="shared" si="2"/>
        <v>0</v>
      </c>
      <c r="S5" s="10" t="str" cm="1">
        <f t="array" ref="S5">_xlfn.IFS(N5="", "", N5&gt;=9,"Promoter", N5&gt;=7,"Passive", N5&lt;=6,"Detractor")</f>
        <v/>
      </c>
    </row>
    <row r="6" spans="1:20" ht="14.25" customHeight="1">
      <c r="A6" s="3" t="s">
        <v>32</v>
      </c>
      <c r="B6" s="3" t="s">
        <v>24</v>
      </c>
      <c r="C6" s="3" t="s">
        <v>21</v>
      </c>
      <c r="D6" s="4">
        <v>45944</v>
      </c>
      <c r="E6" s="4">
        <v>45948</v>
      </c>
      <c r="F6" s="4">
        <v>45951</v>
      </c>
      <c r="G6" s="4">
        <v>45954</v>
      </c>
      <c r="H6" s="3" t="s">
        <v>22</v>
      </c>
      <c r="J6" s="4">
        <v>45973</v>
      </c>
      <c r="K6" s="3">
        <v>4</v>
      </c>
      <c r="L6" s="3">
        <v>3</v>
      </c>
      <c r="M6" s="3">
        <v>3</v>
      </c>
      <c r="N6" s="3">
        <v>8</v>
      </c>
      <c r="O6">
        <v>1</v>
      </c>
      <c r="P6">
        <f t="shared" si="0"/>
        <v>1</v>
      </c>
      <c r="Q6">
        <f t="shared" si="1"/>
        <v>1</v>
      </c>
      <c r="R6">
        <f t="shared" si="2"/>
        <v>1</v>
      </c>
      <c r="S6" s="10" t="str" cm="1">
        <f t="array" ref="S6">_xlfn.IFS(N6="", "", N6&gt;=9,"Promoter", N6&gt;=7,"Passive", N6&lt;=6,"Detractor")</f>
        <v>Passive</v>
      </c>
    </row>
    <row r="7" spans="1:20" ht="14.25" customHeight="1">
      <c r="A7" s="3" t="s">
        <v>33</v>
      </c>
      <c r="B7" s="3" t="s">
        <v>24</v>
      </c>
      <c r="C7" s="3" t="s">
        <v>21</v>
      </c>
      <c r="D7" s="4">
        <v>45957</v>
      </c>
      <c r="E7" s="4">
        <v>45961</v>
      </c>
      <c r="F7" s="4">
        <v>45965</v>
      </c>
      <c r="G7" s="4">
        <v>45968</v>
      </c>
      <c r="H7" s="3" t="s">
        <v>22</v>
      </c>
      <c r="J7" s="4">
        <v>45983</v>
      </c>
      <c r="K7" s="3">
        <v>4</v>
      </c>
      <c r="L7" s="3">
        <v>4</v>
      </c>
      <c r="M7" s="3">
        <v>3</v>
      </c>
      <c r="N7" s="3">
        <v>9</v>
      </c>
      <c r="O7">
        <v>1</v>
      </c>
      <c r="P7">
        <f t="shared" si="0"/>
        <v>1</v>
      </c>
      <c r="Q7">
        <f t="shared" si="1"/>
        <v>1</v>
      </c>
      <c r="R7">
        <f t="shared" si="2"/>
        <v>1</v>
      </c>
      <c r="S7" s="10" t="str" cm="1">
        <f t="array" ref="S7">_xlfn.IFS(N7="", "", N7&gt;=9,"Promoter", N7&gt;=7,"Passive", N7&lt;=6,"Detractor")</f>
        <v>Promoter</v>
      </c>
    </row>
    <row r="8" spans="1:20" ht="14.25" customHeight="1">
      <c r="A8" s="3" t="s">
        <v>34</v>
      </c>
      <c r="B8" s="3" t="s">
        <v>26</v>
      </c>
      <c r="C8" s="3" t="s">
        <v>35</v>
      </c>
      <c r="D8" s="4">
        <v>45946</v>
      </c>
      <c r="E8" s="4">
        <v>45950</v>
      </c>
      <c r="F8" s="4">
        <v>45951</v>
      </c>
      <c r="G8" s="4">
        <v>45958</v>
      </c>
      <c r="H8" s="3" t="s">
        <v>22</v>
      </c>
      <c r="J8" s="4">
        <v>45983</v>
      </c>
      <c r="K8" s="3">
        <v>4</v>
      </c>
      <c r="L8" s="3">
        <v>1</v>
      </c>
      <c r="M8" s="3">
        <v>7</v>
      </c>
      <c r="N8" s="3">
        <v>10</v>
      </c>
      <c r="O8">
        <v>1</v>
      </c>
      <c r="P8">
        <f t="shared" si="0"/>
        <v>1</v>
      </c>
      <c r="Q8">
        <f t="shared" si="1"/>
        <v>1</v>
      </c>
      <c r="R8">
        <f t="shared" si="2"/>
        <v>1</v>
      </c>
      <c r="S8" s="10" t="str" cm="1">
        <f t="array" ref="S8">_xlfn.IFS(N8="", "", N8&gt;=9,"Promoter", N8&gt;=7,"Passive", N8&lt;=6,"Detractor")</f>
        <v>Promoter</v>
      </c>
    </row>
    <row r="9" spans="1:20" ht="14.25" customHeight="1">
      <c r="A9" s="3" t="s">
        <v>36</v>
      </c>
      <c r="B9" s="3" t="s">
        <v>37</v>
      </c>
      <c r="C9" s="3" t="s">
        <v>21</v>
      </c>
      <c r="D9" s="4">
        <v>45934</v>
      </c>
      <c r="E9" s="4">
        <v>45935</v>
      </c>
      <c r="F9" s="4">
        <v>45938</v>
      </c>
      <c r="G9" s="4">
        <v>45945</v>
      </c>
      <c r="H9" s="3" t="s">
        <v>28</v>
      </c>
      <c r="I9" s="3" t="s">
        <v>38</v>
      </c>
      <c r="K9" s="3">
        <v>1</v>
      </c>
      <c r="L9" s="3">
        <v>3</v>
      </c>
      <c r="M9" s="3">
        <v>7</v>
      </c>
      <c r="O9">
        <v>1</v>
      </c>
      <c r="P9">
        <f t="shared" si="0"/>
        <v>1</v>
      </c>
      <c r="Q9">
        <f t="shared" si="1"/>
        <v>1</v>
      </c>
      <c r="R9">
        <f t="shared" si="2"/>
        <v>0</v>
      </c>
      <c r="S9" s="10" t="str" cm="1">
        <f t="array" ref="S9">_xlfn.IFS(N9="", "", N9&gt;=9,"Promoter", N9&gt;=7,"Passive", N9&lt;=6,"Detractor")</f>
        <v/>
      </c>
    </row>
    <row r="10" spans="1:20" ht="14.25" customHeight="1">
      <c r="A10" s="3" t="s">
        <v>39</v>
      </c>
      <c r="B10" s="3" t="s">
        <v>20</v>
      </c>
      <c r="C10" s="3" t="s">
        <v>35</v>
      </c>
      <c r="D10" s="4">
        <v>45944</v>
      </c>
      <c r="E10" s="4">
        <v>45947</v>
      </c>
      <c r="F10" s="4">
        <v>45950</v>
      </c>
      <c r="G10" s="4">
        <v>45955</v>
      </c>
      <c r="H10" s="3" t="s">
        <v>22</v>
      </c>
      <c r="J10" s="4">
        <v>45966</v>
      </c>
      <c r="K10" s="3">
        <v>3</v>
      </c>
      <c r="L10" s="3">
        <v>3</v>
      </c>
      <c r="M10" s="3">
        <v>5</v>
      </c>
      <c r="N10" s="3">
        <v>8</v>
      </c>
      <c r="O10">
        <v>1</v>
      </c>
      <c r="P10">
        <f t="shared" si="0"/>
        <v>1</v>
      </c>
      <c r="Q10">
        <f t="shared" si="1"/>
        <v>1</v>
      </c>
      <c r="R10">
        <f t="shared" si="2"/>
        <v>1</v>
      </c>
      <c r="S10" s="10" t="str" cm="1">
        <f t="array" ref="S10">_xlfn.IFS(N10="", "", N10&gt;=9,"Promoter", N10&gt;=7,"Passive", N10&lt;=6,"Detractor")</f>
        <v>Passive</v>
      </c>
    </row>
    <row r="11" spans="1:20" ht="14.25" customHeight="1">
      <c r="A11" s="3" t="s">
        <v>40</v>
      </c>
      <c r="B11" s="3" t="s">
        <v>26</v>
      </c>
      <c r="C11" s="3" t="s">
        <v>21</v>
      </c>
      <c r="D11" s="4">
        <v>45961</v>
      </c>
      <c r="E11" s="4">
        <v>45965</v>
      </c>
      <c r="F11" s="4">
        <v>45966</v>
      </c>
      <c r="G11" s="4">
        <v>45971</v>
      </c>
      <c r="H11" s="3" t="s">
        <v>22</v>
      </c>
      <c r="J11" s="4">
        <v>45983</v>
      </c>
      <c r="K11" s="3">
        <v>4</v>
      </c>
      <c r="L11" s="3">
        <v>1</v>
      </c>
      <c r="M11" s="3">
        <v>5</v>
      </c>
      <c r="N11" s="3">
        <v>6</v>
      </c>
      <c r="O11">
        <v>1</v>
      </c>
      <c r="P11">
        <f t="shared" si="0"/>
        <v>1</v>
      </c>
      <c r="Q11">
        <f t="shared" si="1"/>
        <v>1</v>
      </c>
      <c r="R11">
        <f t="shared" si="2"/>
        <v>1</v>
      </c>
      <c r="S11" s="10" t="str" cm="1">
        <f t="array" ref="S11">_xlfn.IFS(N11="", "", N11&gt;=9,"Promoter", N11&gt;=7,"Passive", N11&lt;=6,"Detractor")</f>
        <v>Detractor</v>
      </c>
    </row>
    <row r="12" spans="1:20" ht="14.25" customHeight="1">
      <c r="A12" s="3" t="s">
        <v>41</v>
      </c>
      <c r="B12" s="3" t="s">
        <v>20</v>
      </c>
      <c r="C12" s="3" t="s">
        <v>27</v>
      </c>
      <c r="D12" s="4">
        <v>45942</v>
      </c>
      <c r="H12" s="3" t="s">
        <v>28</v>
      </c>
      <c r="I12" s="3" t="s">
        <v>29</v>
      </c>
      <c r="O12">
        <v>1</v>
      </c>
      <c r="P12">
        <f t="shared" si="0"/>
        <v>0</v>
      </c>
      <c r="Q12">
        <f t="shared" si="1"/>
        <v>0</v>
      </c>
      <c r="R12">
        <f t="shared" si="2"/>
        <v>0</v>
      </c>
      <c r="S12" s="10" t="str" cm="1">
        <f t="array" ref="S12">_xlfn.IFS(N12="", "", N12&gt;=9,"Promoter", N12&gt;=7,"Passive", N12&lt;=6,"Detractor")</f>
        <v/>
      </c>
    </row>
    <row r="13" spans="1:20" ht="14.25" customHeight="1">
      <c r="A13" s="3" t="s">
        <v>42</v>
      </c>
      <c r="B13" s="3" t="s">
        <v>24</v>
      </c>
      <c r="C13" s="3" t="s">
        <v>21</v>
      </c>
      <c r="D13" s="4">
        <v>45951</v>
      </c>
      <c r="E13" s="4">
        <v>45954</v>
      </c>
      <c r="F13" s="4">
        <v>45958</v>
      </c>
      <c r="G13" s="4">
        <v>45960</v>
      </c>
      <c r="H13" s="3" t="s">
        <v>22</v>
      </c>
      <c r="J13" s="4">
        <v>45971</v>
      </c>
      <c r="K13" s="3">
        <v>3</v>
      </c>
      <c r="L13" s="3">
        <v>4</v>
      </c>
      <c r="M13" s="3">
        <v>2</v>
      </c>
      <c r="N13" s="3">
        <v>0</v>
      </c>
      <c r="O13">
        <v>1</v>
      </c>
      <c r="P13">
        <f t="shared" si="0"/>
        <v>1</v>
      </c>
      <c r="Q13">
        <f t="shared" si="1"/>
        <v>1</v>
      </c>
      <c r="R13">
        <f t="shared" si="2"/>
        <v>1</v>
      </c>
      <c r="S13" s="10" t="str" cm="1">
        <f t="array" ref="S13">_xlfn.IFS(N13="", "", N13&gt;=9,"Promoter", N13&gt;=7,"Passive", N13&lt;=6,"Detractor")</f>
        <v>Detractor</v>
      </c>
    </row>
    <row r="14" spans="1:20" ht="14.25" customHeight="1">
      <c r="A14" s="3" t="s">
        <v>43</v>
      </c>
      <c r="B14" s="3" t="s">
        <v>24</v>
      </c>
      <c r="C14" s="3" t="s">
        <v>21</v>
      </c>
      <c r="D14" s="4">
        <v>45959</v>
      </c>
      <c r="E14" s="4">
        <v>45962</v>
      </c>
      <c r="F14" s="4">
        <v>45967</v>
      </c>
      <c r="G14" s="4">
        <v>45974</v>
      </c>
      <c r="H14" s="3" t="s">
        <v>22</v>
      </c>
      <c r="J14" s="4">
        <v>45991</v>
      </c>
      <c r="K14" s="3">
        <v>3</v>
      </c>
      <c r="L14" s="3">
        <v>5</v>
      </c>
      <c r="M14" s="3">
        <v>7</v>
      </c>
      <c r="N14" s="3">
        <v>10</v>
      </c>
      <c r="O14">
        <v>1</v>
      </c>
      <c r="P14">
        <f t="shared" si="0"/>
        <v>1</v>
      </c>
      <c r="Q14">
        <f t="shared" si="1"/>
        <v>1</v>
      </c>
      <c r="R14">
        <f t="shared" si="2"/>
        <v>1</v>
      </c>
      <c r="S14" s="10" t="str" cm="1">
        <f t="array" ref="S14">_xlfn.IFS(N14="", "", N14&gt;=9,"Promoter", N14&gt;=7,"Passive", N14&lt;=6,"Detractor")</f>
        <v>Promoter</v>
      </c>
    </row>
    <row r="15" spans="1:20" ht="14.25" customHeight="1">
      <c r="A15" s="3" t="s">
        <v>44</v>
      </c>
      <c r="B15" s="3" t="s">
        <v>37</v>
      </c>
      <c r="C15" s="3" t="s">
        <v>21</v>
      </c>
      <c r="D15" s="4">
        <v>45957</v>
      </c>
      <c r="E15" s="4">
        <v>45960</v>
      </c>
      <c r="F15" s="4">
        <v>45963</v>
      </c>
      <c r="G15" s="4">
        <v>45969</v>
      </c>
      <c r="H15" s="3" t="s">
        <v>22</v>
      </c>
      <c r="J15" s="4">
        <v>45998</v>
      </c>
      <c r="K15" s="3">
        <v>3</v>
      </c>
      <c r="L15" s="3">
        <v>3</v>
      </c>
      <c r="M15" s="3">
        <v>6</v>
      </c>
      <c r="N15" s="3">
        <v>2</v>
      </c>
      <c r="O15">
        <v>1</v>
      </c>
      <c r="P15">
        <f t="shared" si="0"/>
        <v>1</v>
      </c>
      <c r="Q15">
        <f t="shared" si="1"/>
        <v>1</v>
      </c>
      <c r="R15">
        <f t="shared" si="2"/>
        <v>1</v>
      </c>
      <c r="S15" s="10" t="str" cm="1">
        <f t="array" ref="S15">_xlfn.IFS(N15="", "", N15&gt;=9,"Promoter", N15&gt;=7,"Passive", N15&lt;=6,"Detractor")</f>
        <v>Detractor</v>
      </c>
    </row>
    <row r="16" spans="1:20" ht="14.25" customHeight="1">
      <c r="A16" s="3" t="s">
        <v>45</v>
      </c>
      <c r="B16" s="3" t="s">
        <v>24</v>
      </c>
      <c r="C16" s="3" t="s">
        <v>35</v>
      </c>
      <c r="D16" s="4">
        <v>45945</v>
      </c>
      <c r="E16" s="4">
        <v>45947</v>
      </c>
      <c r="F16" s="4">
        <v>45948</v>
      </c>
      <c r="G16" s="4">
        <v>45951</v>
      </c>
      <c r="H16" s="3" t="s">
        <v>28</v>
      </c>
      <c r="I16" s="3" t="s">
        <v>38</v>
      </c>
      <c r="K16" s="3">
        <v>2</v>
      </c>
      <c r="L16" s="3">
        <v>1</v>
      </c>
      <c r="M16" s="3">
        <v>3</v>
      </c>
      <c r="O16">
        <v>1</v>
      </c>
      <c r="P16">
        <f t="shared" si="0"/>
        <v>1</v>
      </c>
      <c r="Q16">
        <f t="shared" si="1"/>
        <v>1</v>
      </c>
      <c r="R16">
        <f t="shared" si="2"/>
        <v>0</v>
      </c>
      <c r="S16" s="10" t="str" cm="1">
        <f t="array" ref="S16">_xlfn.IFS(N16="", "", N16&gt;=9,"Promoter", N16&gt;=7,"Passive", N16&lt;=6,"Detractor")</f>
        <v/>
      </c>
    </row>
    <row r="17" spans="1:19" ht="14.25" customHeight="1">
      <c r="A17" s="3" t="s">
        <v>46</v>
      </c>
      <c r="B17" s="3" t="s">
        <v>24</v>
      </c>
      <c r="C17" s="3" t="s">
        <v>21</v>
      </c>
      <c r="D17" s="4">
        <v>45953</v>
      </c>
      <c r="E17" s="4">
        <v>45957</v>
      </c>
      <c r="F17" s="4">
        <v>45962</v>
      </c>
      <c r="G17" s="4">
        <v>45967</v>
      </c>
      <c r="H17" s="3" t="s">
        <v>22</v>
      </c>
      <c r="J17" s="4">
        <v>45984</v>
      </c>
      <c r="K17" s="3">
        <v>4</v>
      </c>
      <c r="L17" s="3">
        <v>5</v>
      </c>
      <c r="M17" s="3">
        <v>5</v>
      </c>
      <c r="N17" s="3">
        <v>8</v>
      </c>
      <c r="O17">
        <v>1</v>
      </c>
      <c r="P17">
        <f t="shared" si="0"/>
        <v>1</v>
      </c>
      <c r="Q17">
        <f t="shared" si="1"/>
        <v>1</v>
      </c>
      <c r="R17">
        <f t="shared" si="2"/>
        <v>1</v>
      </c>
      <c r="S17" s="10" t="str" cm="1">
        <f t="array" ref="S17">_xlfn.IFS(N17="", "", N17&gt;=9,"Promoter", N17&gt;=7,"Passive", N17&lt;=6,"Detractor")</f>
        <v>Passive</v>
      </c>
    </row>
    <row r="18" spans="1:19" ht="14.25" customHeight="1">
      <c r="A18" s="3" t="s">
        <v>47</v>
      </c>
      <c r="B18" s="3" t="s">
        <v>26</v>
      </c>
      <c r="C18" s="3" t="s">
        <v>35</v>
      </c>
      <c r="D18" s="4">
        <v>45935</v>
      </c>
      <c r="E18" s="4">
        <v>45936</v>
      </c>
      <c r="F18" s="4">
        <v>45940</v>
      </c>
      <c r="G18" s="4">
        <v>45946</v>
      </c>
      <c r="H18" s="3" t="s">
        <v>22</v>
      </c>
      <c r="J18" s="4">
        <v>45956</v>
      </c>
      <c r="K18" s="3">
        <v>1</v>
      </c>
      <c r="L18" s="3">
        <v>4</v>
      </c>
      <c r="M18" s="3">
        <v>6</v>
      </c>
      <c r="N18" s="3">
        <v>2</v>
      </c>
      <c r="O18">
        <v>1</v>
      </c>
      <c r="P18">
        <f t="shared" si="0"/>
        <v>1</v>
      </c>
      <c r="Q18">
        <f t="shared" si="1"/>
        <v>1</v>
      </c>
      <c r="R18">
        <f t="shared" si="2"/>
        <v>1</v>
      </c>
      <c r="S18" s="10" t="str" cm="1">
        <f t="array" ref="S18">_xlfn.IFS(N18="", "", N18&gt;=9,"Promoter", N18&gt;=7,"Passive", N18&lt;=6,"Detractor")</f>
        <v>Detractor</v>
      </c>
    </row>
    <row r="19" spans="1:19" ht="14.25" customHeight="1">
      <c r="A19" s="3" t="s">
        <v>48</v>
      </c>
      <c r="B19" s="3" t="s">
        <v>20</v>
      </c>
      <c r="C19" s="3" t="s">
        <v>35</v>
      </c>
      <c r="D19" s="4">
        <v>45944</v>
      </c>
      <c r="E19" s="4">
        <v>45945</v>
      </c>
      <c r="F19" s="4">
        <v>45948</v>
      </c>
      <c r="G19" s="4">
        <v>45953</v>
      </c>
      <c r="H19" s="3" t="s">
        <v>22</v>
      </c>
      <c r="J19" s="4">
        <v>45979</v>
      </c>
      <c r="K19" s="3">
        <v>1</v>
      </c>
      <c r="L19" s="3">
        <v>3</v>
      </c>
      <c r="M19" s="3">
        <v>5</v>
      </c>
      <c r="N19" s="3">
        <v>0</v>
      </c>
      <c r="O19">
        <v>1</v>
      </c>
      <c r="P19">
        <f t="shared" si="0"/>
        <v>1</v>
      </c>
      <c r="Q19">
        <f t="shared" si="1"/>
        <v>1</v>
      </c>
      <c r="R19">
        <f t="shared" si="2"/>
        <v>1</v>
      </c>
      <c r="S19" s="10" t="str" cm="1">
        <f t="array" ref="S19">_xlfn.IFS(N19="", "", N19&gt;=9,"Promoter", N19&gt;=7,"Passive", N19&lt;=6,"Detractor")</f>
        <v>Detractor</v>
      </c>
    </row>
    <row r="20" spans="1:19" ht="14.25" customHeight="1">
      <c r="A20" s="3" t="s">
        <v>49</v>
      </c>
      <c r="B20" s="3" t="s">
        <v>20</v>
      </c>
      <c r="C20" s="3" t="s">
        <v>21</v>
      </c>
      <c r="D20" s="4">
        <v>45936</v>
      </c>
      <c r="E20" s="4">
        <v>45937</v>
      </c>
      <c r="F20" s="4">
        <v>45942</v>
      </c>
      <c r="G20" s="4">
        <v>45947</v>
      </c>
      <c r="H20" s="3" t="s">
        <v>22</v>
      </c>
      <c r="J20" s="4">
        <v>45972</v>
      </c>
      <c r="K20" s="3">
        <v>1</v>
      </c>
      <c r="L20" s="3">
        <v>5</v>
      </c>
      <c r="M20" s="3">
        <v>5</v>
      </c>
      <c r="N20" s="3">
        <v>5</v>
      </c>
      <c r="O20">
        <v>1</v>
      </c>
      <c r="P20">
        <f t="shared" si="0"/>
        <v>1</v>
      </c>
      <c r="Q20">
        <f t="shared" si="1"/>
        <v>1</v>
      </c>
      <c r="R20">
        <f t="shared" si="2"/>
        <v>1</v>
      </c>
      <c r="S20" s="10" t="str" cm="1">
        <f t="array" ref="S20">_xlfn.IFS(N20="", "", N20&gt;=9,"Promoter", N20&gt;=7,"Passive", N20&lt;=6,"Detractor")</f>
        <v>Detractor</v>
      </c>
    </row>
    <row r="21" spans="1:19" ht="14.25" customHeight="1">
      <c r="A21" s="3" t="s">
        <v>50</v>
      </c>
      <c r="B21" s="3" t="s">
        <v>26</v>
      </c>
      <c r="C21" s="3" t="s">
        <v>21</v>
      </c>
      <c r="D21" s="4">
        <v>45954</v>
      </c>
      <c r="E21" s="4">
        <v>45955</v>
      </c>
      <c r="F21" s="4">
        <v>45960</v>
      </c>
      <c r="G21" s="4">
        <v>45962</v>
      </c>
      <c r="H21" s="3" t="s">
        <v>22</v>
      </c>
      <c r="J21" s="4">
        <v>45972</v>
      </c>
      <c r="K21" s="3">
        <v>1</v>
      </c>
      <c r="L21" s="3">
        <v>5</v>
      </c>
      <c r="M21" s="3">
        <v>2</v>
      </c>
      <c r="N21" s="3">
        <v>4</v>
      </c>
      <c r="O21">
        <v>1</v>
      </c>
      <c r="P21">
        <f t="shared" si="0"/>
        <v>1</v>
      </c>
      <c r="Q21">
        <f t="shared" si="1"/>
        <v>1</v>
      </c>
      <c r="R21">
        <f t="shared" si="2"/>
        <v>1</v>
      </c>
      <c r="S21" s="10" t="str" cm="1">
        <f t="array" ref="S21">_xlfn.IFS(N21="", "", N21&gt;=9,"Promoter", N21&gt;=7,"Passive", N21&lt;=6,"Detractor")</f>
        <v>Detractor</v>
      </c>
    </row>
    <row r="22" spans="1:19" ht="14.25" customHeight="1">
      <c r="A22" s="3" t="s">
        <v>51</v>
      </c>
      <c r="B22" s="3" t="s">
        <v>37</v>
      </c>
      <c r="C22" s="3" t="s">
        <v>21</v>
      </c>
      <c r="D22" s="4">
        <v>45947</v>
      </c>
      <c r="E22" s="4">
        <v>45951</v>
      </c>
      <c r="F22" s="4">
        <v>45953</v>
      </c>
      <c r="G22" s="4">
        <v>45960</v>
      </c>
      <c r="H22" s="3" t="s">
        <v>22</v>
      </c>
      <c r="J22" s="4">
        <v>45980</v>
      </c>
      <c r="K22" s="3">
        <v>4</v>
      </c>
      <c r="L22" s="3">
        <v>2</v>
      </c>
      <c r="M22" s="3">
        <v>7</v>
      </c>
      <c r="N22" s="3">
        <v>6</v>
      </c>
      <c r="O22">
        <v>1</v>
      </c>
      <c r="P22">
        <f t="shared" si="0"/>
        <v>1</v>
      </c>
      <c r="Q22">
        <f t="shared" si="1"/>
        <v>1</v>
      </c>
      <c r="R22">
        <f t="shared" si="2"/>
        <v>1</v>
      </c>
      <c r="S22" s="10" t="str" cm="1">
        <f t="array" ref="S22">_xlfn.IFS(N22="", "", N22&gt;=9,"Promoter", N22&gt;=7,"Passive", N22&lt;=6,"Detractor")</f>
        <v>Detractor</v>
      </c>
    </row>
    <row r="23" spans="1:19" ht="14.25" customHeight="1">
      <c r="A23" s="3" t="s">
        <v>52</v>
      </c>
      <c r="B23" s="3" t="s">
        <v>20</v>
      </c>
      <c r="C23" s="3" t="s">
        <v>35</v>
      </c>
      <c r="D23" s="4">
        <v>45961</v>
      </c>
      <c r="E23" s="4">
        <v>45962</v>
      </c>
      <c r="F23" s="4">
        <v>45963</v>
      </c>
      <c r="G23" s="4">
        <v>45966</v>
      </c>
      <c r="H23" s="3" t="s">
        <v>22</v>
      </c>
      <c r="J23" s="4">
        <v>45995</v>
      </c>
      <c r="K23" s="3">
        <v>1</v>
      </c>
      <c r="L23" s="3">
        <v>1</v>
      </c>
      <c r="M23" s="3">
        <v>3</v>
      </c>
      <c r="N23" s="3">
        <v>3</v>
      </c>
      <c r="O23">
        <v>1</v>
      </c>
      <c r="P23">
        <f t="shared" si="0"/>
        <v>1</v>
      </c>
      <c r="Q23">
        <f t="shared" si="1"/>
        <v>1</v>
      </c>
      <c r="R23">
        <f t="shared" si="2"/>
        <v>1</v>
      </c>
      <c r="S23" s="10" t="str" cm="1">
        <f t="array" ref="S23">_xlfn.IFS(N23="", "", N23&gt;=9,"Promoter", N23&gt;=7,"Passive", N23&lt;=6,"Detractor")</f>
        <v>Detractor</v>
      </c>
    </row>
    <row r="24" spans="1:19" ht="14.25" customHeight="1">
      <c r="A24" s="3" t="s">
        <v>53</v>
      </c>
      <c r="B24" s="3" t="s">
        <v>24</v>
      </c>
      <c r="C24" s="3" t="s">
        <v>21</v>
      </c>
      <c r="D24" s="4">
        <v>45951</v>
      </c>
      <c r="E24" s="4">
        <v>45954</v>
      </c>
      <c r="F24" s="4">
        <v>45959</v>
      </c>
      <c r="G24" s="4">
        <v>45962</v>
      </c>
      <c r="H24" s="3" t="s">
        <v>22</v>
      </c>
      <c r="J24" s="4">
        <v>45978</v>
      </c>
      <c r="K24" s="3">
        <v>3</v>
      </c>
      <c r="L24" s="3">
        <v>5</v>
      </c>
      <c r="M24" s="3">
        <v>3</v>
      </c>
      <c r="N24" s="3">
        <v>8</v>
      </c>
      <c r="O24">
        <v>1</v>
      </c>
      <c r="P24">
        <f t="shared" si="0"/>
        <v>1</v>
      </c>
      <c r="Q24">
        <f t="shared" si="1"/>
        <v>1</v>
      </c>
      <c r="R24">
        <f t="shared" si="2"/>
        <v>1</v>
      </c>
      <c r="S24" s="10" t="str" cm="1">
        <f t="array" ref="S24">_xlfn.IFS(N24="", "", N24&gt;=9,"Promoter", N24&gt;=7,"Passive", N24&lt;=6,"Detractor")</f>
        <v>Passive</v>
      </c>
    </row>
    <row r="25" spans="1:19" ht="14.25" customHeight="1">
      <c r="A25" s="3" t="s">
        <v>54</v>
      </c>
      <c r="B25" s="3" t="s">
        <v>20</v>
      </c>
      <c r="C25" s="3" t="s">
        <v>21</v>
      </c>
      <c r="D25" s="4">
        <v>45939</v>
      </c>
      <c r="E25" s="4">
        <v>45941</v>
      </c>
      <c r="F25" s="4">
        <v>45945</v>
      </c>
      <c r="G25" s="4">
        <v>45949</v>
      </c>
      <c r="H25" s="3" t="s">
        <v>22</v>
      </c>
      <c r="J25" s="4">
        <v>45963</v>
      </c>
      <c r="K25" s="3">
        <v>2</v>
      </c>
      <c r="L25" s="3">
        <v>4</v>
      </c>
      <c r="M25" s="3">
        <v>4</v>
      </c>
      <c r="N25" s="3">
        <v>3</v>
      </c>
      <c r="O25">
        <v>1</v>
      </c>
      <c r="P25">
        <f t="shared" si="0"/>
        <v>1</v>
      </c>
      <c r="Q25">
        <f t="shared" si="1"/>
        <v>1</v>
      </c>
      <c r="R25">
        <f t="shared" si="2"/>
        <v>1</v>
      </c>
      <c r="S25" s="10" t="str" cm="1">
        <f t="array" ref="S25">_xlfn.IFS(N25="", "", N25&gt;=9,"Promoter", N25&gt;=7,"Passive", N25&lt;=6,"Detractor")</f>
        <v>Detractor</v>
      </c>
    </row>
    <row r="26" spans="1:19" ht="14.25" customHeight="1">
      <c r="A26" s="3" t="s">
        <v>55</v>
      </c>
      <c r="B26" s="3" t="s">
        <v>24</v>
      </c>
      <c r="C26" s="3" t="s">
        <v>21</v>
      </c>
      <c r="D26" s="4">
        <v>45950</v>
      </c>
      <c r="E26" s="4">
        <v>45955</v>
      </c>
      <c r="F26" s="4">
        <v>45957</v>
      </c>
      <c r="G26" s="4">
        <v>45964</v>
      </c>
      <c r="H26" s="3" t="s">
        <v>22</v>
      </c>
      <c r="J26" s="4">
        <v>45984</v>
      </c>
      <c r="K26" s="3">
        <v>5</v>
      </c>
      <c r="L26" s="3">
        <v>2</v>
      </c>
      <c r="M26" s="3">
        <v>7</v>
      </c>
      <c r="N26" s="3">
        <v>1</v>
      </c>
      <c r="O26">
        <v>1</v>
      </c>
      <c r="P26">
        <f t="shared" si="0"/>
        <v>1</v>
      </c>
      <c r="Q26">
        <f t="shared" si="1"/>
        <v>1</v>
      </c>
      <c r="R26">
        <f t="shared" si="2"/>
        <v>1</v>
      </c>
      <c r="S26" s="10" t="str" cm="1">
        <f t="array" ref="S26">_xlfn.IFS(N26="", "", N26&gt;=9,"Promoter", N26&gt;=7,"Passive", N26&lt;=6,"Detractor")</f>
        <v>Detractor</v>
      </c>
    </row>
    <row r="27" spans="1:19" ht="14.25" customHeight="1">
      <c r="A27" s="3" t="s">
        <v>56</v>
      </c>
      <c r="B27" s="3" t="s">
        <v>37</v>
      </c>
      <c r="C27" s="3" t="s">
        <v>21</v>
      </c>
      <c r="D27" s="4">
        <v>45956</v>
      </c>
      <c r="E27" s="4">
        <v>45957</v>
      </c>
      <c r="F27" s="4">
        <v>45962</v>
      </c>
      <c r="G27" s="4">
        <v>45964</v>
      </c>
      <c r="H27" s="3" t="s">
        <v>22</v>
      </c>
      <c r="J27" s="4">
        <v>45979</v>
      </c>
      <c r="K27" s="3">
        <v>1</v>
      </c>
      <c r="L27" s="3">
        <v>5</v>
      </c>
      <c r="M27" s="3">
        <v>2</v>
      </c>
      <c r="N27" s="3">
        <v>4</v>
      </c>
      <c r="O27">
        <v>1</v>
      </c>
      <c r="P27">
        <f t="shared" si="0"/>
        <v>1</v>
      </c>
      <c r="Q27">
        <f t="shared" si="1"/>
        <v>1</v>
      </c>
      <c r="R27">
        <f t="shared" si="2"/>
        <v>1</v>
      </c>
      <c r="S27" s="10" t="str" cm="1">
        <f t="array" ref="S27">_xlfn.IFS(N27="", "", N27&gt;=9,"Promoter", N27&gt;=7,"Passive", N27&lt;=6,"Detractor")</f>
        <v>Detractor</v>
      </c>
    </row>
    <row r="28" spans="1:19" ht="14.25" customHeight="1">
      <c r="A28" s="3" t="s">
        <v>57</v>
      </c>
      <c r="B28" s="3" t="s">
        <v>26</v>
      </c>
      <c r="C28" s="3" t="s">
        <v>21</v>
      </c>
      <c r="D28" s="4">
        <v>45960</v>
      </c>
      <c r="E28" s="4">
        <v>45965</v>
      </c>
      <c r="F28" s="4">
        <v>45970</v>
      </c>
      <c r="G28" s="4">
        <v>45976</v>
      </c>
      <c r="H28" s="3" t="s">
        <v>22</v>
      </c>
      <c r="J28" s="4">
        <v>45996</v>
      </c>
      <c r="K28" s="3">
        <v>5</v>
      </c>
      <c r="L28" s="3">
        <v>5</v>
      </c>
      <c r="M28" s="3">
        <v>6</v>
      </c>
      <c r="N28" s="3">
        <v>1</v>
      </c>
      <c r="O28">
        <v>1</v>
      </c>
      <c r="P28">
        <f t="shared" si="0"/>
        <v>1</v>
      </c>
      <c r="Q28">
        <f t="shared" si="1"/>
        <v>1</v>
      </c>
      <c r="R28">
        <f t="shared" si="2"/>
        <v>1</v>
      </c>
      <c r="S28" s="10" t="str" cm="1">
        <f t="array" ref="S28">_xlfn.IFS(N28="", "", N28&gt;=9,"Promoter", N28&gt;=7,"Passive", N28&lt;=6,"Detractor")</f>
        <v>Detractor</v>
      </c>
    </row>
    <row r="29" spans="1:19" ht="14.25" customHeight="1">
      <c r="A29" s="3" t="s">
        <v>58</v>
      </c>
      <c r="B29" s="3" t="s">
        <v>20</v>
      </c>
      <c r="C29" s="3" t="s">
        <v>21</v>
      </c>
      <c r="D29" s="4">
        <v>45948</v>
      </c>
      <c r="E29" s="4">
        <v>45953</v>
      </c>
      <c r="F29" s="4">
        <v>45957</v>
      </c>
      <c r="G29" s="4">
        <v>45959</v>
      </c>
      <c r="H29" s="3" t="s">
        <v>22</v>
      </c>
      <c r="J29" s="4">
        <v>45970</v>
      </c>
      <c r="K29" s="3">
        <v>5</v>
      </c>
      <c r="L29" s="3">
        <v>4</v>
      </c>
      <c r="M29" s="3">
        <v>2</v>
      </c>
      <c r="N29" s="3">
        <v>3</v>
      </c>
      <c r="O29">
        <v>1</v>
      </c>
      <c r="P29">
        <f t="shared" si="0"/>
        <v>1</v>
      </c>
      <c r="Q29">
        <f t="shared" si="1"/>
        <v>1</v>
      </c>
      <c r="R29">
        <f t="shared" si="2"/>
        <v>1</v>
      </c>
      <c r="S29" s="10" t="str" cm="1">
        <f t="array" ref="S29">_xlfn.IFS(N29="", "", N29&gt;=9,"Promoter", N29&gt;=7,"Passive", N29&lt;=6,"Detractor")</f>
        <v>Detractor</v>
      </c>
    </row>
    <row r="30" spans="1:19" ht="14.25" customHeight="1">
      <c r="A30" s="3" t="s">
        <v>59</v>
      </c>
      <c r="B30" s="3" t="s">
        <v>26</v>
      </c>
      <c r="C30" s="3" t="s">
        <v>21</v>
      </c>
      <c r="D30" s="4">
        <v>45955</v>
      </c>
      <c r="E30" s="4">
        <v>45960</v>
      </c>
      <c r="F30" s="4">
        <v>45962</v>
      </c>
      <c r="G30" s="4">
        <v>45968</v>
      </c>
      <c r="H30" s="3" t="s">
        <v>22</v>
      </c>
      <c r="J30" s="4">
        <v>45978</v>
      </c>
      <c r="K30" s="3">
        <v>5</v>
      </c>
      <c r="L30" s="3">
        <v>2</v>
      </c>
      <c r="M30" s="3">
        <v>6</v>
      </c>
      <c r="N30" s="3">
        <v>3</v>
      </c>
      <c r="O30">
        <v>1</v>
      </c>
      <c r="P30">
        <f t="shared" si="0"/>
        <v>1</v>
      </c>
      <c r="Q30">
        <f t="shared" si="1"/>
        <v>1</v>
      </c>
      <c r="R30">
        <f t="shared" si="2"/>
        <v>1</v>
      </c>
      <c r="S30" s="10" t="str" cm="1">
        <f t="array" ref="S30">_xlfn.IFS(N30="", "", N30&gt;=9,"Promoter", N30&gt;=7,"Passive", N30&lt;=6,"Detractor")</f>
        <v>Detractor</v>
      </c>
    </row>
    <row r="31" spans="1:19" ht="14.25" customHeight="1">
      <c r="A31" s="3" t="s">
        <v>60</v>
      </c>
      <c r="B31" s="3" t="s">
        <v>20</v>
      </c>
      <c r="C31" s="3" t="s">
        <v>27</v>
      </c>
      <c r="D31" s="4">
        <v>45946</v>
      </c>
      <c r="H31" s="3" t="s">
        <v>28</v>
      </c>
      <c r="I31" s="3" t="s">
        <v>38</v>
      </c>
      <c r="O31">
        <v>1</v>
      </c>
      <c r="P31">
        <f t="shared" si="0"/>
        <v>0</v>
      </c>
      <c r="Q31">
        <f t="shared" si="1"/>
        <v>0</v>
      </c>
      <c r="R31">
        <f t="shared" si="2"/>
        <v>0</v>
      </c>
      <c r="S31" s="10" t="str" cm="1">
        <f t="array" ref="S31">_xlfn.IFS(N31="", "", N31&gt;=9,"Promoter", N31&gt;=7,"Passive", N31&lt;=6,"Detractor")</f>
        <v/>
      </c>
    </row>
    <row r="32" spans="1:19" ht="14.25" customHeight="1">
      <c r="A32" s="3" t="s">
        <v>61</v>
      </c>
      <c r="B32" s="3" t="s">
        <v>24</v>
      </c>
      <c r="C32" s="3" t="s">
        <v>21</v>
      </c>
      <c r="D32" s="4">
        <v>45945</v>
      </c>
      <c r="E32" s="4">
        <v>45948</v>
      </c>
      <c r="F32" s="4">
        <v>45950</v>
      </c>
      <c r="G32" s="4">
        <v>45953</v>
      </c>
      <c r="H32" s="3" t="s">
        <v>22</v>
      </c>
      <c r="J32" s="4">
        <v>45967</v>
      </c>
      <c r="K32" s="3">
        <v>3</v>
      </c>
      <c r="L32" s="3">
        <v>2</v>
      </c>
      <c r="M32" s="3">
        <v>3</v>
      </c>
      <c r="N32" s="3">
        <v>3</v>
      </c>
      <c r="O32">
        <v>1</v>
      </c>
      <c r="P32">
        <f t="shared" si="0"/>
        <v>1</v>
      </c>
      <c r="Q32">
        <f t="shared" si="1"/>
        <v>1</v>
      </c>
      <c r="R32">
        <f t="shared" si="2"/>
        <v>1</v>
      </c>
      <c r="S32" s="10" t="str" cm="1">
        <f t="array" ref="S32">_xlfn.IFS(N32="", "", N32&gt;=9,"Promoter", N32&gt;=7,"Passive", N32&lt;=6,"Detractor")</f>
        <v>Detractor</v>
      </c>
    </row>
    <row r="33" spans="1:19" ht="14.25" customHeight="1">
      <c r="A33" s="3" t="s">
        <v>62</v>
      </c>
      <c r="B33" s="3" t="s">
        <v>26</v>
      </c>
      <c r="C33" s="3" t="s">
        <v>21</v>
      </c>
      <c r="D33" s="4">
        <v>45944</v>
      </c>
      <c r="E33" s="4">
        <v>45945</v>
      </c>
      <c r="F33" s="4">
        <v>45946</v>
      </c>
      <c r="G33" s="4">
        <v>45950</v>
      </c>
      <c r="H33" s="3" t="s">
        <v>22</v>
      </c>
      <c r="J33" s="4">
        <v>45978</v>
      </c>
      <c r="K33" s="3">
        <v>1</v>
      </c>
      <c r="L33" s="3">
        <v>1</v>
      </c>
      <c r="M33" s="3">
        <v>4</v>
      </c>
      <c r="N33" s="3">
        <v>5</v>
      </c>
      <c r="O33">
        <v>1</v>
      </c>
      <c r="P33">
        <f t="shared" si="0"/>
        <v>1</v>
      </c>
      <c r="Q33">
        <f t="shared" si="1"/>
        <v>1</v>
      </c>
      <c r="R33">
        <f t="shared" si="2"/>
        <v>1</v>
      </c>
      <c r="S33" s="10" t="str" cm="1">
        <f t="array" ref="S33">_xlfn.IFS(N33="", "", N33&gt;=9,"Promoter", N33&gt;=7,"Passive", N33&lt;=6,"Detractor")</f>
        <v>Detractor</v>
      </c>
    </row>
    <row r="34" spans="1:19" ht="14.25" customHeight="1">
      <c r="A34" s="3" t="s">
        <v>63</v>
      </c>
      <c r="B34" s="3" t="s">
        <v>20</v>
      </c>
      <c r="C34" s="3" t="s">
        <v>21</v>
      </c>
      <c r="D34" s="4">
        <v>45957</v>
      </c>
      <c r="E34" s="4">
        <v>45961</v>
      </c>
      <c r="F34" s="4">
        <v>45966</v>
      </c>
      <c r="G34" s="4">
        <v>45970</v>
      </c>
      <c r="H34" s="3" t="s">
        <v>22</v>
      </c>
      <c r="J34" s="4">
        <v>45984</v>
      </c>
      <c r="K34" s="3">
        <v>4</v>
      </c>
      <c r="L34" s="3">
        <v>5</v>
      </c>
      <c r="M34" s="3">
        <v>4</v>
      </c>
      <c r="N34" s="3">
        <v>3</v>
      </c>
      <c r="O34">
        <v>1</v>
      </c>
      <c r="P34">
        <f t="shared" si="0"/>
        <v>1</v>
      </c>
      <c r="Q34">
        <f t="shared" si="1"/>
        <v>1</v>
      </c>
      <c r="R34">
        <f t="shared" si="2"/>
        <v>1</v>
      </c>
      <c r="S34" s="10" t="str" cm="1">
        <f t="array" ref="S34">_xlfn.IFS(N34="", "", N34&gt;=9,"Promoter", N34&gt;=7,"Passive", N34&lt;=6,"Detractor")</f>
        <v>Detractor</v>
      </c>
    </row>
    <row r="35" spans="1:19" ht="14.25" customHeight="1">
      <c r="A35" s="3" t="s">
        <v>64</v>
      </c>
      <c r="B35" s="3" t="s">
        <v>24</v>
      </c>
      <c r="C35" s="3" t="s">
        <v>21</v>
      </c>
      <c r="D35" s="4">
        <v>45954</v>
      </c>
      <c r="E35" s="4">
        <v>45957</v>
      </c>
      <c r="F35" s="4">
        <v>45958</v>
      </c>
      <c r="G35" s="4">
        <v>45961</v>
      </c>
      <c r="H35" s="3" t="s">
        <v>22</v>
      </c>
      <c r="J35" s="4">
        <v>45974</v>
      </c>
      <c r="K35" s="3">
        <v>3</v>
      </c>
      <c r="L35" s="3">
        <v>1</v>
      </c>
      <c r="M35" s="3">
        <v>3</v>
      </c>
      <c r="N35" s="3">
        <v>3</v>
      </c>
      <c r="O35">
        <v>1</v>
      </c>
      <c r="P35">
        <f t="shared" si="0"/>
        <v>1</v>
      </c>
      <c r="Q35">
        <f t="shared" si="1"/>
        <v>1</v>
      </c>
      <c r="R35">
        <f t="shared" si="2"/>
        <v>1</v>
      </c>
      <c r="S35" s="10" t="str" cm="1">
        <f t="array" ref="S35">_xlfn.IFS(N35="", "", N35&gt;=9,"Promoter", N35&gt;=7,"Passive", N35&lt;=6,"Detractor")</f>
        <v>Detractor</v>
      </c>
    </row>
    <row r="36" spans="1:19" ht="14.25" customHeight="1">
      <c r="A36" s="3" t="s">
        <v>65</v>
      </c>
      <c r="B36" s="3" t="s">
        <v>26</v>
      </c>
      <c r="C36" s="3" t="s">
        <v>27</v>
      </c>
      <c r="D36" s="4">
        <v>45949</v>
      </c>
      <c r="H36" s="3" t="s">
        <v>28</v>
      </c>
      <c r="I36" s="3" t="s">
        <v>31</v>
      </c>
      <c r="O36">
        <v>1</v>
      </c>
      <c r="P36">
        <f t="shared" si="0"/>
        <v>0</v>
      </c>
      <c r="Q36">
        <f t="shared" si="1"/>
        <v>0</v>
      </c>
      <c r="R36">
        <f t="shared" si="2"/>
        <v>0</v>
      </c>
      <c r="S36" s="10" t="str" cm="1">
        <f t="array" ref="S36">_xlfn.IFS(N36="", "", N36&gt;=9,"Promoter", N36&gt;=7,"Passive", N36&lt;=6,"Detractor")</f>
        <v/>
      </c>
    </row>
    <row r="37" spans="1:19" ht="14.25" customHeight="1">
      <c r="A37" s="3" t="s">
        <v>66</v>
      </c>
      <c r="B37" s="3" t="s">
        <v>26</v>
      </c>
      <c r="C37" s="3" t="s">
        <v>21</v>
      </c>
      <c r="D37" s="4">
        <v>45939</v>
      </c>
      <c r="E37" s="4">
        <v>45943</v>
      </c>
      <c r="F37" s="4">
        <v>45945</v>
      </c>
      <c r="G37" s="4">
        <v>45950</v>
      </c>
      <c r="H37" s="3" t="s">
        <v>22</v>
      </c>
      <c r="J37" s="4">
        <v>45976</v>
      </c>
      <c r="K37" s="3">
        <v>4</v>
      </c>
      <c r="L37" s="3">
        <v>2</v>
      </c>
      <c r="M37" s="3">
        <v>5</v>
      </c>
      <c r="N37" s="3">
        <v>9</v>
      </c>
      <c r="O37">
        <v>1</v>
      </c>
      <c r="P37">
        <f t="shared" si="0"/>
        <v>1</v>
      </c>
      <c r="Q37">
        <f t="shared" si="1"/>
        <v>1</v>
      </c>
      <c r="R37">
        <f t="shared" si="2"/>
        <v>1</v>
      </c>
      <c r="S37" s="10" t="str" cm="1">
        <f t="array" ref="S37">_xlfn.IFS(N37="", "", N37&gt;=9,"Promoter", N37&gt;=7,"Passive", N37&lt;=6,"Detractor")</f>
        <v>Promoter</v>
      </c>
    </row>
    <row r="38" spans="1:19" ht="14.25" customHeight="1">
      <c r="A38" s="3" t="s">
        <v>67</v>
      </c>
      <c r="B38" s="3" t="s">
        <v>20</v>
      </c>
      <c r="C38" s="3" t="s">
        <v>21</v>
      </c>
      <c r="D38" s="4">
        <v>45941</v>
      </c>
      <c r="E38" s="4">
        <v>45942</v>
      </c>
      <c r="F38" s="4">
        <v>45943</v>
      </c>
      <c r="G38" s="4">
        <v>45945</v>
      </c>
      <c r="H38" s="3" t="s">
        <v>28</v>
      </c>
      <c r="I38" s="3" t="s">
        <v>68</v>
      </c>
      <c r="K38" s="3">
        <v>1</v>
      </c>
      <c r="L38" s="3">
        <v>1</v>
      </c>
      <c r="M38" s="3">
        <v>2</v>
      </c>
      <c r="O38">
        <v>1</v>
      </c>
      <c r="P38">
        <f t="shared" si="0"/>
        <v>1</v>
      </c>
      <c r="Q38">
        <f t="shared" si="1"/>
        <v>1</v>
      </c>
      <c r="R38">
        <f t="shared" si="2"/>
        <v>0</v>
      </c>
      <c r="S38" s="10" t="str" cm="1">
        <f t="array" ref="S38">_xlfn.IFS(N38="", "", N38&gt;=9,"Promoter", N38&gt;=7,"Passive", N38&lt;=6,"Detractor")</f>
        <v/>
      </c>
    </row>
    <row r="39" spans="1:19" ht="14.25" customHeight="1">
      <c r="A39" s="3" t="s">
        <v>69</v>
      </c>
      <c r="B39" s="3" t="s">
        <v>20</v>
      </c>
      <c r="C39" s="3" t="s">
        <v>21</v>
      </c>
      <c r="D39" s="4">
        <v>45958</v>
      </c>
      <c r="E39" s="4">
        <v>45961</v>
      </c>
      <c r="F39" s="4">
        <v>45965</v>
      </c>
      <c r="G39" s="4">
        <v>45969</v>
      </c>
      <c r="H39" s="3" t="s">
        <v>22</v>
      </c>
      <c r="J39" s="4">
        <v>45990</v>
      </c>
      <c r="K39" s="3">
        <v>3</v>
      </c>
      <c r="L39" s="3">
        <v>4</v>
      </c>
      <c r="M39" s="3">
        <v>4</v>
      </c>
      <c r="N39" s="3">
        <v>2</v>
      </c>
      <c r="O39">
        <v>1</v>
      </c>
      <c r="P39">
        <f t="shared" si="0"/>
        <v>1</v>
      </c>
      <c r="Q39">
        <f t="shared" si="1"/>
        <v>1</v>
      </c>
      <c r="R39">
        <f t="shared" si="2"/>
        <v>1</v>
      </c>
      <c r="S39" s="10" t="str" cm="1">
        <f t="array" ref="S39">_xlfn.IFS(N39="", "", N39&gt;=9,"Promoter", N39&gt;=7,"Passive", N39&lt;=6,"Detractor")</f>
        <v>Detractor</v>
      </c>
    </row>
    <row r="40" spans="1:19" ht="14.25" customHeight="1">
      <c r="A40" s="3" t="s">
        <v>70</v>
      </c>
      <c r="B40" s="3" t="s">
        <v>20</v>
      </c>
      <c r="C40" s="3" t="s">
        <v>21</v>
      </c>
      <c r="D40" s="4">
        <v>45938</v>
      </c>
      <c r="E40" s="4">
        <v>45943</v>
      </c>
      <c r="F40" s="4">
        <v>45946</v>
      </c>
      <c r="G40" s="4">
        <v>45953</v>
      </c>
      <c r="H40" s="3" t="s">
        <v>22</v>
      </c>
      <c r="J40" s="4">
        <v>45965</v>
      </c>
      <c r="K40" s="3">
        <v>5</v>
      </c>
      <c r="L40" s="3">
        <v>3</v>
      </c>
      <c r="M40" s="3">
        <v>7</v>
      </c>
      <c r="N40" s="3">
        <v>9</v>
      </c>
      <c r="O40">
        <v>1</v>
      </c>
      <c r="P40">
        <f t="shared" si="0"/>
        <v>1</v>
      </c>
      <c r="Q40">
        <f t="shared" si="1"/>
        <v>1</v>
      </c>
      <c r="R40">
        <f t="shared" si="2"/>
        <v>1</v>
      </c>
      <c r="S40" s="10" t="str" cm="1">
        <f t="array" ref="S40">_xlfn.IFS(N40="", "", N40&gt;=9,"Promoter", N40&gt;=7,"Passive", N40&lt;=6,"Detractor")</f>
        <v>Promoter</v>
      </c>
    </row>
    <row r="41" spans="1:19" ht="14.25" customHeight="1">
      <c r="A41" s="3" t="s">
        <v>71</v>
      </c>
      <c r="B41" s="3" t="s">
        <v>24</v>
      </c>
      <c r="C41" s="3" t="s">
        <v>21</v>
      </c>
      <c r="D41" s="4">
        <v>45957</v>
      </c>
      <c r="E41" s="4">
        <v>45960</v>
      </c>
      <c r="F41" s="4">
        <v>45964</v>
      </c>
      <c r="G41" s="4">
        <v>45969</v>
      </c>
      <c r="H41" s="3" t="s">
        <v>28</v>
      </c>
      <c r="I41" s="3" t="s">
        <v>29</v>
      </c>
      <c r="K41" s="3">
        <v>3</v>
      </c>
      <c r="L41" s="3">
        <v>4</v>
      </c>
      <c r="M41" s="3">
        <v>5</v>
      </c>
      <c r="O41">
        <v>1</v>
      </c>
      <c r="P41">
        <f t="shared" si="0"/>
        <v>1</v>
      </c>
      <c r="Q41">
        <f t="shared" si="1"/>
        <v>1</v>
      </c>
      <c r="R41">
        <f t="shared" si="2"/>
        <v>0</v>
      </c>
      <c r="S41" s="10" t="str" cm="1">
        <f t="array" ref="S41">_xlfn.IFS(N41="", "", N41&gt;=9,"Promoter", N41&gt;=7,"Passive", N41&lt;=6,"Detractor")</f>
        <v/>
      </c>
    </row>
    <row r="42" spans="1:19" ht="14.25" customHeight="1">
      <c r="A42" s="3" t="s">
        <v>72</v>
      </c>
      <c r="B42" s="3" t="s">
        <v>20</v>
      </c>
      <c r="C42" s="3" t="s">
        <v>27</v>
      </c>
      <c r="D42" s="4">
        <v>45960</v>
      </c>
      <c r="H42" s="3" t="s">
        <v>28</v>
      </c>
      <c r="I42" s="3" t="s">
        <v>31</v>
      </c>
      <c r="O42">
        <v>1</v>
      </c>
      <c r="P42">
        <f t="shared" si="0"/>
        <v>0</v>
      </c>
      <c r="Q42">
        <f t="shared" si="1"/>
        <v>0</v>
      </c>
      <c r="R42">
        <f t="shared" si="2"/>
        <v>0</v>
      </c>
      <c r="S42" s="10" t="str" cm="1">
        <f t="array" ref="S42">_xlfn.IFS(N42="", "", N42&gt;=9,"Promoter", N42&gt;=7,"Passive", N42&lt;=6,"Detractor")</f>
        <v/>
      </c>
    </row>
    <row r="43" spans="1:19" ht="14.25" customHeight="1">
      <c r="A43" s="3" t="s">
        <v>73</v>
      </c>
      <c r="B43" s="3" t="s">
        <v>26</v>
      </c>
      <c r="C43" s="3" t="s">
        <v>21</v>
      </c>
      <c r="D43" s="4">
        <v>45933</v>
      </c>
      <c r="E43" s="4">
        <v>45936</v>
      </c>
      <c r="F43" s="4">
        <v>45938</v>
      </c>
      <c r="G43" s="4">
        <v>45944</v>
      </c>
      <c r="H43" s="3" t="s">
        <v>22</v>
      </c>
      <c r="J43" s="4">
        <v>45965</v>
      </c>
      <c r="K43" s="3">
        <v>3</v>
      </c>
      <c r="L43" s="3">
        <v>2</v>
      </c>
      <c r="M43" s="3">
        <v>6</v>
      </c>
      <c r="N43" s="3">
        <v>6</v>
      </c>
      <c r="O43">
        <v>1</v>
      </c>
      <c r="P43">
        <f t="shared" si="0"/>
        <v>1</v>
      </c>
      <c r="Q43">
        <f t="shared" si="1"/>
        <v>1</v>
      </c>
      <c r="R43">
        <f t="shared" si="2"/>
        <v>1</v>
      </c>
      <c r="S43" s="10" t="str" cm="1">
        <f t="array" ref="S43">_xlfn.IFS(N43="", "", N43&gt;=9,"Promoter", N43&gt;=7,"Passive", N43&lt;=6,"Detractor")</f>
        <v>Detractor</v>
      </c>
    </row>
    <row r="44" spans="1:19" ht="14.25" customHeight="1">
      <c r="A44" s="3" t="s">
        <v>74</v>
      </c>
      <c r="B44" s="3" t="s">
        <v>26</v>
      </c>
      <c r="C44" s="3" t="s">
        <v>21</v>
      </c>
      <c r="D44" s="4">
        <v>45939</v>
      </c>
      <c r="E44" s="4">
        <v>45940</v>
      </c>
      <c r="F44" s="4">
        <v>45944</v>
      </c>
      <c r="G44" s="4">
        <v>45951</v>
      </c>
      <c r="H44" s="3" t="s">
        <v>22</v>
      </c>
      <c r="J44" s="4">
        <v>45973</v>
      </c>
      <c r="K44" s="3">
        <v>1</v>
      </c>
      <c r="L44" s="3">
        <v>4</v>
      </c>
      <c r="M44" s="3">
        <v>7</v>
      </c>
      <c r="N44" s="3">
        <v>7</v>
      </c>
      <c r="O44">
        <v>1</v>
      </c>
      <c r="P44">
        <f t="shared" si="0"/>
        <v>1</v>
      </c>
      <c r="Q44">
        <f t="shared" si="1"/>
        <v>1</v>
      </c>
      <c r="R44">
        <f t="shared" si="2"/>
        <v>1</v>
      </c>
      <c r="S44" s="10" t="str" cm="1">
        <f t="array" ref="S44">_xlfn.IFS(N44="", "", N44&gt;=9,"Promoter", N44&gt;=7,"Passive", N44&lt;=6,"Detractor")</f>
        <v>Passive</v>
      </c>
    </row>
    <row r="45" spans="1:19" ht="14.25" customHeight="1">
      <c r="A45" s="3" t="s">
        <v>75</v>
      </c>
      <c r="B45" s="3" t="s">
        <v>20</v>
      </c>
      <c r="C45" s="3" t="s">
        <v>27</v>
      </c>
      <c r="D45" s="4">
        <v>45959</v>
      </c>
      <c r="H45" s="3" t="s">
        <v>28</v>
      </c>
      <c r="I45" s="3" t="s">
        <v>38</v>
      </c>
      <c r="O45">
        <v>1</v>
      </c>
      <c r="P45">
        <f t="shared" si="0"/>
        <v>0</v>
      </c>
      <c r="Q45">
        <f t="shared" si="1"/>
        <v>0</v>
      </c>
      <c r="R45">
        <f t="shared" si="2"/>
        <v>0</v>
      </c>
      <c r="S45" s="10" t="str" cm="1">
        <f t="array" ref="S45">_xlfn.IFS(N45="", "", N45&gt;=9,"Promoter", N45&gt;=7,"Passive", N45&lt;=6,"Detractor")</f>
        <v/>
      </c>
    </row>
    <row r="46" spans="1:19" ht="14.25" customHeight="1">
      <c r="A46" s="3" t="s">
        <v>76</v>
      </c>
      <c r="B46" s="3" t="s">
        <v>20</v>
      </c>
      <c r="C46" s="3" t="s">
        <v>35</v>
      </c>
      <c r="D46" s="4">
        <v>45945</v>
      </c>
      <c r="E46" s="4">
        <v>45950</v>
      </c>
      <c r="F46" s="4">
        <v>45952</v>
      </c>
      <c r="G46" s="4">
        <v>45956</v>
      </c>
      <c r="H46" s="3" t="s">
        <v>22</v>
      </c>
      <c r="J46" s="4">
        <v>45984</v>
      </c>
      <c r="K46" s="3">
        <v>5</v>
      </c>
      <c r="L46" s="3">
        <v>2</v>
      </c>
      <c r="M46" s="3">
        <v>4</v>
      </c>
      <c r="N46" s="3">
        <v>8</v>
      </c>
      <c r="O46">
        <v>1</v>
      </c>
      <c r="P46">
        <f t="shared" si="0"/>
        <v>1</v>
      </c>
      <c r="Q46">
        <f t="shared" si="1"/>
        <v>1</v>
      </c>
      <c r="R46">
        <f t="shared" si="2"/>
        <v>1</v>
      </c>
      <c r="S46" s="10" t="str" cm="1">
        <f t="array" ref="S46">_xlfn.IFS(N46="", "", N46&gt;=9,"Promoter", N46&gt;=7,"Passive", N46&lt;=6,"Detractor")</f>
        <v>Passive</v>
      </c>
    </row>
    <row r="47" spans="1:19" ht="14.25" customHeight="1">
      <c r="A47" s="3" t="s">
        <v>77</v>
      </c>
      <c r="B47" s="3" t="s">
        <v>37</v>
      </c>
      <c r="C47" s="3" t="s">
        <v>35</v>
      </c>
      <c r="D47" s="4">
        <v>45938</v>
      </c>
      <c r="E47" s="4">
        <v>45943</v>
      </c>
      <c r="F47" s="4">
        <v>45947</v>
      </c>
      <c r="G47" s="4">
        <v>45953</v>
      </c>
      <c r="H47" s="3" t="s">
        <v>22</v>
      </c>
      <c r="J47" s="4">
        <v>45966</v>
      </c>
      <c r="K47" s="3">
        <v>5</v>
      </c>
      <c r="L47" s="3">
        <v>4</v>
      </c>
      <c r="M47" s="3">
        <v>6</v>
      </c>
      <c r="N47" s="3">
        <v>3</v>
      </c>
      <c r="O47">
        <v>1</v>
      </c>
      <c r="P47">
        <f t="shared" si="0"/>
        <v>1</v>
      </c>
      <c r="Q47">
        <f t="shared" si="1"/>
        <v>1</v>
      </c>
      <c r="R47">
        <f t="shared" si="2"/>
        <v>1</v>
      </c>
      <c r="S47" s="10" t="str" cm="1">
        <f t="array" ref="S47">_xlfn.IFS(N47="", "", N47&gt;=9,"Promoter", N47&gt;=7,"Passive", N47&lt;=6,"Detractor")</f>
        <v>Detractor</v>
      </c>
    </row>
    <row r="48" spans="1:19" ht="14.25" customHeight="1">
      <c r="A48" s="3" t="s">
        <v>78</v>
      </c>
      <c r="B48" s="3" t="s">
        <v>26</v>
      </c>
      <c r="C48" s="3" t="s">
        <v>21</v>
      </c>
      <c r="D48" s="4">
        <v>45955</v>
      </c>
      <c r="E48" s="4">
        <v>45957</v>
      </c>
      <c r="F48" s="4">
        <v>45962</v>
      </c>
      <c r="G48" s="4">
        <v>45967</v>
      </c>
      <c r="H48" s="3" t="s">
        <v>22</v>
      </c>
      <c r="J48" s="4">
        <v>45987</v>
      </c>
      <c r="K48" s="3">
        <v>2</v>
      </c>
      <c r="L48" s="3">
        <v>5</v>
      </c>
      <c r="M48" s="3">
        <v>5</v>
      </c>
      <c r="N48" s="3">
        <v>5</v>
      </c>
      <c r="O48">
        <v>1</v>
      </c>
      <c r="P48">
        <f t="shared" si="0"/>
        <v>1</v>
      </c>
      <c r="Q48">
        <f t="shared" si="1"/>
        <v>1</v>
      </c>
      <c r="R48">
        <f t="shared" si="2"/>
        <v>1</v>
      </c>
      <c r="S48" s="10" t="str" cm="1">
        <f t="array" ref="S48">_xlfn.IFS(N48="", "", N48&gt;=9,"Promoter", N48&gt;=7,"Passive", N48&lt;=6,"Detractor")</f>
        <v>Detractor</v>
      </c>
    </row>
    <row r="49" spans="1:19" ht="14.25" customHeight="1">
      <c r="A49" s="3" t="s">
        <v>79</v>
      </c>
      <c r="B49" s="3" t="s">
        <v>24</v>
      </c>
      <c r="C49" s="3" t="s">
        <v>27</v>
      </c>
      <c r="D49" s="4">
        <v>45945</v>
      </c>
      <c r="H49" s="3" t="s">
        <v>28</v>
      </c>
      <c r="I49" s="3" t="s">
        <v>31</v>
      </c>
      <c r="O49">
        <v>1</v>
      </c>
      <c r="P49">
        <f t="shared" si="0"/>
        <v>0</v>
      </c>
      <c r="Q49">
        <f t="shared" si="1"/>
        <v>0</v>
      </c>
      <c r="R49">
        <f t="shared" si="2"/>
        <v>0</v>
      </c>
      <c r="S49" s="10" t="str" cm="1">
        <f t="array" ref="S49">_xlfn.IFS(N49="", "", N49&gt;=9,"Promoter", N49&gt;=7,"Passive", N49&lt;=6,"Detractor")</f>
        <v/>
      </c>
    </row>
    <row r="50" spans="1:19" ht="14.25" customHeight="1">
      <c r="A50" s="3" t="s">
        <v>80</v>
      </c>
      <c r="B50" s="3" t="s">
        <v>37</v>
      </c>
      <c r="C50" s="3" t="s">
        <v>35</v>
      </c>
      <c r="D50" s="4">
        <v>45949</v>
      </c>
      <c r="E50" s="4">
        <v>45951</v>
      </c>
      <c r="F50" s="4">
        <v>45956</v>
      </c>
      <c r="G50" s="4">
        <v>45962</v>
      </c>
      <c r="H50" s="3" t="s">
        <v>22</v>
      </c>
      <c r="J50" s="4">
        <v>45981</v>
      </c>
      <c r="K50" s="3">
        <v>2</v>
      </c>
      <c r="L50" s="3">
        <v>5</v>
      </c>
      <c r="M50" s="3">
        <v>6</v>
      </c>
      <c r="N50" s="3">
        <v>0</v>
      </c>
      <c r="O50">
        <v>1</v>
      </c>
      <c r="P50">
        <f t="shared" si="0"/>
        <v>1</v>
      </c>
      <c r="Q50">
        <f t="shared" si="1"/>
        <v>1</v>
      </c>
      <c r="R50">
        <f t="shared" si="2"/>
        <v>1</v>
      </c>
      <c r="S50" s="10" t="str" cm="1">
        <f t="array" ref="S50">_xlfn.IFS(N50="", "", N50&gt;=9,"Promoter", N50&gt;=7,"Passive", N50&lt;=6,"Detractor")</f>
        <v>Detractor</v>
      </c>
    </row>
    <row r="51" spans="1:19" ht="14.25" customHeight="1">
      <c r="A51" s="3" t="s">
        <v>81</v>
      </c>
      <c r="B51" s="3" t="s">
        <v>20</v>
      </c>
      <c r="C51" s="3" t="s">
        <v>35</v>
      </c>
      <c r="D51" s="4">
        <v>45950</v>
      </c>
      <c r="E51" s="4">
        <v>45954</v>
      </c>
      <c r="F51" s="4">
        <v>45958</v>
      </c>
      <c r="G51" s="4">
        <v>45963</v>
      </c>
      <c r="H51" s="3" t="s">
        <v>22</v>
      </c>
      <c r="J51" s="4">
        <v>45983</v>
      </c>
      <c r="K51" s="3">
        <v>4</v>
      </c>
      <c r="L51" s="3">
        <v>4</v>
      </c>
      <c r="M51" s="3">
        <v>5</v>
      </c>
      <c r="N51" s="3">
        <v>6</v>
      </c>
      <c r="O51">
        <v>1</v>
      </c>
      <c r="P51">
        <f t="shared" si="0"/>
        <v>1</v>
      </c>
      <c r="Q51">
        <f t="shared" si="1"/>
        <v>1</v>
      </c>
      <c r="R51">
        <f t="shared" si="2"/>
        <v>1</v>
      </c>
      <c r="S51" s="10" t="str" cm="1">
        <f t="array" ref="S51">_xlfn.IFS(N51="", "", N51&gt;=9,"Promoter", N51&gt;=7,"Passive", N51&lt;=6,"Detractor")</f>
        <v>Detractor</v>
      </c>
    </row>
    <row r="52" spans="1:19" ht="14.25" customHeight="1">
      <c r="A52" s="3" t="s">
        <v>82</v>
      </c>
      <c r="B52" s="3" t="s">
        <v>20</v>
      </c>
      <c r="C52" s="3" t="s">
        <v>35</v>
      </c>
      <c r="D52" s="4">
        <v>45952</v>
      </c>
      <c r="E52" s="4">
        <v>45954</v>
      </c>
      <c r="F52" s="4">
        <v>45955</v>
      </c>
      <c r="G52" s="4">
        <v>45961</v>
      </c>
      <c r="H52" s="3" t="s">
        <v>22</v>
      </c>
      <c r="J52" s="4">
        <v>45975</v>
      </c>
      <c r="K52" s="3">
        <v>2</v>
      </c>
      <c r="L52" s="3">
        <v>1</v>
      </c>
      <c r="M52" s="3">
        <v>6</v>
      </c>
      <c r="N52" s="3">
        <v>6</v>
      </c>
      <c r="O52">
        <v>1</v>
      </c>
      <c r="P52">
        <f t="shared" si="0"/>
        <v>1</v>
      </c>
      <c r="Q52">
        <f t="shared" si="1"/>
        <v>1</v>
      </c>
      <c r="R52">
        <f t="shared" si="2"/>
        <v>1</v>
      </c>
      <c r="S52" s="10" t="str" cm="1">
        <f t="array" ref="S52">_xlfn.IFS(N52="", "", N52&gt;=9,"Promoter", N52&gt;=7,"Passive", N52&lt;=6,"Detractor")</f>
        <v>Detractor</v>
      </c>
    </row>
    <row r="53" spans="1:19" ht="14.25" customHeight="1">
      <c r="A53" s="3" t="s">
        <v>83</v>
      </c>
      <c r="B53" s="3" t="s">
        <v>26</v>
      </c>
      <c r="C53" s="3" t="s">
        <v>35</v>
      </c>
      <c r="D53" s="4">
        <v>45943</v>
      </c>
      <c r="E53" s="4">
        <v>45944</v>
      </c>
      <c r="F53" s="4">
        <v>45946</v>
      </c>
      <c r="G53" s="4">
        <v>45948</v>
      </c>
      <c r="H53" s="3" t="s">
        <v>22</v>
      </c>
      <c r="J53" s="4">
        <v>45963</v>
      </c>
      <c r="K53" s="3">
        <v>1</v>
      </c>
      <c r="L53" s="3">
        <v>2</v>
      </c>
      <c r="M53" s="3">
        <v>2</v>
      </c>
      <c r="N53" s="3">
        <v>6</v>
      </c>
      <c r="O53">
        <v>1</v>
      </c>
      <c r="P53">
        <f t="shared" si="0"/>
        <v>1</v>
      </c>
      <c r="Q53">
        <f t="shared" si="1"/>
        <v>1</v>
      </c>
      <c r="R53">
        <f t="shared" si="2"/>
        <v>1</v>
      </c>
      <c r="S53" s="10" t="str" cm="1">
        <f t="array" ref="S53">_xlfn.IFS(N53="", "", N53&gt;=9,"Promoter", N53&gt;=7,"Passive", N53&lt;=6,"Detractor")</f>
        <v>Detractor</v>
      </c>
    </row>
    <row r="54" spans="1:19" ht="14.25" customHeight="1">
      <c r="A54" s="3" t="s">
        <v>84</v>
      </c>
      <c r="B54" s="3" t="s">
        <v>20</v>
      </c>
      <c r="C54" s="3" t="s">
        <v>35</v>
      </c>
      <c r="D54" s="4">
        <v>45941</v>
      </c>
      <c r="E54" s="4">
        <v>45944</v>
      </c>
      <c r="F54" s="4">
        <v>45949</v>
      </c>
      <c r="G54" s="4">
        <v>45953</v>
      </c>
      <c r="H54" s="3" t="s">
        <v>22</v>
      </c>
      <c r="J54" s="4">
        <v>45976</v>
      </c>
      <c r="K54" s="3">
        <v>3</v>
      </c>
      <c r="L54" s="3">
        <v>5</v>
      </c>
      <c r="M54" s="3">
        <v>4</v>
      </c>
      <c r="N54" s="3">
        <v>4</v>
      </c>
      <c r="O54">
        <v>1</v>
      </c>
      <c r="P54">
        <f t="shared" si="0"/>
        <v>1</v>
      </c>
      <c r="Q54">
        <f t="shared" si="1"/>
        <v>1</v>
      </c>
      <c r="R54">
        <f t="shared" si="2"/>
        <v>1</v>
      </c>
      <c r="S54" s="10" t="str" cm="1">
        <f t="array" ref="S54">_xlfn.IFS(N54="", "", N54&gt;=9,"Promoter", N54&gt;=7,"Passive", N54&lt;=6,"Detractor")</f>
        <v>Detractor</v>
      </c>
    </row>
    <row r="55" spans="1:19" ht="14.25" customHeight="1">
      <c r="A55" s="3" t="s">
        <v>85</v>
      </c>
      <c r="B55" s="3" t="s">
        <v>24</v>
      </c>
      <c r="C55" s="3" t="s">
        <v>21</v>
      </c>
      <c r="D55" s="4">
        <v>45931</v>
      </c>
      <c r="E55" s="4">
        <v>45936</v>
      </c>
      <c r="F55" s="4">
        <v>45938</v>
      </c>
      <c r="G55" s="4">
        <v>45942</v>
      </c>
      <c r="H55" s="3" t="s">
        <v>22</v>
      </c>
      <c r="J55" s="4">
        <v>45972</v>
      </c>
      <c r="K55" s="3">
        <v>5</v>
      </c>
      <c r="L55" s="3">
        <v>2</v>
      </c>
      <c r="M55" s="3">
        <v>4</v>
      </c>
      <c r="N55" s="3">
        <v>4</v>
      </c>
      <c r="O55">
        <v>1</v>
      </c>
      <c r="P55">
        <f t="shared" si="0"/>
        <v>1</v>
      </c>
      <c r="Q55">
        <f t="shared" si="1"/>
        <v>1</v>
      </c>
      <c r="R55">
        <f t="shared" si="2"/>
        <v>1</v>
      </c>
      <c r="S55" s="10" t="str" cm="1">
        <f t="array" ref="S55">_xlfn.IFS(N55="", "", N55&gt;=9,"Promoter", N55&gt;=7,"Passive", N55&lt;=6,"Detractor")</f>
        <v>Detractor</v>
      </c>
    </row>
    <row r="56" spans="1:19" ht="14.25" customHeight="1">
      <c r="A56" s="3" t="s">
        <v>86</v>
      </c>
      <c r="B56" s="3" t="s">
        <v>26</v>
      </c>
      <c r="C56" s="3" t="s">
        <v>21</v>
      </c>
      <c r="D56" s="4">
        <v>45946</v>
      </c>
      <c r="E56" s="4">
        <v>45949</v>
      </c>
      <c r="F56" s="4">
        <v>45954</v>
      </c>
      <c r="G56" s="4">
        <v>45959</v>
      </c>
      <c r="H56" s="3" t="s">
        <v>22</v>
      </c>
      <c r="J56" s="4">
        <v>45984</v>
      </c>
      <c r="K56" s="3">
        <v>3</v>
      </c>
      <c r="L56" s="3">
        <v>5</v>
      </c>
      <c r="M56" s="3">
        <v>5</v>
      </c>
      <c r="N56" s="3">
        <v>8</v>
      </c>
      <c r="O56">
        <v>1</v>
      </c>
      <c r="P56">
        <f t="shared" si="0"/>
        <v>1</v>
      </c>
      <c r="Q56">
        <f t="shared" si="1"/>
        <v>1</v>
      </c>
      <c r="R56">
        <f t="shared" si="2"/>
        <v>1</v>
      </c>
      <c r="S56" s="10" t="str" cm="1">
        <f t="array" ref="S56">_xlfn.IFS(N56="", "", N56&gt;=9,"Promoter", N56&gt;=7,"Passive", N56&lt;=6,"Detractor")</f>
        <v>Passive</v>
      </c>
    </row>
    <row r="57" spans="1:19" ht="14.25" customHeight="1">
      <c r="A57" s="3" t="s">
        <v>87</v>
      </c>
      <c r="B57" s="3" t="s">
        <v>20</v>
      </c>
      <c r="C57" s="3" t="s">
        <v>35</v>
      </c>
      <c r="D57" s="4">
        <v>45958</v>
      </c>
      <c r="E57" s="4">
        <v>45959</v>
      </c>
      <c r="F57" s="4">
        <v>45962</v>
      </c>
      <c r="G57" s="4">
        <v>45968</v>
      </c>
      <c r="H57" s="3" t="s">
        <v>22</v>
      </c>
      <c r="J57" s="4">
        <v>45998</v>
      </c>
      <c r="K57" s="3">
        <v>1</v>
      </c>
      <c r="L57" s="3">
        <v>3</v>
      </c>
      <c r="M57" s="3">
        <v>6</v>
      </c>
      <c r="N57" s="3">
        <v>3</v>
      </c>
      <c r="O57">
        <v>1</v>
      </c>
      <c r="P57">
        <f t="shared" si="0"/>
        <v>1</v>
      </c>
      <c r="Q57">
        <f t="shared" si="1"/>
        <v>1</v>
      </c>
      <c r="R57">
        <f t="shared" si="2"/>
        <v>1</v>
      </c>
      <c r="S57" s="10" t="str" cm="1">
        <f t="array" ref="S57">_xlfn.IFS(N57="", "", N57&gt;=9,"Promoter", N57&gt;=7,"Passive", N57&lt;=6,"Detractor")</f>
        <v>Detractor</v>
      </c>
    </row>
    <row r="58" spans="1:19" ht="14.25" customHeight="1">
      <c r="A58" s="3" t="s">
        <v>88</v>
      </c>
      <c r="B58" s="3" t="s">
        <v>26</v>
      </c>
      <c r="C58" s="3" t="s">
        <v>21</v>
      </c>
      <c r="D58" s="4">
        <v>45941</v>
      </c>
      <c r="E58" s="4">
        <v>45944</v>
      </c>
      <c r="F58" s="4">
        <v>45948</v>
      </c>
      <c r="G58" s="4">
        <v>45951</v>
      </c>
      <c r="H58" s="3" t="s">
        <v>22</v>
      </c>
      <c r="J58" s="4">
        <v>45971</v>
      </c>
      <c r="K58" s="3">
        <v>3</v>
      </c>
      <c r="L58" s="3">
        <v>4</v>
      </c>
      <c r="M58" s="3">
        <v>3</v>
      </c>
      <c r="N58" s="3">
        <v>6</v>
      </c>
      <c r="O58">
        <v>1</v>
      </c>
      <c r="P58">
        <f t="shared" si="0"/>
        <v>1</v>
      </c>
      <c r="Q58">
        <f t="shared" si="1"/>
        <v>1</v>
      </c>
      <c r="R58">
        <f t="shared" si="2"/>
        <v>1</v>
      </c>
      <c r="S58" s="10" t="str" cm="1">
        <f t="array" ref="S58">_xlfn.IFS(N58="", "", N58&gt;=9,"Promoter", N58&gt;=7,"Passive", N58&lt;=6,"Detractor")</f>
        <v>Detractor</v>
      </c>
    </row>
    <row r="59" spans="1:19" ht="14.25" customHeight="1">
      <c r="A59" s="3" t="s">
        <v>89</v>
      </c>
      <c r="B59" s="3" t="s">
        <v>20</v>
      </c>
      <c r="C59" s="3" t="s">
        <v>35</v>
      </c>
      <c r="D59" s="4">
        <v>45936</v>
      </c>
      <c r="E59" s="4">
        <v>45941</v>
      </c>
      <c r="F59" s="4">
        <v>45946</v>
      </c>
      <c r="G59" s="4">
        <v>45953</v>
      </c>
      <c r="H59" s="3" t="s">
        <v>22</v>
      </c>
      <c r="J59" s="4">
        <v>45968</v>
      </c>
      <c r="K59" s="3">
        <v>5</v>
      </c>
      <c r="L59" s="3">
        <v>5</v>
      </c>
      <c r="M59" s="3">
        <v>7</v>
      </c>
      <c r="N59" s="3">
        <v>1</v>
      </c>
      <c r="O59">
        <v>1</v>
      </c>
      <c r="P59">
        <f t="shared" si="0"/>
        <v>1</v>
      </c>
      <c r="Q59">
        <f t="shared" si="1"/>
        <v>1</v>
      </c>
      <c r="R59">
        <f t="shared" si="2"/>
        <v>1</v>
      </c>
      <c r="S59" s="10" t="str" cm="1">
        <f t="array" ref="S59">_xlfn.IFS(N59="", "", N59&gt;=9,"Promoter", N59&gt;=7,"Passive", N59&lt;=6,"Detractor")</f>
        <v>Detractor</v>
      </c>
    </row>
    <row r="60" spans="1:19" ht="14.25" customHeight="1">
      <c r="A60" s="3" t="s">
        <v>90</v>
      </c>
      <c r="B60" s="3" t="s">
        <v>20</v>
      </c>
      <c r="C60" s="3" t="s">
        <v>21</v>
      </c>
      <c r="D60" s="4">
        <v>45946</v>
      </c>
      <c r="E60" s="4">
        <v>45948</v>
      </c>
      <c r="F60" s="4">
        <v>45952</v>
      </c>
      <c r="G60" s="4">
        <v>45959</v>
      </c>
      <c r="H60" s="3" t="s">
        <v>28</v>
      </c>
      <c r="I60" s="3" t="s">
        <v>68</v>
      </c>
      <c r="K60" s="3">
        <v>2</v>
      </c>
      <c r="L60" s="3">
        <v>4</v>
      </c>
      <c r="M60" s="3">
        <v>7</v>
      </c>
      <c r="O60">
        <v>1</v>
      </c>
      <c r="P60">
        <f t="shared" si="0"/>
        <v>1</v>
      </c>
      <c r="Q60">
        <f t="shared" si="1"/>
        <v>1</v>
      </c>
      <c r="R60">
        <f t="shared" si="2"/>
        <v>0</v>
      </c>
      <c r="S60" s="10" t="str" cm="1">
        <f t="array" ref="S60">_xlfn.IFS(N60="", "", N60&gt;=9,"Promoter", N60&gt;=7,"Passive", N60&lt;=6,"Detractor")</f>
        <v/>
      </c>
    </row>
    <row r="61" spans="1:19" ht="14.25" customHeight="1">
      <c r="A61" s="3" t="s">
        <v>91</v>
      </c>
      <c r="B61" s="3" t="s">
        <v>20</v>
      </c>
      <c r="C61" s="3" t="s">
        <v>21</v>
      </c>
      <c r="D61" s="4">
        <v>45937</v>
      </c>
      <c r="E61" s="4">
        <v>45941</v>
      </c>
      <c r="F61" s="4">
        <v>45944</v>
      </c>
      <c r="G61" s="4">
        <v>45948</v>
      </c>
      <c r="H61" s="3" t="s">
        <v>22</v>
      </c>
      <c r="J61" s="4">
        <v>45975</v>
      </c>
      <c r="K61" s="3">
        <v>4</v>
      </c>
      <c r="L61" s="3">
        <v>3</v>
      </c>
      <c r="M61" s="3">
        <v>4</v>
      </c>
      <c r="N61" s="3">
        <v>2</v>
      </c>
      <c r="O61">
        <v>1</v>
      </c>
      <c r="P61">
        <f t="shared" si="0"/>
        <v>1</v>
      </c>
      <c r="Q61">
        <f t="shared" si="1"/>
        <v>1</v>
      </c>
      <c r="R61">
        <f t="shared" si="2"/>
        <v>1</v>
      </c>
      <c r="S61" s="10" t="str" cm="1">
        <f t="array" ref="S61">_xlfn.IFS(N61="", "", N61&gt;=9,"Promoter", N61&gt;=7,"Passive", N61&lt;=6,"Detractor")</f>
        <v>Detractor</v>
      </c>
    </row>
    <row r="62" spans="1:19" ht="14.25" customHeight="1">
      <c r="A62" s="3" t="s">
        <v>92</v>
      </c>
      <c r="B62" s="3" t="s">
        <v>24</v>
      </c>
      <c r="C62" s="3" t="s">
        <v>21</v>
      </c>
      <c r="D62" s="4">
        <v>45942</v>
      </c>
      <c r="E62" s="4">
        <v>45947</v>
      </c>
      <c r="F62" s="4">
        <v>45949</v>
      </c>
      <c r="G62" s="4">
        <v>45955</v>
      </c>
      <c r="H62" s="3" t="s">
        <v>22</v>
      </c>
      <c r="J62" s="4">
        <v>45984</v>
      </c>
      <c r="K62" s="3">
        <v>5</v>
      </c>
      <c r="L62" s="3">
        <v>2</v>
      </c>
      <c r="M62" s="3">
        <v>6</v>
      </c>
      <c r="N62" s="3">
        <v>7</v>
      </c>
      <c r="O62">
        <v>1</v>
      </c>
      <c r="P62">
        <f t="shared" si="0"/>
        <v>1</v>
      </c>
      <c r="Q62">
        <f t="shared" si="1"/>
        <v>1</v>
      </c>
      <c r="R62">
        <f t="shared" si="2"/>
        <v>1</v>
      </c>
      <c r="S62" s="10" t="str" cm="1">
        <f t="array" ref="S62">_xlfn.IFS(N62="", "", N62&gt;=9,"Promoter", N62&gt;=7,"Passive", N62&lt;=6,"Detractor")</f>
        <v>Passive</v>
      </c>
    </row>
    <row r="63" spans="1:19" ht="14.25" customHeight="1">
      <c r="A63" s="3" t="s">
        <v>93</v>
      </c>
      <c r="B63" s="3" t="s">
        <v>24</v>
      </c>
      <c r="C63" s="3" t="s">
        <v>35</v>
      </c>
      <c r="D63" s="4">
        <v>45956</v>
      </c>
      <c r="E63" s="4">
        <v>45961</v>
      </c>
      <c r="F63" s="4">
        <v>45965</v>
      </c>
      <c r="G63" s="4">
        <v>45971</v>
      </c>
      <c r="H63" s="3" t="s">
        <v>22</v>
      </c>
      <c r="J63" s="4">
        <v>45992</v>
      </c>
      <c r="K63" s="3">
        <v>5</v>
      </c>
      <c r="L63" s="3">
        <v>4</v>
      </c>
      <c r="M63" s="3">
        <v>6</v>
      </c>
      <c r="N63" s="3">
        <v>9</v>
      </c>
      <c r="O63">
        <v>1</v>
      </c>
      <c r="P63">
        <f t="shared" si="0"/>
        <v>1</v>
      </c>
      <c r="Q63">
        <f t="shared" si="1"/>
        <v>1</v>
      </c>
      <c r="R63">
        <f t="shared" si="2"/>
        <v>1</v>
      </c>
      <c r="S63" s="10" t="str" cm="1">
        <f t="array" ref="S63">_xlfn.IFS(N63="", "", N63&gt;=9,"Promoter", N63&gt;=7,"Passive", N63&lt;=6,"Detractor")</f>
        <v>Promoter</v>
      </c>
    </row>
    <row r="64" spans="1:19" ht="14.25" customHeight="1">
      <c r="A64" s="3" t="s">
        <v>94</v>
      </c>
      <c r="B64" s="3" t="s">
        <v>26</v>
      </c>
      <c r="C64" s="3" t="s">
        <v>21</v>
      </c>
      <c r="D64" s="4">
        <v>45939</v>
      </c>
      <c r="E64" s="4">
        <v>45944</v>
      </c>
      <c r="F64" s="4">
        <v>45949</v>
      </c>
      <c r="G64" s="4">
        <v>45951</v>
      </c>
      <c r="H64" s="3" t="s">
        <v>22</v>
      </c>
      <c r="J64" s="4">
        <v>45968</v>
      </c>
      <c r="K64" s="3">
        <v>5</v>
      </c>
      <c r="L64" s="3">
        <v>5</v>
      </c>
      <c r="M64" s="3">
        <v>2</v>
      </c>
      <c r="N64" s="3">
        <v>3</v>
      </c>
      <c r="O64">
        <v>1</v>
      </c>
      <c r="P64">
        <f t="shared" si="0"/>
        <v>1</v>
      </c>
      <c r="Q64">
        <f t="shared" si="1"/>
        <v>1</v>
      </c>
      <c r="R64">
        <f t="shared" si="2"/>
        <v>1</v>
      </c>
      <c r="S64" s="10" t="str" cm="1">
        <f t="array" ref="S64">_xlfn.IFS(N64="", "", N64&gt;=9,"Promoter", N64&gt;=7,"Passive", N64&lt;=6,"Detractor")</f>
        <v>Detractor</v>
      </c>
    </row>
    <row r="65" spans="1:19" ht="14.25" customHeight="1">
      <c r="A65" s="3" t="s">
        <v>95</v>
      </c>
      <c r="B65" s="3" t="s">
        <v>20</v>
      </c>
      <c r="C65" s="3" t="s">
        <v>35</v>
      </c>
      <c r="D65" s="4">
        <v>45941</v>
      </c>
      <c r="E65" s="4">
        <v>45946</v>
      </c>
      <c r="F65" s="4">
        <v>45949</v>
      </c>
      <c r="G65" s="4">
        <v>45956</v>
      </c>
      <c r="H65" s="3" t="s">
        <v>22</v>
      </c>
      <c r="J65" s="4">
        <v>45984</v>
      </c>
      <c r="K65" s="3">
        <v>5</v>
      </c>
      <c r="L65" s="3">
        <v>3</v>
      </c>
      <c r="M65" s="3">
        <v>7</v>
      </c>
      <c r="N65" s="3">
        <v>3</v>
      </c>
      <c r="O65">
        <v>1</v>
      </c>
      <c r="P65">
        <f t="shared" si="0"/>
        <v>1</v>
      </c>
      <c r="Q65">
        <f t="shared" si="1"/>
        <v>1</v>
      </c>
      <c r="R65">
        <f t="shared" si="2"/>
        <v>1</v>
      </c>
      <c r="S65" s="10" t="str" cm="1">
        <f t="array" ref="S65">_xlfn.IFS(N65="", "", N65&gt;=9,"Promoter", N65&gt;=7,"Passive", N65&lt;=6,"Detractor")</f>
        <v>Detractor</v>
      </c>
    </row>
    <row r="66" spans="1:19" ht="14.25" customHeight="1">
      <c r="A66" s="3" t="s">
        <v>96</v>
      </c>
      <c r="B66" s="3" t="s">
        <v>20</v>
      </c>
      <c r="C66" s="3" t="s">
        <v>27</v>
      </c>
      <c r="D66" s="4">
        <v>45939</v>
      </c>
      <c r="H66" s="3" t="s">
        <v>28</v>
      </c>
      <c r="I66" s="3" t="s">
        <v>29</v>
      </c>
      <c r="O66">
        <v>1</v>
      </c>
      <c r="P66">
        <f t="shared" si="0"/>
        <v>0</v>
      </c>
      <c r="Q66">
        <f t="shared" si="1"/>
        <v>0</v>
      </c>
      <c r="R66">
        <f t="shared" si="2"/>
        <v>0</v>
      </c>
      <c r="S66" s="10" t="str" cm="1">
        <f t="array" ref="S66">_xlfn.IFS(N66="", "", N66&gt;=9,"Promoter", N66&gt;=7,"Passive", N66&lt;=6,"Detractor")</f>
        <v/>
      </c>
    </row>
    <row r="67" spans="1:19" ht="14.25" customHeight="1">
      <c r="A67" s="3" t="s">
        <v>97</v>
      </c>
      <c r="B67" s="3" t="s">
        <v>24</v>
      </c>
      <c r="C67" s="3" t="s">
        <v>21</v>
      </c>
      <c r="D67" s="4">
        <v>45959</v>
      </c>
      <c r="E67" s="4">
        <v>45960</v>
      </c>
      <c r="F67" s="4">
        <v>45965</v>
      </c>
      <c r="G67" s="4">
        <v>45968</v>
      </c>
      <c r="H67" s="3" t="s">
        <v>22</v>
      </c>
      <c r="J67" s="4">
        <v>45983</v>
      </c>
      <c r="K67" s="3">
        <v>1</v>
      </c>
      <c r="L67" s="3">
        <v>5</v>
      </c>
      <c r="M67" s="3">
        <v>3</v>
      </c>
      <c r="N67" s="3">
        <v>10</v>
      </c>
      <c r="O67">
        <v>1</v>
      </c>
      <c r="P67">
        <f t="shared" ref="P67:P130" si="3">IF(E67&lt;&gt;"", 1, 0)</f>
        <v>1</v>
      </c>
      <c r="Q67">
        <f t="shared" ref="Q67:Q130" si="4">IF(G67&lt;&gt;"",1,0)</f>
        <v>1</v>
      </c>
      <c r="R67">
        <f t="shared" ref="R67:R130" si="5">IF(AND(G67&lt;&gt;"", H67="No"), 1, 0)</f>
        <v>1</v>
      </c>
      <c r="S67" s="10" t="str" cm="1">
        <f t="array" ref="S67">_xlfn.IFS(N67="", "", N67&gt;=9,"Promoter", N67&gt;=7,"Passive", N67&lt;=6,"Detractor")</f>
        <v>Promoter</v>
      </c>
    </row>
    <row r="68" spans="1:19" ht="14.25" customHeight="1">
      <c r="A68" s="3" t="s">
        <v>98</v>
      </c>
      <c r="B68" s="3" t="s">
        <v>20</v>
      </c>
      <c r="C68" s="3" t="s">
        <v>21</v>
      </c>
      <c r="D68" s="4">
        <v>45950</v>
      </c>
      <c r="E68" s="4">
        <v>45955</v>
      </c>
      <c r="F68" s="4">
        <v>45958</v>
      </c>
      <c r="G68" s="4">
        <v>45962</v>
      </c>
      <c r="H68" s="3" t="s">
        <v>22</v>
      </c>
      <c r="J68" s="4">
        <v>45984</v>
      </c>
      <c r="K68" s="3">
        <v>5</v>
      </c>
      <c r="L68" s="3">
        <v>3</v>
      </c>
      <c r="M68" s="3">
        <v>4</v>
      </c>
      <c r="N68" s="3">
        <v>4</v>
      </c>
      <c r="O68">
        <v>1</v>
      </c>
      <c r="P68">
        <f t="shared" si="3"/>
        <v>1</v>
      </c>
      <c r="Q68">
        <f t="shared" si="4"/>
        <v>1</v>
      </c>
      <c r="R68">
        <f t="shared" si="5"/>
        <v>1</v>
      </c>
      <c r="S68" s="10" t="str" cm="1">
        <f t="array" ref="S68">_xlfn.IFS(N68="", "", N68&gt;=9,"Promoter", N68&gt;=7,"Passive", N68&lt;=6,"Detractor")</f>
        <v>Detractor</v>
      </c>
    </row>
    <row r="69" spans="1:19" ht="14.25" customHeight="1">
      <c r="A69" s="3" t="s">
        <v>99</v>
      </c>
      <c r="B69" s="3" t="s">
        <v>24</v>
      </c>
      <c r="C69" s="3" t="s">
        <v>35</v>
      </c>
      <c r="D69" s="4">
        <v>45953</v>
      </c>
      <c r="E69" s="4">
        <v>45956</v>
      </c>
      <c r="F69" s="4">
        <v>45959</v>
      </c>
      <c r="G69" s="4">
        <v>45961</v>
      </c>
      <c r="H69" s="3" t="s">
        <v>22</v>
      </c>
      <c r="J69" s="4">
        <v>45980</v>
      </c>
      <c r="K69" s="3">
        <v>3</v>
      </c>
      <c r="L69" s="3">
        <v>3</v>
      </c>
      <c r="M69" s="3">
        <v>2</v>
      </c>
      <c r="N69" s="3">
        <v>5</v>
      </c>
      <c r="O69">
        <v>1</v>
      </c>
      <c r="P69">
        <f t="shared" si="3"/>
        <v>1</v>
      </c>
      <c r="Q69">
        <f t="shared" si="4"/>
        <v>1</v>
      </c>
      <c r="R69">
        <f t="shared" si="5"/>
        <v>1</v>
      </c>
      <c r="S69" s="10" t="str" cm="1">
        <f t="array" ref="S69">_xlfn.IFS(N69="", "", N69&gt;=9,"Promoter", N69&gt;=7,"Passive", N69&lt;=6,"Detractor")</f>
        <v>Detractor</v>
      </c>
    </row>
    <row r="70" spans="1:19" ht="14.25" customHeight="1">
      <c r="A70" s="3" t="s">
        <v>100</v>
      </c>
      <c r="B70" s="3" t="s">
        <v>20</v>
      </c>
      <c r="C70" s="3" t="s">
        <v>27</v>
      </c>
      <c r="D70" s="4">
        <v>45959</v>
      </c>
      <c r="H70" s="3" t="s">
        <v>28</v>
      </c>
      <c r="I70" s="3" t="s">
        <v>68</v>
      </c>
      <c r="O70">
        <v>1</v>
      </c>
      <c r="P70">
        <f t="shared" si="3"/>
        <v>0</v>
      </c>
      <c r="Q70">
        <f t="shared" si="4"/>
        <v>0</v>
      </c>
      <c r="R70">
        <f t="shared" si="5"/>
        <v>0</v>
      </c>
      <c r="S70" s="10" t="str" cm="1">
        <f t="array" ref="S70">_xlfn.IFS(N70="", "", N70&gt;=9,"Promoter", N70&gt;=7,"Passive", N70&lt;=6,"Detractor")</f>
        <v/>
      </c>
    </row>
    <row r="71" spans="1:19" ht="14.25" customHeight="1">
      <c r="A71" s="3" t="s">
        <v>101</v>
      </c>
      <c r="B71" s="3" t="s">
        <v>26</v>
      </c>
      <c r="C71" s="3" t="s">
        <v>35</v>
      </c>
      <c r="D71" s="4">
        <v>45939</v>
      </c>
      <c r="E71" s="4">
        <v>45940</v>
      </c>
      <c r="F71" s="4">
        <v>45945</v>
      </c>
      <c r="G71" s="4">
        <v>45948</v>
      </c>
      <c r="H71" s="3" t="s">
        <v>22</v>
      </c>
      <c r="J71" s="4">
        <v>45967</v>
      </c>
      <c r="K71" s="3">
        <v>1</v>
      </c>
      <c r="L71" s="3">
        <v>5</v>
      </c>
      <c r="M71" s="3">
        <v>3</v>
      </c>
      <c r="N71" s="3">
        <v>1</v>
      </c>
      <c r="O71">
        <v>1</v>
      </c>
      <c r="P71">
        <f t="shared" si="3"/>
        <v>1</v>
      </c>
      <c r="Q71">
        <f t="shared" si="4"/>
        <v>1</v>
      </c>
      <c r="R71">
        <f t="shared" si="5"/>
        <v>1</v>
      </c>
      <c r="S71" s="10" t="str" cm="1">
        <f t="array" ref="S71">_xlfn.IFS(N71="", "", N71&gt;=9,"Promoter", N71&gt;=7,"Passive", N71&lt;=6,"Detractor")</f>
        <v>Detractor</v>
      </c>
    </row>
    <row r="72" spans="1:19" ht="14.25" customHeight="1">
      <c r="A72" s="3" t="s">
        <v>102</v>
      </c>
      <c r="B72" s="3" t="s">
        <v>20</v>
      </c>
      <c r="C72" s="3" t="s">
        <v>35</v>
      </c>
      <c r="D72" s="4">
        <v>45948</v>
      </c>
      <c r="E72" s="4">
        <v>45950</v>
      </c>
      <c r="F72" s="4">
        <v>45954</v>
      </c>
      <c r="G72" s="4">
        <v>45958</v>
      </c>
      <c r="H72" s="3" t="s">
        <v>22</v>
      </c>
      <c r="J72" s="4">
        <v>45972</v>
      </c>
      <c r="K72" s="3">
        <v>2</v>
      </c>
      <c r="L72" s="3">
        <v>4</v>
      </c>
      <c r="M72" s="3">
        <v>4</v>
      </c>
      <c r="N72" s="3">
        <v>10</v>
      </c>
      <c r="O72">
        <v>1</v>
      </c>
      <c r="P72">
        <f t="shared" si="3"/>
        <v>1</v>
      </c>
      <c r="Q72">
        <f t="shared" si="4"/>
        <v>1</v>
      </c>
      <c r="R72">
        <f t="shared" si="5"/>
        <v>1</v>
      </c>
      <c r="S72" s="10" t="str" cm="1">
        <f t="array" ref="S72">_xlfn.IFS(N72="", "", N72&gt;=9,"Promoter", N72&gt;=7,"Passive", N72&lt;=6,"Detractor")</f>
        <v>Promoter</v>
      </c>
    </row>
    <row r="73" spans="1:19" ht="14.25" customHeight="1">
      <c r="A73" s="3" t="s">
        <v>103</v>
      </c>
      <c r="B73" s="3" t="s">
        <v>20</v>
      </c>
      <c r="C73" s="3" t="s">
        <v>21</v>
      </c>
      <c r="D73" s="4">
        <v>45931</v>
      </c>
      <c r="E73" s="4">
        <v>45934</v>
      </c>
      <c r="F73" s="4">
        <v>45936</v>
      </c>
      <c r="G73" s="4">
        <v>45938</v>
      </c>
      <c r="H73" s="3" t="s">
        <v>22</v>
      </c>
      <c r="J73" s="4">
        <v>45953</v>
      </c>
      <c r="K73" s="3">
        <v>3</v>
      </c>
      <c r="L73" s="3">
        <v>2</v>
      </c>
      <c r="M73" s="3">
        <v>2</v>
      </c>
      <c r="N73" s="3">
        <v>7</v>
      </c>
      <c r="O73">
        <v>1</v>
      </c>
      <c r="P73">
        <f t="shared" si="3"/>
        <v>1</v>
      </c>
      <c r="Q73">
        <f t="shared" si="4"/>
        <v>1</v>
      </c>
      <c r="R73">
        <f t="shared" si="5"/>
        <v>1</v>
      </c>
      <c r="S73" s="10" t="str" cm="1">
        <f t="array" ref="S73">_xlfn.IFS(N73="", "", N73&gt;=9,"Promoter", N73&gt;=7,"Passive", N73&lt;=6,"Detractor")</f>
        <v>Passive</v>
      </c>
    </row>
    <row r="74" spans="1:19" ht="14.25" customHeight="1">
      <c r="A74" s="3" t="s">
        <v>104</v>
      </c>
      <c r="B74" s="3" t="s">
        <v>37</v>
      </c>
      <c r="C74" s="3" t="s">
        <v>35</v>
      </c>
      <c r="D74" s="4">
        <v>45947</v>
      </c>
      <c r="E74" s="4">
        <v>45950</v>
      </c>
      <c r="F74" s="4">
        <v>45952</v>
      </c>
      <c r="G74" s="4">
        <v>45955</v>
      </c>
      <c r="H74" s="3" t="s">
        <v>22</v>
      </c>
      <c r="J74" s="4">
        <v>45965</v>
      </c>
      <c r="K74" s="3">
        <v>3</v>
      </c>
      <c r="L74" s="3">
        <v>2</v>
      </c>
      <c r="M74" s="3">
        <v>3</v>
      </c>
      <c r="N74" s="3">
        <v>6</v>
      </c>
      <c r="O74">
        <v>1</v>
      </c>
      <c r="P74">
        <f t="shared" si="3"/>
        <v>1</v>
      </c>
      <c r="Q74">
        <f t="shared" si="4"/>
        <v>1</v>
      </c>
      <c r="R74">
        <f t="shared" si="5"/>
        <v>1</v>
      </c>
      <c r="S74" s="10" t="str" cm="1">
        <f t="array" ref="S74">_xlfn.IFS(N74="", "", N74&gt;=9,"Promoter", N74&gt;=7,"Passive", N74&lt;=6,"Detractor")</f>
        <v>Detractor</v>
      </c>
    </row>
    <row r="75" spans="1:19" ht="14.25" customHeight="1">
      <c r="A75" s="3" t="s">
        <v>105</v>
      </c>
      <c r="B75" s="3" t="s">
        <v>24</v>
      </c>
      <c r="C75" s="3" t="s">
        <v>27</v>
      </c>
      <c r="D75" s="4">
        <v>45961</v>
      </c>
      <c r="H75" s="3" t="s">
        <v>28</v>
      </c>
      <c r="I75" s="3" t="s">
        <v>106</v>
      </c>
      <c r="O75">
        <v>1</v>
      </c>
      <c r="P75">
        <f t="shared" si="3"/>
        <v>0</v>
      </c>
      <c r="Q75">
        <f t="shared" si="4"/>
        <v>0</v>
      </c>
      <c r="R75">
        <f t="shared" si="5"/>
        <v>0</v>
      </c>
      <c r="S75" s="10" t="str" cm="1">
        <f t="array" ref="S75">_xlfn.IFS(N75="", "", N75&gt;=9,"Promoter", N75&gt;=7,"Passive", N75&lt;=6,"Detractor")</f>
        <v/>
      </c>
    </row>
    <row r="76" spans="1:19" ht="14.25" customHeight="1">
      <c r="A76" s="3" t="s">
        <v>107</v>
      </c>
      <c r="B76" s="3" t="s">
        <v>20</v>
      </c>
      <c r="C76" s="3" t="s">
        <v>21</v>
      </c>
      <c r="D76" s="4">
        <v>45937</v>
      </c>
      <c r="E76" s="4">
        <v>45940</v>
      </c>
      <c r="F76" s="4">
        <v>45943</v>
      </c>
      <c r="G76" s="4">
        <v>45947</v>
      </c>
      <c r="H76" s="3" t="s">
        <v>22</v>
      </c>
      <c r="J76" s="4">
        <v>45975</v>
      </c>
      <c r="K76" s="3">
        <v>3</v>
      </c>
      <c r="L76" s="3">
        <v>3</v>
      </c>
      <c r="M76" s="3">
        <v>4</v>
      </c>
      <c r="N76" s="3">
        <v>0</v>
      </c>
      <c r="O76">
        <v>1</v>
      </c>
      <c r="P76">
        <f t="shared" si="3"/>
        <v>1</v>
      </c>
      <c r="Q76">
        <f t="shared" si="4"/>
        <v>1</v>
      </c>
      <c r="R76">
        <f t="shared" si="5"/>
        <v>1</v>
      </c>
      <c r="S76" s="10" t="str" cm="1">
        <f t="array" ref="S76">_xlfn.IFS(N76="", "", N76&gt;=9,"Promoter", N76&gt;=7,"Passive", N76&lt;=6,"Detractor")</f>
        <v>Detractor</v>
      </c>
    </row>
    <row r="77" spans="1:19" ht="14.25" customHeight="1">
      <c r="A77" s="3" t="s">
        <v>108</v>
      </c>
      <c r="B77" s="3" t="s">
        <v>20</v>
      </c>
      <c r="C77" s="3" t="s">
        <v>35</v>
      </c>
      <c r="D77" s="4">
        <v>45933</v>
      </c>
      <c r="E77" s="4">
        <v>45936</v>
      </c>
      <c r="F77" s="4">
        <v>45941</v>
      </c>
      <c r="G77" s="4">
        <v>45948</v>
      </c>
      <c r="H77" s="3" t="s">
        <v>22</v>
      </c>
      <c r="J77" s="4">
        <v>45970</v>
      </c>
      <c r="K77" s="3">
        <v>3</v>
      </c>
      <c r="L77" s="3">
        <v>5</v>
      </c>
      <c r="M77" s="3">
        <v>7</v>
      </c>
      <c r="N77" s="3">
        <v>1</v>
      </c>
      <c r="O77">
        <v>1</v>
      </c>
      <c r="P77">
        <f t="shared" si="3"/>
        <v>1</v>
      </c>
      <c r="Q77">
        <f t="shared" si="4"/>
        <v>1</v>
      </c>
      <c r="R77">
        <f t="shared" si="5"/>
        <v>1</v>
      </c>
      <c r="S77" s="10" t="str" cm="1">
        <f t="array" ref="S77">_xlfn.IFS(N77="", "", N77&gt;=9,"Promoter", N77&gt;=7,"Passive", N77&lt;=6,"Detractor")</f>
        <v>Detractor</v>
      </c>
    </row>
    <row r="78" spans="1:19" ht="14.25" customHeight="1">
      <c r="A78" s="3" t="s">
        <v>109</v>
      </c>
      <c r="B78" s="3" t="s">
        <v>37</v>
      </c>
      <c r="C78" s="3" t="s">
        <v>21</v>
      </c>
      <c r="D78" s="4">
        <v>45938</v>
      </c>
      <c r="E78" s="4">
        <v>45939</v>
      </c>
      <c r="F78" s="4">
        <v>45942</v>
      </c>
      <c r="G78" s="4">
        <v>45945</v>
      </c>
      <c r="H78" s="3" t="s">
        <v>22</v>
      </c>
      <c r="J78" s="4">
        <v>45973</v>
      </c>
      <c r="K78" s="3">
        <v>1</v>
      </c>
      <c r="L78" s="3">
        <v>3</v>
      </c>
      <c r="M78" s="3">
        <v>3</v>
      </c>
      <c r="N78" s="3">
        <v>8</v>
      </c>
      <c r="O78">
        <v>1</v>
      </c>
      <c r="P78">
        <f t="shared" si="3"/>
        <v>1</v>
      </c>
      <c r="Q78">
        <f t="shared" si="4"/>
        <v>1</v>
      </c>
      <c r="R78">
        <f t="shared" si="5"/>
        <v>1</v>
      </c>
      <c r="S78" s="10" t="str" cm="1">
        <f t="array" ref="S78">_xlfn.IFS(N78="", "", N78&gt;=9,"Promoter", N78&gt;=7,"Passive", N78&lt;=6,"Detractor")</f>
        <v>Passive</v>
      </c>
    </row>
    <row r="79" spans="1:19" ht="14.25" customHeight="1">
      <c r="A79" s="3" t="s">
        <v>110</v>
      </c>
      <c r="B79" s="3" t="s">
        <v>37</v>
      </c>
      <c r="C79" s="3" t="s">
        <v>27</v>
      </c>
      <c r="D79" s="4">
        <v>45954</v>
      </c>
      <c r="H79" s="3" t="s">
        <v>28</v>
      </c>
      <c r="I79" s="3" t="s">
        <v>29</v>
      </c>
      <c r="O79">
        <v>1</v>
      </c>
      <c r="P79">
        <f t="shared" si="3"/>
        <v>0</v>
      </c>
      <c r="Q79">
        <f t="shared" si="4"/>
        <v>0</v>
      </c>
      <c r="R79">
        <f t="shared" si="5"/>
        <v>0</v>
      </c>
      <c r="S79" s="10" t="str" cm="1">
        <f t="array" ref="S79">_xlfn.IFS(N79="", "", N79&gt;=9,"Promoter", N79&gt;=7,"Passive", N79&lt;=6,"Detractor")</f>
        <v/>
      </c>
    </row>
    <row r="80" spans="1:19" ht="14.25" customHeight="1">
      <c r="A80" s="3" t="s">
        <v>111</v>
      </c>
      <c r="B80" s="3" t="s">
        <v>24</v>
      </c>
      <c r="C80" s="3" t="s">
        <v>27</v>
      </c>
      <c r="D80" s="4">
        <v>45944</v>
      </c>
      <c r="H80" s="3" t="s">
        <v>28</v>
      </c>
      <c r="I80" s="3" t="s">
        <v>68</v>
      </c>
      <c r="O80">
        <v>1</v>
      </c>
      <c r="P80">
        <f t="shared" si="3"/>
        <v>0</v>
      </c>
      <c r="Q80">
        <f t="shared" si="4"/>
        <v>0</v>
      </c>
      <c r="R80">
        <f t="shared" si="5"/>
        <v>0</v>
      </c>
      <c r="S80" s="10" t="str" cm="1">
        <f t="array" ref="S80">_xlfn.IFS(N80="", "", N80&gt;=9,"Promoter", N80&gt;=7,"Passive", N80&lt;=6,"Detractor")</f>
        <v/>
      </c>
    </row>
    <row r="81" spans="1:19" ht="14.25" customHeight="1">
      <c r="A81" s="3" t="s">
        <v>112</v>
      </c>
      <c r="B81" s="3" t="s">
        <v>37</v>
      </c>
      <c r="C81" s="3" t="s">
        <v>21</v>
      </c>
      <c r="D81" s="4">
        <v>45946</v>
      </c>
      <c r="E81" s="4">
        <v>45948</v>
      </c>
      <c r="F81" s="4">
        <v>45950</v>
      </c>
      <c r="G81" s="4">
        <v>45956</v>
      </c>
      <c r="H81" s="3" t="s">
        <v>28</v>
      </c>
      <c r="I81" s="3" t="s">
        <v>38</v>
      </c>
      <c r="K81" s="3">
        <v>2</v>
      </c>
      <c r="L81" s="3">
        <v>2</v>
      </c>
      <c r="M81" s="3">
        <v>6</v>
      </c>
      <c r="O81">
        <v>1</v>
      </c>
      <c r="P81">
        <f t="shared" si="3"/>
        <v>1</v>
      </c>
      <c r="Q81">
        <f t="shared" si="4"/>
        <v>1</v>
      </c>
      <c r="R81">
        <f t="shared" si="5"/>
        <v>0</v>
      </c>
      <c r="S81" s="10" t="str" cm="1">
        <f t="array" ref="S81">_xlfn.IFS(N81="", "", N81&gt;=9,"Promoter", N81&gt;=7,"Passive", N81&lt;=6,"Detractor")</f>
        <v/>
      </c>
    </row>
    <row r="82" spans="1:19" ht="14.25" customHeight="1">
      <c r="A82" s="3" t="s">
        <v>113</v>
      </c>
      <c r="B82" s="3" t="s">
        <v>26</v>
      </c>
      <c r="C82" s="3" t="s">
        <v>27</v>
      </c>
      <c r="D82" s="4">
        <v>45948</v>
      </c>
      <c r="H82" s="3" t="s">
        <v>28</v>
      </c>
      <c r="I82" s="3" t="s">
        <v>29</v>
      </c>
      <c r="O82">
        <v>1</v>
      </c>
      <c r="P82">
        <f t="shared" si="3"/>
        <v>0</v>
      </c>
      <c r="Q82">
        <f t="shared" si="4"/>
        <v>0</v>
      </c>
      <c r="R82">
        <f t="shared" si="5"/>
        <v>0</v>
      </c>
      <c r="S82" s="10" t="str" cm="1">
        <f t="array" ref="S82">_xlfn.IFS(N82="", "", N82&gt;=9,"Promoter", N82&gt;=7,"Passive", N82&lt;=6,"Detractor")</f>
        <v/>
      </c>
    </row>
    <row r="83" spans="1:19" ht="14.25" customHeight="1">
      <c r="A83" s="3" t="s">
        <v>114</v>
      </c>
      <c r="B83" s="3" t="s">
        <v>37</v>
      </c>
      <c r="C83" s="3" t="s">
        <v>27</v>
      </c>
      <c r="D83" s="4">
        <v>45955</v>
      </c>
      <c r="H83" s="3" t="s">
        <v>28</v>
      </c>
      <c r="I83" s="3" t="s">
        <v>29</v>
      </c>
      <c r="O83">
        <v>1</v>
      </c>
      <c r="P83">
        <f t="shared" si="3"/>
        <v>0</v>
      </c>
      <c r="Q83">
        <f t="shared" si="4"/>
        <v>0</v>
      </c>
      <c r="R83">
        <f t="shared" si="5"/>
        <v>0</v>
      </c>
      <c r="S83" s="10" t="str" cm="1">
        <f t="array" ref="S83">_xlfn.IFS(N83="", "", N83&gt;=9,"Promoter", N83&gt;=7,"Passive", N83&lt;=6,"Detractor")</f>
        <v/>
      </c>
    </row>
    <row r="84" spans="1:19" ht="14.25" customHeight="1">
      <c r="A84" s="3" t="s">
        <v>115</v>
      </c>
      <c r="B84" s="3" t="s">
        <v>26</v>
      </c>
      <c r="C84" s="3" t="s">
        <v>21</v>
      </c>
      <c r="D84" s="4">
        <v>45938</v>
      </c>
      <c r="E84" s="4">
        <v>45940</v>
      </c>
      <c r="F84" s="4">
        <v>45943</v>
      </c>
      <c r="G84" s="4">
        <v>45948</v>
      </c>
      <c r="H84" s="3" t="s">
        <v>22</v>
      </c>
      <c r="J84" s="4">
        <v>45959</v>
      </c>
      <c r="K84" s="3">
        <v>2</v>
      </c>
      <c r="L84" s="3">
        <v>3</v>
      </c>
      <c r="M84" s="3">
        <v>5</v>
      </c>
      <c r="N84" s="3">
        <v>5</v>
      </c>
      <c r="O84">
        <v>1</v>
      </c>
      <c r="P84">
        <f t="shared" si="3"/>
        <v>1</v>
      </c>
      <c r="Q84">
        <f t="shared" si="4"/>
        <v>1</v>
      </c>
      <c r="R84">
        <f t="shared" si="5"/>
        <v>1</v>
      </c>
      <c r="S84" s="10" t="str" cm="1">
        <f t="array" ref="S84">_xlfn.IFS(N84="", "", N84&gt;=9,"Promoter", N84&gt;=7,"Passive", N84&lt;=6,"Detractor")</f>
        <v>Detractor</v>
      </c>
    </row>
    <row r="85" spans="1:19" ht="14.25" customHeight="1">
      <c r="A85" s="3" t="s">
        <v>116</v>
      </c>
      <c r="B85" s="3" t="s">
        <v>24</v>
      </c>
      <c r="C85" s="3" t="s">
        <v>35</v>
      </c>
      <c r="D85" s="4">
        <v>45953</v>
      </c>
      <c r="E85" s="4">
        <v>45958</v>
      </c>
      <c r="F85" s="4">
        <v>45961</v>
      </c>
      <c r="G85" s="4">
        <v>45966</v>
      </c>
      <c r="H85" s="3" t="s">
        <v>22</v>
      </c>
      <c r="J85" s="4">
        <v>45981</v>
      </c>
      <c r="K85" s="3">
        <v>5</v>
      </c>
      <c r="L85" s="3">
        <v>3</v>
      </c>
      <c r="M85" s="3">
        <v>5</v>
      </c>
      <c r="N85" s="3">
        <v>5</v>
      </c>
      <c r="O85">
        <v>1</v>
      </c>
      <c r="P85">
        <f t="shared" si="3"/>
        <v>1</v>
      </c>
      <c r="Q85">
        <f t="shared" si="4"/>
        <v>1</v>
      </c>
      <c r="R85">
        <f t="shared" si="5"/>
        <v>1</v>
      </c>
      <c r="S85" s="10" t="str" cm="1">
        <f t="array" ref="S85">_xlfn.IFS(N85="", "", N85&gt;=9,"Promoter", N85&gt;=7,"Passive", N85&lt;=6,"Detractor")</f>
        <v>Detractor</v>
      </c>
    </row>
    <row r="86" spans="1:19" ht="14.25" customHeight="1">
      <c r="A86" s="3" t="s">
        <v>117</v>
      </c>
      <c r="B86" s="3" t="s">
        <v>24</v>
      </c>
      <c r="C86" s="3" t="s">
        <v>21</v>
      </c>
      <c r="D86" s="4">
        <v>45946</v>
      </c>
      <c r="E86" s="4">
        <v>45950</v>
      </c>
      <c r="F86" s="4">
        <v>45952</v>
      </c>
      <c r="G86" s="4">
        <v>45958</v>
      </c>
      <c r="H86" s="3" t="s">
        <v>22</v>
      </c>
      <c r="J86" s="4">
        <v>45987</v>
      </c>
      <c r="K86" s="3">
        <v>4</v>
      </c>
      <c r="L86" s="3">
        <v>2</v>
      </c>
      <c r="M86" s="3">
        <v>6</v>
      </c>
      <c r="N86" s="3">
        <v>4</v>
      </c>
      <c r="O86">
        <v>1</v>
      </c>
      <c r="P86">
        <f t="shared" si="3"/>
        <v>1</v>
      </c>
      <c r="Q86">
        <f t="shared" si="4"/>
        <v>1</v>
      </c>
      <c r="R86">
        <f t="shared" si="5"/>
        <v>1</v>
      </c>
      <c r="S86" s="10" t="str" cm="1">
        <f t="array" ref="S86">_xlfn.IFS(N86="", "", N86&gt;=9,"Promoter", N86&gt;=7,"Passive", N86&lt;=6,"Detractor")</f>
        <v>Detractor</v>
      </c>
    </row>
    <row r="87" spans="1:19" ht="14.25" customHeight="1">
      <c r="A87" s="3" t="s">
        <v>118</v>
      </c>
      <c r="B87" s="3" t="s">
        <v>24</v>
      </c>
      <c r="C87" s="3" t="s">
        <v>27</v>
      </c>
      <c r="D87" s="4">
        <v>45951</v>
      </c>
      <c r="H87" s="3" t="s">
        <v>28</v>
      </c>
      <c r="I87" s="3" t="s">
        <v>31</v>
      </c>
      <c r="O87">
        <v>1</v>
      </c>
      <c r="P87">
        <f t="shared" si="3"/>
        <v>0</v>
      </c>
      <c r="Q87">
        <f t="shared" si="4"/>
        <v>0</v>
      </c>
      <c r="R87">
        <f t="shared" si="5"/>
        <v>0</v>
      </c>
      <c r="S87" s="10" t="str" cm="1">
        <f t="array" ref="S87">_xlfn.IFS(N87="", "", N87&gt;=9,"Promoter", N87&gt;=7,"Passive", N87&lt;=6,"Detractor")</f>
        <v/>
      </c>
    </row>
    <row r="88" spans="1:19" ht="14.25" customHeight="1">
      <c r="A88" s="3" t="s">
        <v>119</v>
      </c>
      <c r="B88" s="3" t="s">
        <v>24</v>
      </c>
      <c r="C88" s="3" t="s">
        <v>35</v>
      </c>
      <c r="D88" s="4">
        <v>45953</v>
      </c>
      <c r="E88" s="4">
        <v>45954</v>
      </c>
      <c r="F88" s="4">
        <v>45958</v>
      </c>
      <c r="G88" s="4">
        <v>45961</v>
      </c>
      <c r="H88" s="3" t="s">
        <v>22</v>
      </c>
      <c r="J88" s="4">
        <v>45981</v>
      </c>
      <c r="K88" s="3">
        <v>1</v>
      </c>
      <c r="L88" s="3">
        <v>4</v>
      </c>
      <c r="M88" s="3">
        <v>3</v>
      </c>
      <c r="N88" s="3">
        <v>7</v>
      </c>
      <c r="O88">
        <v>1</v>
      </c>
      <c r="P88">
        <f t="shared" si="3"/>
        <v>1</v>
      </c>
      <c r="Q88">
        <f t="shared" si="4"/>
        <v>1</v>
      </c>
      <c r="R88">
        <f t="shared" si="5"/>
        <v>1</v>
      </c>
      <c r="S88" s="10" t="str" cm="1">
        <f t="array" ref="S88">_xlfn.IFS(N88="", "", N88&gt;=9,"Promoter", N88&gt;=7,"Passive", N88&lt;=6,"Detractor")</f>
        <v>Passive</v>
      </c>
    </row>
    <row r="89" spans="1:19" ht="14.25" customHeight="1">
      <c r="A89" s="3" t="s">
        <v>120</v>
      </c>
      <c r="B89" s="3" t="s">
        <v>24</v>
      </c>
      <c r="C89" s="3" t="s">
        <v>27</v>
      </c>
      <c r="D89" s="4">
        <v>45946</v>
      </c>
      <c r="H89" s="3" t="s">
        <v>28</v>
      </c>
      <c r="I89" s="3" t="s">
        <v>38</v>
      </c>
      <c r="O89">
        <v>1</v>
      </c>
      <c r="P89">
        <f t="shared" si="3"/>
        <v>0</v>
      </c>
      <c r="Q89">
        <f t="shared" si="4"/>
        <v>0</v>
      </c>
      <c r="R89">
        <f t="shared" si="5"/>
        <v>0</v>
      </c>
      <c r="S89" s="10" t="str" cm="1">
        <f t="array" ref="S89">_xlfn.IFS(N89="", "", N89&gt;=9,"Promoter", N89&gt;=7,"Passive", N89&lt;=6,"Detractor")</f>
        <v/>
      </c>
    </row>
    <row r="90" spans="1:19" ht="14.25" customHeight="1">
      <c r="A90" s="3" t="s">
        <v>121</v>
      </c>
      <c r="B90" s="3" t="s">
        <v>26</v>
      </c>
      <c r="C90" s="3" t="s">
        <v>35</v>
      </c>
      <c r="D90" s="4">
        <v>45945</v>
      </c>
      <c r="E90" s="4">
        <v>45947</v>
      </c>
      <c r="F90" s="4">
        <v>45950</v>
      </c>
      <c r="G90" s="4">
        <v>45956</v>
      </c>
      <c r="H90" s="3" t="s">
        <v>22</v>
      </c>
      <c r="J90" s="4">
        <v>45985</v>
      </c>
      <c r="K90" s="3">
        <v>2</v>
      </c>
      <c r="L90" s="3">
        <v>3</v>
      </c>
      <c r="M90" s="3">
        <v>6</v>
      </c>
      <c r="N90" s="3">
        <v>5</v>
      </c>
      <c r="O90">
        <v>1</v>
      </c>
      <c r="P90">
        <f t="shared" si="3"/>
        <v>1</v>
      </c>
      <c r="Q90">
        <f t="shared" si="4"/>
        <v>1</v>
      </c>
      <c r="R90">
        <f t="shared" si="5"/>
        <v>1</v>
      </c>
      <c r="S90" s="10" t="str" cm="1">
        <f t="array" ref="S90">_xlfn.IFS(N90="", "", N90&gt;=9,"Promoter", N90&gt;=7,"Passive", N90&lt;=6,"Detractor")</f>
        <v>Detractor</v>
      </c>
    </row>
    <row r="91" spans="1:19" ht="14.25" customHeight="1">
      <c r="A91" s="3" t="s">
        <v>122</v>
      </c>
      <c r="B91" s="3" t="s">
        <v>26</v>
      </c>
      <c r="C91" s="3" t="s">
        <v>35</v>
      </c>
      <c r="D91" s="4">
        <v>45956</v>
      </c>
      <c r="E91" s="4">
        <v>45957</v>
      </c>
      <c r="F91" s="4">
        <v>45961</v>
      </c>
      <c r="G91" s="4">
        <v>45966</v>
      </c>
      <c r="H91" s="3" t="s">
        <v>22</v>
      </c>
      <c r="J91" s="4">
        <v>45983</v>
      </c>
      <c r="K91" s="3">
        <v>1</v>
      </c>
      <c r="L91" s="3">
        <v>4</v>
      </c>
      <c r="M91" s="3">
        <v>5</v>
      </c>
      <c r="N91" s="3">
        <v>8</v>
      </c>
      <c r="O91">
        <v>1</v>
      </c>
      <c r="P91">
        <f t="shared" si="3"/>
        <v>1</v>
      </c>
      <c r="Q91">
        <f t="shared" si="4"/>
        <v>1</v>
      </c>
      <c r="R91">
        <f t="shared" si="5"/>
        <v>1</v>
      </c>
      <c r="S91" s="10" t="str" cm="1">
        <f t="array" ref="S91">_xlfn.IFS(N91="", "", N91&gt;=9,"Promoter", N91&gt;=7,"Passive", N91&lt;=6,"Detractor")</f>
        <v>Passive</v>
      </c>
    </row>
    <row r="92" spans="1:19" ht="14.25" customHeight="1">
      <c r="A92" s="3" t="s">
        <v>123</v>
      </c>
      <c r="B92" s="3" t="s">
        <v>24</v>
      </c>
      <c r="C92" s="3" t="s">
        <v>21</v>
      </c>
      <c r="D92" s="4">
        <v>45931</v>
      </c>
      <c r="E92" s="4">
        <v>45932</v>
      </c>
      <c r="F92" s="4">
        <v>45935</v>
      </c>
      <c r="G92" s="4">
        <v>45940</v>
      </c>
      <c r="H92" s="3" t="s">
        <v>22</v>
      </c>
      <c r="J92" s="4">
        <v>45970</v>
      </c>
      <c r="K92" s="3">
        <v>1</v>
      </c>
      <c r="L92" s="3">
        <v>3</v>
      </c>
      <c r="M92" s="3">
        <v>5</v>
      </c>
      <c r="N92" s="3">
        <v>0</v>
      </c>
      <c r="O92">
        <v>1</v>
      </c>
      <c r="P92">
        <f t="shared" si="3"/>
        <v>1</v>
      </c>
      <c r="Q92">
        <f t="shared" si="4"/>
        <v>1</v>
      </c>
      <c r="R92">
        <f t="shared" si="5"/>
        <v>1</v>
      </c>
      <c r="S92" s="10" t="str" cm="1">
        <f t="array" ref="S92">_xlfn.IFS(N92="", "", N92&gt;=9,"Promoter", N92&gt;=7,"Passive", N92&lt;=6,"Detractor")</f>
        <v>Detractor</v>
      </c>
    </row>
    <row r="93" spans="1:19" ht="14.25" customHeight="1">
      <c r="A93" s="3" t="s">
        <v>124</v>
      </c>
      <c r="B93" s="3" t="s">
        <v>37</v>
      </c>
      <c r="C93" s="3" t="s">
        <v>35</v>
      </c>
      <c r="D93" s="4">
        <v>45933</v>
      </c>
      <c r="E93" s="4">
        <v>45938</v>
      </c>
      <c r="F93" s="4">
        <v>45943</v>
      </c>
      <c r="G93" s="4">
        <v>45946</v>
      </c>
      <c r="H93" s="3" t="s">
        <v>22</v>
      </c>
      <c r="J93" s="4">
        <v>45974</v>
      </c>
      <c r="K93" s="3">
        <v>5</v>
      </c>
      <c r="L93" s="3">
        <v>5</v>
      </c>
      <c r="M93" s="3">
        <v>3</v>
      </c>
      <c r="N93" s="3">
        <v>9</v>
      </c>
      <c r="O93">
        <v>1</v>
      </c>
      <c r="P93">
        <f t="shared" si="3"/>
        <v>1</v>
      </c>
      <c r="Q93">
        <f t="shared" si="4"/>
        <v>1</v>
      </c>
      <c r="R93">
        <f t="shared" si="5"/>
        <v>1</v>
      </c>
      <c r="S93" s="10" t="str" cm="1">
        <f t="array" ref="S93">_xlfn.IFS(N93="", "", N93&gt;=9,"Promoter", N93&gt;=7,"Passive", N93&lt;=6,"Detractor")</f>
        <v>Promoter</v>
      </c>
    </row>
    <row r="94" spans="1:19" ht="14.25" customHeight="1">
      <c r="A94" s="3" t="s">
        <v>125</v>
      </c>
      <c r="B94" s="3" t="s">
        <v>20</v>
      </c>
      <c r="C94" s="3" t="s">
        <v>27</v>
      </c>
      <c r="D94" s="4">
        <v>45940</v>
      </c>
      <c r="H94" s="3" t="s">
        <v>28</v>
      </c>
      <c r="I94" s="3" t="s">
        <v>106</v>
      </c>
      <c r="O94">
        <v>1</v>
      </c>
      <c r="P94">
        <f t="shared" si="3"/>
        <v>0</v>
      </c>
      <c r="Q94">
        <f t="shared" si="4"/>
        <v>0</v>
      </c>
      <c r="R94">
        <f t="shared" si="5"/>
        <v>0</v>
      </c>
      <c r="S94" s="10" t="str" cm="1">
        <f t="array" ref="S94">_xlfn.IFS(N94="", "", N94&gt;=9,"Promoter", N94&gt;=7,"Passive", N94&lt;=6,"Detractor")</f>
        <v/>
      </c>
    </row>
    <row r="95" spans="1:19" ht="14.25" customHeight="1">
      <c r="A95" s="3" t="s">
        <v>126</v>
      </c>
      <c r="B95" s="3" t="s">
        <v>24</v>
      </c>
      <c r="C95" s="3" t="s">
        <v>27</v>
      </c>
      <c r="D95" s="4">
        <v>45938</v>
      </c>
      <c r="H95" s="3" t="s">
        <v>28</v>
      </c>
      <c r="I95" s="3" t="s">
        <v>68</v>
      </c>
      <c r="O95">
        <v>1</v>
      </c>
      <c r="P95">
        <f t="shared" si="3"/>
        <v>0</v>
      </c>
      <c r="Q95">
        <f t="shared" si="4"/>
        <v>0</v>
      </c>
      <c r="R95">
        <f t="shared" si="5"/>
        <v>0</v>
      </c>
      <c r="S95" s="10" t="str" cm="1">
        <f t="array" ref="S95">_xlfn.IFS(N95="", "", N95&gt;=9,"Promoter", N95&gt;=7,"Passive", N95&lt;=6,"Detractor")</f>
        <v/>
      </c>
    </row>
    <row r="96" spans="1:19" ht="14.25" customHeight="1">
      <c r="A96" s="3" t="s">
        <v>127</v>
      </c>
      <c r="B96" s="3" t="s">
        <v>37</v>
      </c>
      <c r="C96" s="3" t="s">
        <v>27</v>
      </c>
      <c r="D96" s="4">
        <v>45943</v>
      </c>
      <c r="H96" s="3" t="s">
        <v>28</v>
      </c>
      <c r="I96" s="3" t="s">
        <v>31</v>
      </c>
      <c r="O96">
        <v>1</v>
      </c>
      <c r="P96">
        <f t="shared" si="3"/>
        <v>0</v>
      </c>
      <c r="Q96">
        <f t="shared" si="4"/>
        <v>0</v>
      </c>
      <c r="R96">
        <f t="shared" si="5"/>
        <v>0</v>
      </c>
      <c r="S96" s="10" t="str" cm="1">
        <f t="array" ref="S96">_xlfn.IFS(N96="", "", N96&gt;=9,"Promoter", N96&gt;=7,"Passive", N96&lt;=6,"Detractor")</f>
        <v/>
      </c>
    </row>
    <row r="97" spans="1:19" ht="14.25" customHeight="1">
      <c r="A97" s="3" t="s">
        <v>128</v>
      </c>
      <c r="B97" s="3" t="s">
        <v>20</v>
      </c>
      <c r="C97" s="3" t="s">
        <v>21</v>
      </c>
      <c r="D97" s="4">
        <v>45953</v>
      </c>
      <c r="E97" s="4">
        <v>45955</v>
      </c>
      <c r="F97" s="4">
        <v>45958</v>
      </c>
      <c r="G97" s="4">
        <v>45963</v>
      </c>
      <c r="H97" s="3" t="s">
        <v>22</v>
      </c>
      <c r="J97" s="4">
        <v>45976</v>
      </c>
      <c r="K97" s="3">
        <v>2</v>
      </c>
      <c r="L97" s="3">
        <v>3</v>
      </c>
      <c r="M97" s="3">
        <v>5</v>
      </c>
      <c r="N97" s="3">
        <v>9</v>
      </c>
      <c r="O97">
        <v>1</v>
      </c>
      <c r="P97">
        <f t="shared" si="3"/>
        <v>1</v>
      </c>
      <c r="Q97">
        <f t="shared" si="4"/>
        <v>1</v>
      </c>
      <c r="R97">
        <f t="shared" si="5"/>
        <v>1</v>
      </c>
      <c r="S97" s="10" t="str" cm="1">
        <f t="array" ref="S97">_xlfn.IFS(N97="", "", N97&gt;=9,"Promoter", N97&gt;=7,"Passive", N97&lt;=6,"Detractor")</f>
        <v>Promoter</v>
      </c>
    </row>
    <row r="98" spans="1:19" ht="14.25" customHeight="1">
      <c r="A98" s="3" t="s">
        <v>129</v>
      </c>
      <c r="B98" s="3" t="s">
        <v>24</v>
      </c>
      <c r="C98" s="3" t="s">
        <v>35</v>
      </c>
      <c r="D98" s="4">
        <v>45938</v>
      </c>
      <c r="E98" s="4">
        <v>45942</v>
      </c>
      <c r="F98" s="4">
        <v>45945</v>
      </c>
      <c r="G98" s="4">
        <v>45952</v>
      </c>
      <c r="H98" s="3" t="s">
        <v>28</v>
      </c>
      <c r="I98" s="3" t="s">
        <v>68</v>
      </c>
      <c r="K98" s="3">
        <v>4</v>
      </c>
      <c r="L98" s="3">
        <v>3</v>
      </c>
      <c r="M98" s="3">
        <v>7</v>
      </c>
      <c r="O98">
        <v>1</v>
      </c>
      <c r="P98">
        <f t="shared" si="3"/>
        <v>1</v>
      </c>
      <c r="Q98">
        <f t="shared" si="4"/>
        <v>1</v>
      </c>
      <c r="R98">
        <f t="shared" si="5"/>
        <v>0</v>
      </c>
      <c r="S98" s="10" t="str" cm="1">
        <f t="array" ref="S98">_xlfn.IFS(N98="", "", N98&gt;=9,"Promoter", N98&gt;=7,"Passive", N98&lt;=6,"Detractor")</f>
        <v/>
      </c>
    </row>
    <row r="99" spans="1:19" ht="14.25" customHeight="1">
      <c r="A99" s="3" t="s">
        <v>130</v>
      </c>
      <c r="B99" s="3" t="s">
        <v>24</v>
      </c>
      <c r="C99" s="3" t="s">
        <v>21</v>
      </c>
      <c r="D99" s="4">
        <v>45940</v>
      </c>
      <c r="E99" s="4">
        <v>45944</v>
      </c>
      <c r="F99" s="4">
        <v>45945</v>
      </c>
      <c r="G99" s="4">
        <v>45951</v>
      </c>
      <c r="H99" s="3" t="s">
        <v>22</v>
      </c>
      <c r="J99" s="4">
        <v>45976</v>
      </c>
      <c r="K99" s="3">
        <v>4</v>
      </c>
      <c r="L99" s="3">
        <v>1</v>
      </c>
      <c r="M99" s="3">
        <v>6</v>
      </c>
      <c r="N99" s="3">
        <v>6</v>
      </c>
      <c r="O99">
        <v>1</v>
      </c>
      <c r="P99">
        <f t="shared" si="3"/>
        <v>1</v>
      </c>
      <c r="Q99">
        <f t="shared" si="4"/>
        <v>1</v>
      </c>
      <c r="R99">
        <f t="shared" si="5"/>
        <v>1</v>
      </c>
      <c r="S99" s="10" t="str" cm="1">
        <f t="array" ref="S99">_xlfn.IFS(N99="", "", N99&gt;=9,"Promoter", N99&gt;=7,"Passive", N99&lt;=6,"Detractor")</f>
        <v>Detractor</v>
      </c>
    </row>
    <row r="100" spans="1:19" ht="14.25" customHeight="1">
      <c r="A100" s="3" t="s">
        <v>131</v>
      </c>
      <c r="B100" s="3" t="s">
        <v>26</v>
      </c>
      <c r="C100" s="3" t="s">
        <v>21</v>
      </c>
      <c r="D100" s="4">
        <v>45952</v>
      </c>
      <c r="E100" s="4">
        <v>45956</v>
      </c>
      <c r="F100" s="4">
        <v>45961</v>
      </c>
      <c r="G100" s="4">
        <v>45968</v>
      </c>
      <c r="H100" s="3" t="s">
        <v>22</v>
      </c>
      <c r="J100" s="4">
        <v>45982</v>
      </c>
      <c r="K100" s="3">
        <v>4</v>
      </c>
      <c r="L100" s="3">
        <v>5</v>
      </c>
      <c r="M100" s="3">
        <v>7</v>
      </c>
      <c r="N100" s="3">
        <v>0</v>
      </c>
      <c r="O100">
        <v>1</v>
      </c>
      <c r="P100">
        <f t="shared" si="3"/>
        <v>1</v>
      </c>
      <c r="Q100">
        <f t="shared" si="4"/>
        <v>1</v>
      </c>
      <c r="R100">
        <f t="shared" si="5"/>
        <v>1</v>
      </c>
      <c r="S100" s="10" t="str" cm="1">
        <f t="array" ref="S100">_xlfn.IFS(N100="", "", N100&gt;=9,"Promoter", N100&gt;=7,"Passive", N100&lt;=6,"Detractor")</f>
        <v>Detractor</v>
      </c>
    </row>
    <row r="101" spans="1:19" ht="14.25" customHeight="1">
      <c r="A101" s="3" t="s">
        <v>132</v>
      </c>
      <c r="B101" s="3" t="s">
        <v>20</v>
      </c>
      <c r="C101" s="3" t="s">
        <v>21</v>
      </c>
      <c r="D101" s="4">
        <v>45949</v>
      </c>
      <c r="E101" s="4">
        <v>45952</v>
      </c>
      <c r="F101" s="4">
        <v>45957</v>
      </c>
      <c r="G101" s="4">
        <v>45964</v>
      </c>
      <c r="H101" s="3" t="s">
        <v>22</v>
      </c>
      <c r="J101" s="4">
        <v>45984</v>
      </c>
      <c r="K101" s="3">
        <v>3</v>
      </c>
      <c r="L101" s="3">
        <v>5</v>
      </c>
      <c r="M101" s="3">
        <v>7</v>
      </c>
      <c r="N101" s="3">
        <v>10</v>
      </c>
      <c r="O101">
        <v>1</v>
      </c>
      <c r="P101">
        <f t="shared" si="3"/>
        <v>1</v>
      </c>
      <c r="Q101">
        <f t="shared" si="4"/>
        <v>1</v>
      </c>
      <c r="R101">
        <f t="shared" si="5"/>
        <v>1</v>
      </c>
      <c r="S101" s="10" t="str" cm="1">
        <f t="array" ref="S101">_xlfn.IFS(N101="", "", N101&gt;=9,"Promoter", N101&gt;=7,"Passive", N101&lt;=6,"Detractor")</f>
        <v>Promoter</v>
      </c>
    </row>
    <row r="102" spans="1:19" ht="14.25" customHeight="1">
      <c r="A102" s="3" t="s">
        <v>133</v>
      </c>
      <c r="B102" s="3" t="s">
        <v>20</v>
      </c>
      <c r="C102" s="3" t="s">
        <v>35</v>
      </c>
      <c r="D102" s="4">
        <v>45942</v>
      </c>
      <c r="E102" s="4">
        <v>45944</v>
      </c>
      <c r="F102" s="4">
        <v>45948</v>
      </c>
      <c r="G102" s="4">
        <v>45951</v>
      </c>
      <c r="H102" s="3" t="s">
        <v>22</v>
      </c>
      <c r="J102" s="4">
        <v>45963</v>
      </c>
      <c r="K102" s="3">
        <v>2</v>
      </c>
      <c r="L102" s="3">
        <v>4</v>
      </c>
      <c r="M102" s="3">
        <v>3</v>
      </c>
      <c r="N102" s="3">
        <v>1</v>
      </c>
      <c r="O102">
        <v>1</v>
      </c>
      <c r="P102">
        <f t="shared" si="3"/>
        <v>1</v>
      </c>
      <c r="Q102">
        <f t="shared" si="4"/>
        <v>1</v>
      </c>
      <c r="R102">
        <f t="shared" si="5"/>
        <v>1</v>
      </c>
      <c r="S102" s="10" t="str" cm="1">
        <f t="array" ref="S102">_xlfn.IFS(N102="", "", N102&gt;=9,"Promoter", N102&gt;=7,"Passive", N102&lt;=6,"Detractor")</f>
        <v>Detractor</v>
      </c>
    </row>
    <row r="103" spans="1:19" ht="14.25" customHeight="1">
      <c r="A103" s="3" t="s">
        <v>134</v>
      </c>
      <c r="B103" s="3" t="s">
        <v>37</v>
      </c>
      <c r="C103" s="3" t="s">
        <v>21</v>
      </c>
      <c r="D103" s="4">
        <v>45946</v>
      </c>
      <c r="E103" s="4">
        <v>45949</v>
      </c>
      <c r="F103" s="4">
        <v>45953</v>
      </c>
      <c r="G103" s="4">
        <v>45959</v>
      </c>
      <c r="H103" s="3" t="s">
        <v>22</v>
      </c>
      <c r="J103" s="4">
        <v>45976</v>
      </c>
      <c r="K103" s="3">
        <v>3</v>
      </c>
      <c r="L103" s="3">
        <v>4</v>
      </c>
      <c r="M103" s="3">
        <v>6</v>
      </c>
      <c r="N103" s="3">
        <v>1</v>
      </c>
      <c r="O103">
        <v>1</v>
      </c>
      <c r="P103">
        <f t="shared" si="3"/>
        <v>1</v>
      </c>
      <c r="Q103">
        <f t="shared" si="4"/>
        <v>1</v>
      </c>
      <c r="R103">
        <f t="shared" si="5"/>
        <v>1</v>
      </c>
      <c r="S103" s="10" t="str" cm="1">
        <f t="array" ref="S103">_xlfn.IFS(N103="", "", N103&gt;=9,"Promoter", N103&gt;=7,"Passive", N103&lt;=6,"Detractor")</f>
        <v>Detractor</v>
      </c>
    </row>
    <row r="104" spans="1:19" ht="14.25" customHeight="1">
      <c r="A104" s="3" t="s">
        <v>135</v>
      </c>
      <c r="B104" s="3" t="s">
        <v>26</v>
      </c>
      <c r="C104" s="3" t="s">
        <v>21</v>
      </c>
      <c r="D104" s="4">
        <v>45948</v>
      </c>
      <c r="E104" s="4">
        <v>45951</v>
      </c>
      <c r="F104" s="4">
        <v>45954</v>
      </c>
      <c r="G104" s="4">
        <v>45957</v>
      </c>
      <c r="H104" s="3" t="s">
        <v>22</v>
      </c>
      <c r="J104" s="4">
        <v>45978</v>
      </c>
      <c r="K104" s="3">
        <v>3</v>
      </c>
      <c r="L104" s="3">
        <v>3</v>
      </c>
      <c r="M104" s="3">
        <v>3</v>
      </c>
      <c r="N104" s="3">
        <v>0</v>
      </c>
      <c r="O104">
        <v>1</v>
      </c>
      <c r="P104">
        <f t="shared" si="3"/>
        <v>1</v>
      </c>
      <c r="Q104">
        <f t="shared" si="4"/>
        <v>1</v>
      </c>
      <c r="R104">
        <f t="shared" si="5"/>
        <v>1</v>
      </c>
      <c r="S104" s="10" t="str" cm="1">
        <f t="array" ref="S104">_xlfn.IFS(N104="", "", N104&gt;=9,"Promoter", N104&gt;=7,"Passive", N104&lt;=6,"Detractor")</f>
        <v>Detractor</v>
      </c>
    </row>
    <row r="105" spans="1:19" ht="14.25" customHeight="1">
      <c r="A105" s="3" t="s">
        <v>136</v>
      </c>
      <c r="B105" s="3" t="s">
        <v>26</v>
      </c>
      <c r="C105" s="3" t="s">
        <v>27</v>
      </c>
      <c r="D105" s="4">
        <v>45947</v>
      </c>
      <c r="H105" s="3" t="s">
        <v>28</v>
      </c>
      <c r="I105" s="3" t="s">
        <v>106</v>
      </c>
      <c r="O105">
        <v>1</v>
      </c>
      <c r="P105">
        <f t="shared" si="3"/>
        <v>0</v>
      </c>
      <c r="Q105">
        <f t="shared" si="4"/>
        <v>0</v>
      </c>
      <c r="R105">
        <f t="shared" si="5"/>
        <v>0</v>
      </c>
      <c r="S105" s="10" t="str" cm="1">
        <f t="array" ref="S105">_xlfn.IFS(N105="", "", N105&gt;=9,"Promoter", N105&gt;=7,"Passive", N105&lt;=6,"Detractor")</f>
        <v/>
      </c>
    </row>
    <row r="106" spans="1:19" ht="14.25" customHeight="1">
      <c r="A106" s="3" t="s">
        <v>137</v>
      </c>
      <c r="B106" s="3" t="s">
        <v>26</v>
      </c>
      <c r="C106" s="3" t="s">
        <v>27</v>
      </c>
      <c r="D106" s="4">
        <v>45942</v>
      </c>
      <c r="H106" s="3" t="s">
        <v>28</v>
      </c>
      <c r="I106" s="3" t="s">
        <v>106</v>
      </c>
      <c r="O106">
        <v>1</v>
      </c>
      <c r="P106">
        <f t="shared" si="3"/>
        <v>0</v>
      </c>
      <c r="Q106">
        <f t="shared" si="4"/>
        <v>0</v>
      </c>
      <c r="R106">
        <f t="shared" si="5"/>
        <v>0</v>
      </c>
      <c r="S106" s="10" t="str" cm="1">
        <f t="array" ref="S106">_xlfn.IFS(N106="", "", N106&gt;=9,"Promoter", N106&gt;=7,"Passive", N106&lt;=6,"Detractor")</f>
        <v/>
      </c>
    </row>
    <row r="107" spans="1:19" ht="14.25" customHeight="1">
      <c r="A107" s="3" t="s">
        <v>138</v>
      </c>
      <c r="B107" s="3" t="s">
        <v>26</v>
      </c>
      <c r="C107" s="3" t="s">
        <v>21</v>
      </c>
      <c r="D107" s="4">
        <v>45944</v>
      </c>
      <c r="E107" s="4">
        <v>45947</v>
      </c>
      <c r="F107" s="4">
        <v>45949</v>
      </c>
      <c r="G107" s="4">
        <v>45954</v>
      </c>
      <c r="H107" s="3" t="s">
        <v>22</v>
      </c>
      <c r="J107" s="4">
        <v>45974</v>
      </c>
      <c r="K107" s="3">
        <v>3</v>
      </c>
      <c r="L107" s="3">
        <v>2</v>
      </c>
      <c r="M107" s="3">
        <v>5</v>
      </c>
      <c r="N107" s="3">
        <v>2</v>
      </c>
      <c r="O107">
        <v>1</v>
      </c>
      <c r="P107">
        <f t="shared" si="3"/>
        <v>1</v>
      </c>
      <c r="Q107">
        <f t="shared" si="4"/>
        <v>1</v>
      </c>
      <c r="R107">
        <f t="shared" si="5"/>
        <v>1</v>
      </c>
      <c r="S107" s="10" t="str" cm="1">
        <f t="array" ref="S107">_xlfn.IFS(N107="", "", N107&gt;=9,"Promoter", N107&gt;=7,"Passive", N107&lt;=6,"Detractor")</f>
        <v>Detractor</v>
      </c>
    </row>
    <row r="108" spans="1:19" ht="14.25" customHeight="1">
      <c r="A108" s="3" t="s">
        <v>139</v>
      </c>
      <c r="B108" s="3" t="s">
        <v>20</v>
      </c>
      <c r="C108" s="3" t="s">
        <v>21</v>
      </c>
      <c r="D108" s="4">
        <v>45954</v>
      </c>
      <c r="E108" s="4">
        <v>45959</v>
      </c>
      <c r="F108" s="4">
        <v>45962</v>
      </c>
      <c r="G108" s="4">
        <v>45966</v>
      </c>
      <c r="H108" s="3" t="s">
        <v>28</v>
      </c>
      <c r="I108" s="3" t="s">
        <v>29</v>
      </c>
      <c r="K108" s="3">
        <v>5</v>
      </c>
      <c r="L108" s="3">
        <v>3</v>
      </c>
      <c r="M108" s="3">
        <v>4</v>
      </c>
      <c r="O108">
        <v>1</v>
      </c>
      <c r="P108">
        <f t="shared" si="3"/>
        <v>1</v>
      </c>
      <c r="Q108">
        <f t="shared" si="4"/>
        <v>1</v>
      </c>
      <c r="R108">
        <f t="shared" si="5"/>
        <v>0</v>
      </c>
      <c r="S108" s="10" t="str" cm="1">
        <f t="array" ref="S108">_xlfn.IFS(N108="", "", N108&gt;=9,"Promoter", N108&gt;=7,"Passive", N108&lt;=6,"Detractor")</f>
        <v/>
      </c>
    </row>
    <row r="109" spans="1:19" ht="14.25" customHeight="1">
      <c r="A109" s="3" t="s">
        <v>140</v>
      </c>
      <c r="B109" s="3" t="s">
        <v>20</v>
      </c>
      <c r="C109" s="3" t="s">
        <v>21</v>
      </c>
      <c r="D109" s="4">
        <v>45948</v>
      </c>
      <c r="E109" s="4">
        <v>45953</v>
      </c>
      <c r="F109" s="4">
        <v>45954</v>
      </c>
      <c r="G109" s="4">
        <v>45957</v>
      </c>
      <c r="H109" s="3" t="s">
        <v>22</v>
      </c>
      <c r="J109" s="4">
        <v>45972</v>
      </c>
      <c r="K109" s="3">
        <v>5</v>
      </c>
      <c r="L109" s="3">
        <v>1</v>
      </c>
      <c r="M109" s="3">
        <v>3</v>
      </c>
      <c r="N109" s="3">
        <v>10</v>
      </c>
      <c r="O109">
        <v>1</v>
      </c>
      <c r="P109">
        <f t="shared" si="3"/>
        <v>1</v>
      </c>
      <c r="Q109">
        <f t="shared" si="4"/>
        <v>1</v>
      </c>
      <c r="R109">
        <f t="shared" si="5"/>
        <v>1</v>
      </c>
      <c r="S109" s="10" t="str" cm="1">
        <f t="array" ref="S109">_xlfn.IFS(N109="", "", N109&gt;=9,"Promoter", N109&gt;=7,"Passive", N109&lt;=6,"Detractor")</f>
        <v>Promoter</v>
      </c>
    </row>
    <row r="110" spans="1:19" ht="14.25" customHeight="1">
      <c r="A110" s="3" t="s">
        <v>141</v>
      </c>
      <c r="B110" s="3" t="s">
        <v>24</v>
      </c>
      <c r="C110" s="3" t="s">
        <v>35</v>
      </c>
      <c r="D110" s="4">
        <v>45941</v>
      </c>
      <c r="E110" s="4">
        <v>45942</v>
      </c>
      <c r="F110" s="4">
        <v>45945</v>
      </c>
      <c r="G110" s="4">
        <v>45948</v>
      </c>
      <c r="H110" s="3" t="s">
        <v>22</v>
      </c>
      <c r="J110" s="4">
        <v>45978</v>
      </c>
      <c r="K110" s="3">
        <v>1</v>
      </c>
      <c r="L110" s="3">
        <v>3</v>
      </c>
      <c r="M110" s="3">
        <v>3</v>
      </c>
      <c r="N110" s="3">
        <v>4</v>
      </c>
      <c r="O110">
        <v>1</v>
      </c>
      <c r="P110">
        <f t="shared" si="3"/>
        <v>1</v>
      </c>
      <c r="Q110">
        <f t="shared" si="4"/>
        <v>1</v>
      </c>
      <c r="R110">
        <f t="shared" si="5"/>
        <v>1</v>
      </c>
      <c r="S110" s="10" t="str" cm="1">
        <f t="array" ref="S110">_xlfn.IFS(N110="", "", N110&gt;=9,"Promoter", N110&gt;=7,"Passive", N110&lt;=6,"Detractor")</f>
        <v>Detractor</v>
      </c>
    </row>
    <row r="111" spans="1:19" ht="14.25" customHeight="1">
      <c r="A111" s="3" t="s">
        <v>142</v>
      </c>
      <c r="B111" s="3" t="s">
        <v>24</v>
      </c>
      <c r="C111" s="3" t="s">
        <v>27</v>
      </c>
      <c r="D111" s="4">
        <v>45942</v>
      </c>
      <c r="H111" s="3" t="s">
        <v>28</v>
      </c>
      <c r="I111" s="3" t="s">
        <v>106</v>
      </c>
      <c r="O111">
        <v>1</v>
      </c>
      <c r="P111">
        <f t="shared" si="3"/>
        <v>0</v>
      </c>
      <c r="Q111">
        <f t="shared" si="4"/>
        <v>0</v>
      </c>
      <c r="R111">
        <f t="shared" si="5"/>
        <v>0</v>
      </c>
      <c r="S111" s="10" t="str" cm="1">
        <f t="array" ref="S111">_xlfn.IFS(N111="", "", N111&gt;=9,"Promoter", N111&gt;=7,"Passive", N111&lt;=6,"Detractor")</f>
        <v/>
      </c>
    </row>
    <row r="112" spans="1:19" ht="14.25" customHeight="1">
      <c r="A112" s="3" t="s">
        <v>143</v>
      </c>
      <c r="B112" s="3" t="s">
        <v>26</v>
      </c>
      <c r="C112" s="3" t="s">
        <v>27</v>
      </c>
      <c r="D112" s="4">
        <v>45953</v>
      </c>
      <c r="H112" s="3" t="s">
        <v>28</v>
      </c>
      <c r="I112" s="3" t="s">
        <v>68</v>
      </c>
      <c r="O112">
        <v>1</v>
      </c>
      <c r="P112">
        <f t="shared" si="3"/>
        <v>0</v>
      </c>
      <c r="Q112">
        <f t="shared" si="4"/>
        <v>0</v>
      </c>
      <c r="R112">
        <f t="shared" si="5"/>
        <v>0</v>
      </c>
      <c r="S112" s="10" t="str" cm="1">
        <f t="array" ref="S112">_xlfn.IFS(N112="", "", N112&gt;=9,"Promoter", N112&gt;=7,"Passive", N112&lt;=6,"Detractor")</f>
        <v/>
      </c>
    </row>
    <row r="113" spans="1:19" ht="14.25" customHeight="1">
      <c r="A113" s="3" t="s">
        <v>144</v>
      </c>
      <c r="B113" s="3" t="s">
        <v>26</v>
      </c>
      <c r="C113" s="3" t="s">
        <v>21</v>
      </c>
      <c r="D113" s="4">
        <v>45945</v>
      </c>
      <c r="E113" s="4">
        <v>45946</v>
      </c>
      <c r="F113" s="4">
        <v>45947</v>
      </c>
      <c r="G113" s="4">
        <v>45951</v>
      </c>
      <c r="H113" s="3" t="s">
        <v>22</v>
      </c>
      <c r="J113" s="4">
        <v>45963</v>
      </c>
      <c r="K113" s="3">
        <v>1</v>
      </c>
      <c r="L113" s="3">
        <v>1</v>
      </c>
      <c r="M113" s="3">
        <v>4</v>
      </c>
      <c r="N113" s="3">
        <v>2</v>
      </c>
      <c r="O113">
        <v>1</v>
      </c>
      <c r="P113">
        <f t="shared" si="3"/>
        <v>1</v>
      </c>
      <c r="Q113">
        <f t="shared" si="4"/>
        <v>1</v>
      </c>
      <c r="R113">
        <f t="shared" si="5"/>
        <v>1</v>
      </c>
      <c r="S113" s="10" t="str" cm="1">
        <f t="array" ref="S113">_xlfn.IFS(N113="", "", N113&gt;=9,"Promoter", N113&gt;=7,"Passive", N113&lt;=6,"Detractor")</f>
        <v>Detractor</v>
      </c>
    </row>
    <row r="114" spans="1:19" ht="14.25" customHeight="1">
      <c r="A114" s="3" t="s">
        <v>145</v>
      </c>
      <c r="B114" s="3" t="s">
        <v>26</v>
      </c>
      <c r="C114" s="3" t="s">
        <v>21</v>
      </c>
      <c r="D114" s="4">
        <v>45939</v>
      </c>
      <c r="E114" s="4">
        <v>45941</v>
      </c>
      <c r="F114" s="4">
        <v>45944</v>
      </c>
      <c r="G114" s="4">
        <v>45949</v>
      </c>
      <c r="H114" s="3" t="s">
        <v>28</v>
      </c>
      <c r="I114" s="3" t="s">
        <v>38</v>
      </c>
      <c r="K114" s="3">
        <v>2</v>
      </c>
      <c r="L114" s="3">
        <v>3</v>
      </c>
      <c r="M114" s="3">
        <v>5</v>
      </c>
      <c r="O114">
        <v>1</v>
      </c>
      <c r="P114">
        <f t="shared" si="3"/>
        <v>1</v>
      </c>
      <c r="Q114">
        <f t="shared" si="4"/>
        <v>1</v>
      </c>
      <c r="R114">
        <f t="shared" si="5"/>
        <v>0</v>
      </c>
      <c r="S114" s="10" t="str" cm="1">
        <f t="array" ref="S114">_xlfn.IFS(N114="", "", N114&gt;=9,"Promoter", N114&gt;=7,"Passive", N114&lt;=6,"Detractor")</f>
        <v/>
      </c>
    </row>
    <row r="115" spans="1:19" ht="14.25" customHeight="1">
      <c r="A115" s="3" t="s">
        <v>146</v>
      </c>
      <c r="B115" s="3" t="s">
        <v>24</v>
      </c>
      <c r="C115" s="3" t="s">
        <v>35</v>
      </c>
      <c r="D115" s="4">
        <v>45940</v>
      </c>
      <c r="E115" s="4">
        <v>45942</v>
      </c>
      <c r="F115" s="4">
        <v>45946</v>
      </c>
      <c r="G115" s="4">
        <v>45952</v>
      </c>
      <c r="H115" s="3" t="s">
        <v>22</v>
      </c>
      <c r="J115" s="4">
        <v>45982</v>
      </c>
      <c r="K115" s="3">
        <v>2</v>
      </c>
      <c r="L115" s="3">
        <v>4</v>
      </c>
      <c r="M115" s="3">
        <v>6</v>
      </c>
      <c r="N115" s="3">
        <v>6</v>
      </c>
      <c r="O115">
        <v>1</v>
      </c>
      <c r="P115">
        <f t="shared" si="3"/>
        <v>1</v>
      </c>
      <c r="Q115">
        <f t="shared" si="4"/>
        <v>1</v>
      </c>
      <c r="R115">
        <f t="shared" si="5"/>
        <v>1</v>
      </c>
      <c r="S115" s="10" t="str" cm="1">
        <f t="array" ref="S115">_xlfn.IFS(N115="", "", N115&gt;=9,"Promoter", N115&gt;=7,"Passive", N115&lt;=6,"Detractor")</f>
        <v>Detractor</v>
      </c>
    </row>
    <row r="116" spans="1:19" ht="14.25" customHeight="1">
      <c r="A116" s="3" t="s">
        <v>147</v>
      </c>
      <c r="B116" s="3" t="s">
        <v>37</v>
      </c>
      <c r="C116" s="3" t="s">
        <v>21</v>
      </c>
      <c r="D116" s="4">
        <v>45939</v>
      </c>
      <c r="E116" s="4">
        <v>45944</v>
      </c>
      <c r="F116" s="4">
        <v>45947</v>
      </c>
      <c r="G116" s="4">
        <v>45949</v>
      </c>
      <c r="H116" s="3" t="s">
        <v>22</v>
      </c>
      <c r="J116" s="4">
        <v>45969</v>
      </c>
      <c r="K116" s="3">
        <v>5</v>
      </c>
      <c r="L116" s="3">
        <v>3</v>
      </c>
      <c r="M116" s="3">
        <v>2</v>
      </c>
      <c r="N116" s="3">
        <v>10</v>
      </c>
      <c r="O116">
        <v>1</v>
      </c>
      <c r="P116">
        <f t="shared" si="3"/>
        <v>1</v>
      </c>
      <c r="Q116">
        <f t="shared" si="4"/>
        <v>1</v>
      </c>
      <c r="R116">
        <f t="shared" si="5"/>
        <v>1</v>
      </c>
      <c r="S116" s="10" t="str" cm="1">
        <f t="array" ref="S116">_xlfn.IFS(N116="", "", N116&gt;=9,"Promoter", N116&gt;=7,"Passive", N116&lt;=6,"Detractor")</f>
        <v>Promoter</v>
      </c>
    </row>
    <row r="117" spans="1:19" ht="14.25" customHeight="1">
      <c r="A117" s="3" t="s">
        <v>148</v>
      </c>
      <c r="B117" s="3" t="s">
        <v>37</v>
      </c>
      <c r="C117" s="3" t="s">
        <v>35</v>
      </c>
      <c r="D117" s="4">
        <v>45938</v>
      </c>
      <c r="E117" s="4">
        <v>45939</v>
      </c>
      <c r="F117" s="4">
        <v>45943</v>
      </c>
      <c r="G117" s="4">
        <v>45947</v>
      </c>
      <c r="H117" s="3" t="s">
        <v>22</v>
      </c>
      <c r="J117" s="4">
        <v>45971</v>
      </c>
      <c r="K117" s="3">
        <v>1</v>
      </c>
      <c r="L117" s="3">
        <v>4</v>
      </c>
      <c r="M117" s="3">
        <v>4</v>
      </c>
      <c r="N117" s="3">
        <v>8</v>
      </c>
      <c r="O117">
        <v>1</v>
      </c>
      <c r="P117">
        <f t="shared" si="3"/>
        <v>1</v>
      </c>
      <c r="Q117">
        <f t="shared" si="4"/>
        <v>1</v>
      </c>
      <c r="R117">
        <f t="shared" si="5"/>
        <v>1</v>
      </c>
      <c r="S117" s="10" t="str" cm="1">
        <f t="array" ref="S117">_xlfn.IFS(N117="", "", N117&gt;=9,"Promoter", N117&gt;=7,"Passive", N117&lt;=6,"Detractor")</f>
        <v>Passive</v>
      </c>
    </row>
    <row r="118" spans="1:19" ht="14.25" customHeight="1">
      <c r="A118" s="3" t="s">
        <v>149</v>
      </c>
      <c r="B118" s="3" t="s">
        <v>24</v>
      </c>
      <c r="C118" s="3" t="s">
        <v>27</v>
      </c>
      <c r="D118" s="4">
        <v>45934</v>
      </c>
      <c r="H118" s="3" t="s">
        <v>28</v>
      </c>
      <c r="I118" s="3" t="s">
        <v>38</v>
      </c>
      <c r="O118">
        <v>1</v>
      </c>
      <c r="P118">
        <f t="shared" si="3"/>
        <v>0</v>
      </c>
      <c r="Q118">
        <f t="shared" si="4"/>
        <v>0</v>
      </c>
      <c r="R118">
        <f t="shared" si="5"/>
        <v>0</v>
      </c>
      <c r="S118" s="10" t="str" cm="1">
        <f t="array" ref="S118">_xlfn.IFS(N118="", "", N118&gt;=9,"Promoter", N118&gt;=7,"Passive", N118&lt;=6,"Detractor")</f>
        <v/>
      </c>
    </row>
    <row r="119" spans="1:19" ht="14.25" customHeight="1">
      <c r="A119" s="3" t="s">
        <v>150</v>
      </c>
      <c r="B119" s="3" t="s">
        <v>24</v>
      </c>
      <c r="C119" s="3" t="s">
        <v>35</v>
      </c>
      <c r="D119" s="4">
        <v>45954</v>
      </c>
      <c r="E119" s="4">
        <v>45955</v>
      </c>
      <c r="F119" s="4">
        <v>45957</v>
      </c>
      <c r="G119" s="4">
        <v>45959</v>
      </c>
      <c r="H119" s="3" t="s">
        <v>22</v>
      </c>
      <c r="J119" s="4">
        <v>45969</v>
      </c>
      <c r="K119" s="3">
        <v>1</v>
      </c>
      <c r="L119" s="3">
        <v>2</v>
      </c>
      <c r="M119" s="3">
        <v>2</v>
      </c>
      <c r="N119" s="3">
        <v>1</v>
      </c>
      <c r="O119">
        <v>1</v>
      </c>
      <c r="P119">
        <f t="shared" si="3"/>
        <v>1</v>
      </c>
      <c r="Q119">
        <f t="shared" si="4"/>
        <v>1</v>
      </c>
      <c r="R119">
        <f t="shared" si="5"/>
        <v>1</v>
      </c>
      <c r="S119" s="10" t="str" cm="1">
        <f t="array" ref="S119">_xlfn.IFS(N119="", "", N119&gt;=9,"Promoter", N119&gt;=7,"Passive", N119&lt;=6,"Detractor")</f>
        <v>Detractor</v>
      </c>
    </row>
    <row r="120" spans="1:19" ht="14.25" customHeight="1">
      <c r="A120" s="3" t="s">
        <v>151</v>
      </c>
      <c r="B120" s="3" t="s">
        <v>24</v>
      </c>
      <c r="C120" s="3" t="s">
        <v>21</v>
      </c>
      <c r="D120" s="4">
        <v>45937</v>
      </c>
      <c r="E120" s="4">
        <v>45940</v>
      </c>
      <c r="F120" s="4">
        <v>45942</v>
      </c>
      <c r="G120" s="4">
        <v>45947</v>
      </c>
      <c r="H120" s="3" t="s">
        <v>22</v>
      </c>
      <c r="J120" s="4">
        <v>45965</v>
      </c>
      <c r="K120" s="3">
        <v>3</v>
      </c>
      <c r="L120" s="3">
        <v>2</v>
      </c>
      <c r="M120" s="3">
        <v>5</v>
      </c>
      <c r="N120" s="3">
        <v>5</v>
      </c>
      <c r="O120">
        <v>1</v>
      </c>
      <c r="P120">
        <f t="shared" si="3"/>
        <v>1</v>
      </c>
      <c r="Q120">
        <f t="shared" si="4"/>
        <v>1</v>
      </c>
      <c r="R120">
        <f t="shared" si="5"/>
        <v>1</v>
      </c>
      <c r="S120" s="10" t="str" cm="1">
        <f t="array" ref="S120">_xlfn.IFS(N120="", "", N120&gt;=9,"Promoter", N120&gt;=7,"Passive", N120&lt;=6,"Detractor")</f>
        <v>Detractor</v>
      </c>
    </row>
    <row r="121" spans="1:19" ht="14.25" customHeight="1">
      <c r="A121" s="3" t="s">
        <v>152</v>
      </c>
      <c r="B121" s="3" t="s">
        <v>24</v>
      </c>
      <c r="C121" s="3" t="s">
        <v>27</v>
      </c>
      <c r="D121" s="4">
        <v>45941</v>
      </c>
      <c r="H121" s="3" t="s">
        <v>28</v>
      </c>
      <c r="I121" s="3" t="s">
        <v>29</v>
      </c>
      <c r="O121">
        <v>1</v>
      </c>
      <c r="P121">
        <f t="shared" si="3"/>
        <v>0</v>
      </c>
      <c r="Q121">
        <f t="shared" si="4"/>
        <v>0</v>
      </c>
      <c r="R121">
        <f t="shared" si="5"/>
        <v>0</v>
      </c>
      <c r="S121" s="10" t="str" cm="1">
        <f t="array" ref="S121">_xlfn.IFS(N121="", "", N121&gt;=9,"Promoter", N121&gt;=7,"Passive", N121&lt;=6,"Detractor")</f>
        <v/>
      </c>
    </row>
    <row r="122" spans="1:19" ht="14.25" customHeight="1">
      <c r="A122" s="3" t="s">
        <v>153</v>
      </c>
      <c r="B122" s="3" t="s">
        <v>24</v>
      </c>
      <c r="C122" s="3" t="s">
        <v>21</v>
      </c>
      <c r="D122" s="4">
        <v>45934</v>
      </c>
      <c r="E122" s="4">
        <v>45938</v>
      </c>
      <c r="F122" s="4">
        <v>45943</v>
      </c>
      <c r="G122" s="4">
        <v>45946</v>
      </c>
      <c r="H122" s="3" t="s">
        <v>22</v>
      </c>
      <c r="J122" s="4">
        <v>45962</v>
      </c>
      <c r="K122" s="3">
        <v>4</v>
      </c>
      <c r="L122" s="3">
        <v>5</v>
      </c>
      <c r="M122" s="3">
        <v>3</v>
      </c>
      <c r="N122" s="3">
        <v>1</v>
      </c>
      <c r="O122">
        <v>1</v>
      </c>
      <c r="P122">
        <f t="shared" si="3"/>
        <v>1</v>
      </c>
      <c r="Q122">
        <f t="shared" si="4"/>
        <v>1</v>
      </c>
      <c r="R122">
        <f t="shared" si="5"/>
        <v>1</v>
      </c>
      <c r="S122" s="10" t="str" cm="1">
        <f t="array" ref="S122">_xlfn.IFS(N122="", "", N122&gt;=9,"Promoter", N122&gt;=7,"Passive", N122&lt;=6,"Detractor")</f>
        <v>Detractor</v>
      </c>
    </row>
    <row r="123" spans="1:19" ht="14.25" customHeight="1">
      <c r="A123" s="3" t="s">
        <v>154</v>
      </c>
      <c r="B123" s="3" t="s">
        <v>24</v>
      </c>
      <c r="C123" s="3" t="s">
        <v>35</v>
      </c>
      <c r="D123" s="4">
        <v>45954</v>
      </c>
      <c r="E123" s="4">
        <v>45958</v>
      </c>
      <c r="F123" s="4">
        <v>45961</v>
      </c>
      <c r="G123" s="4">
        <v>45964</v>
      </c>
      <c r="H123" s="3" t="s">
        <v>22</v>
      </c>
      <c r="J123" s="4">
        <v>45981</v>
      </c>
      <c r="K123" s="3">
        <v>4</v>
      </c>
      <c r="L123" s="3">
        <v>3</v>
      </c>
      <c r="M123" s="3">
        <v>3</v>
      </c>
      <c r="N123" s="3">
        <v>2</v>
      </c>
      <c r="O123">
        <v>1</v>
      </c>
      <c r="P123">
        <f t="shared" si="3"/>
        <v>1</v>
      </c>
      <c r="Q123">
        <f t="shared" si="4"/>
        <v>1</v>
      </c>
      <c r="R123">
        <f t="shared" si="5"/>
        <v>1</v>
      </c>
      <c r="S123" s="10" t="str" cm="1">
        <f t="array" ref="S123">_xlfn.IFS(N123="", "", N123&gt;=9,"Promoter", N123&gt;=7,"Passive", N123&lt;=6,"Detractor")</f>
        <v>Detractor</v>
      </c>
    </row>
    <row r="124" spans="1:19" ht="14.25" customHeight="1">
      <c r="A124" s="3" t="s">
        <v>155</v>
      </c>
      <c r="B124" s="3" t="s">
        <v>26</v>
      </c>
      <c r="C124" s="3" t="s">
        <v>35</v>
      </c>
      <c r="D124" s="4">
        <v>45948</v>
      </c>
      <c r="E124" s="4">
        <v>45952</v>
      </c>
      <c r="F124" s="4">
        <v>45957</v>
      </c>
      <c r="G124" s="4">
        <v>45962</v>
      </c>
      <c r="H124" s="3" t="s">
        <v>22</v>
      </c>
      <c r="J124" s="4">
        <v>45974</v>
      </c>
      <c r="K124" s="3">
        <v>4</v>
      </c>
      <c r="L124" s="3">
        <v>5</v>
      </c>
      <c r="M124" s="3">
        <v>5</v>
      </c>
      <c r="N124" s="3">
        <v>6</v>
      </c>
      <c r="O124">
        <v>1</v>
      </c>
      <c r="P124">
        <f t="shared" si="3"/>
        <v>1</v>
      </c>
      <c r="Q124">
        <f t="shared" si="4"/>
        <v>1</v>
      </c>
      <c r="R124">
        <f t="shared" si="5"/>
        <v>1</v>
      </c>
      <c r="S124" s="10" t="str" cm="1">
        <f t="array" ref="S124">_xlfn.IFS(N124="", "", N124&gt;=9,"Promoter", N124&gt;=7,"Passive", N124&lt;=6,"Detractor")</f>
        <v>Detractor</v>
      </c>
    </row>
    <row r="125" spans="1:19" ht="14.25" customHeight="1">
      <c r="A125" s="3" t="s">
        <v>156</v>
      </c>
      <c r="B125" s="3" t="s">
        <v>26</v>
      </c>
      <c r="C125" s="3" t="s">
        <v>35</v>
      </c>
      <c r="D125" s="4">
        <v>45961</v>
      </c>
      <c r="E125" s="4">
        <v>45966</v>
      </c>
      <c r="F125" s="4">
        <v>45969</v>
      </c>
      <c r="G125" s="4">
        <v>45975</v>
      </c>
      <c r="H125" s="3" t="s">
        <v>22</v>
      </c>
      <c r="J125" s="4">
        <v>45996</v>
      </c>
      <c r="K125" s="3">
        <v>5</v>
      </c>
      <c r="L125" s="3">
        <v>3</v>
      </c>
      <c r="M125" s="3">
        <v>6</v>
      </c>
      <c r="N125" s="3">
        <v>5</v>
      </c>
      <c r="O125">
        <v>1</v>
      </c>
      <c r="P125">
        <f t="shared" si="3"/>
        <v>1</v>
      </c>
      <c r="Q125">
        <f t="shared" si="4"/>
        <v>1</v>
      </c>
      <c r="R125">
        <f t="shared" si="5"/>
        <v>1</v>
      </c>
      <c r="S125" s="10" t="str" cm="1">
        <f t="array" ref="S125">_xlfn.IFS(N125="", "", N125&gt;=9,"Promoter", N125&gt;=7,"Passive", N125&lt;=6,"Detractor")</f>
        <v>Detractor</v>
      </c>
    </row>
    <row r="126" spans="1:19" ht="14.25" customHeight="1">
      <c r="A126" s="3" t="s">
        <v>157</v>
      </c>
      <c r="B126" s="3" t="s">
        <v>26</v>
      </c>
      <c r="C126" s="3" t="s">
        <v>21</v>
      </c>
      <c r="D126" s="4">
        <v>45955</v>
      </c>
      <c r="E126" s="4">
        <v>45959</v>
      </c>
      <c r="F126" s="4">
        <v>45961</v>
      </c>
      <c r="G126" s="4">
        <v>45967</v>
      </c>
      <c r="H126" s="3" t="s">
        <v>22</v>
      </c>
      <c r="J126" s="4">
        <v>45985</v>
      </c>
      <c r="K126" s="3">
        <v>4</v>
      </c>
      <c r="L126" s="3">
        <v>2</v>
      </c>
      <c r="M126" s="3">
        <v>6</v>
      </c>
      <c r="N126" s="3">
        <v>4</v>
      </c>
      <c r="O126">
        <v>1</v>
      </c>
      <c r="P126">
        <f t="shared" si="3"/>
        <v>1</v>
      </c>
      <c r="Q126">
        <f t="shared" si="4"/>
        <v>1</v>
      </c>
      <c r="R126">
        <f t="shared" si="5"/>
        <v>1</v>
      </c>
      <c r="S126" s="10" t="str" cm="1">
        <f t="array" ref="S126">_xlfn.IFS(N126="", "", N126&gt;=9,"Promoter", N126&gt;=7,"Passive", N126&lt;=6,"Detractor")</f>
        <v>Detractor</v>
      </c>
    </row>
    <row r="127" spans="1:19" ht="14.25" customHeight="1">
      <c r="A127" s="3" t="s">
        <v>158</v>
      </c>
      <c r="B127" s="3" t="s">
        <v>26</v>
      </c>
      <c r="C127" s="3" t="s">
        <v>35</v>
      </c>
      <c r="D127" s="4">
        <v>45953</v>
      </c>
      <c r="E127" s="4">
        <v>45957</v>
      </c>
      <c r="F127" s="4">
        <v>45958</v>
      </c>
      <c r="G127" s="4">
        <v>45965</v>
      </c>
      <c r="H127" s="3" t="s">
        <v>22</v>
      </c>
      <c r="J127" s="4">
        <v>45978</v>
      </c>
      <c r="K127" s="3">
        <v>4</v>
      </c>
      <c r="L127" s="3">
        <v>1</v>
      </c>
      <c r="M127" s="3">
        <v>7</v>
      </c>
      <c r="N127" s="3">
        <v>0</v>
      </c>
      <c r="O127">
        <v>1</v>
      </c>
      <c r="P127">
        <f t="shared" si="3"/>
        <v>1</v>
      </c>
      <c r="Q127">
        <f t="shared" si="4"/>
        <v>1</v>
      </c>
      <c r="R127">
        <f t="shared" si="5"/>
        <v>1</v>
      </c>
      <c r="S127" s="10" t="str" cm="1">
        <f t="array" ref="S127">_xlfn.IFS(N127="", "", N127&gt;=9,"Promoter", N127&gt;=7,"Passive", N127&lt;=6,"Detractor")</f>
        <v>Detractor</v>
      </c>
    </row>
    <row r="128" spans="1:19" ht="14.25" customHeight="1">
      <c r="A128" s="3" t="s">
        <v>159</v>
      </c>
      <c r="B128" s="3" t="s">
        <v>24</v>
      </c>
      <c r="C128" s="3" t="s">
        <v>21</v>
      </c>
      <c r="D128" s="4">
        <v>45936</v>
      </c>
      <c r="E128" s="4">
        <v>45939</v>
      </c>
      <c r="F128" s="4">
        <v>45944</v>
      </c>
      <c r="G128" s="4">
        <v>45949</v>
      </c>
      <c r="H128" s="3" t="s">
        <v>22</v>
      </c>
      <c r="J128" s="4">
        <v>45959</v>
      </c>
      <c r="K128" s="3">
        <v>3</v>
      </c>
      <c r="L128" s="3">
        <v>5</v>
      </c>
      <c r="M128" s="3">
        <v>5</v>
      </c>
      <c r="N128" s="3">
        <v>4</v>
      </c>
      <c r="O128">
        <v>1</v>
      </c>
      <c r="P128">
        <f t="shared" si="3"/>
        <v>1</v>
      </c>
      <c r="Q128">
        <f t="shared" si="4"/>
        <v>1</v>
      </c>
      <c r="R128">
        <f t="shared" si="5"/>
        <v>1</v>
      </c>
      <c r="S128" s="10" t="str" cm="1">
        <f t="array" ref="S128">_xlfn.IFS(N128="", "", N128&gt;=9,"Promoter", N128&gt;=7,"Passive", N128&lt;=6,"Detractor")</f>
        <v>Detractor</v>
      </c>
    </row>
    <row r="129" spans="1:19" ht="14.25" customHeight="1">
      <c r="A129" s="3" t="s">
        <v>160</v>
      </c>
      <c r="B129" s="3" t="s">
        <v>37</v>
      </c>
      <c r="C129" s="3" t="s">
        <v>27</v>
      </c>
      <c r="D129" s="4">
        <v>45937</v>
      </c>
      <c r="H129" s="3" t="s">
        <v>28</v>
      </c>
      <c r="I129" s="3" t="s">
        <v>68</v>
      </c>
      <c r="O129">
        <v>1</v>
      </c>
      <c r="P129">
        <f t="shared" si="3"/>
        <v>0</v>
      </c>
      <c r="Q129">
        <f t="shared" si="4"/>
        <v>0</v>
      </c>
      <c r="R129">
        <f t="shared" si="5"/>
        <v>0</v>
      </c>
      <c r="S129" s="10" t="str" cm="1">
        <f t="array" ref="S129">_xlfn.IFS(N129="", "", N129&gt;=9,"Promoter", N129&gt;=7,"Passive", N129&lt;=6,"Detractor")</f>
        <v/>
      </c>
    </row>
    <row r="130" spans="1:19" ht="14.25" customHeight="1">
      <c r="A130" s="3" t="s">
        <v>161</v>
      </c>
      <c r="B130" s="3" t="s">
        <v>20</v>
      </c>
      <c r="C130" s="3" t="s">
        <v>35</v>
      </c>
      <c r="D130" s="4">
        <v>45937</v>
      </c>
      <c r="E130" s="4">
        <v>45939</v>
      </c>
      <c r="F130" s="4">
        <v>45944</v>
      </c>
      <c r="G130" s="4">
        <v>45949</v>
      </c>
      <c r="H130" s="3" t="s">
        <v>22</v>
      </c>
      <c r="J130" s="4">
        <v>45960</v>
      </c>
      <c r="K130" s="3">
        <v>2</v>
      </c>
      <c r="L130" s="3">
        <v>5</v>
      </c>
      <c r="M130" s="3">
        <v>5</v>
      </c>
      <c r="N130" s="3">
        <v>4</v>
      </c>
      <c r="O130">
        <v>1</v>
      </c>
      <c r="P130">
        <f t="shared" si="3"/>
        <v>1</v>
      </c>
      <c r="Q130">
        <f t="shared" si="4"/>
        <v>1</v>
      </c>
      <c r="R130">
        <f t="shared" si="5"/>
        <v>1</v>
      </c>
      <c r="S130" s="10" t="str" cm="1">
        <f t="array" ref="S130">_xlfn.IFS(N130="", "", N130&gt;=9,"Promoter", N130&gt;=7,"Passive", N130&lt;=6,"Detractor")</f>
        <v>Detractor</v>
      </c>
    </row>
    <row r="131" spans="1:19" ht="14.25" customHeight="1">
      <c r="A131" s="3" t="s">
        <v>162</v>
      </c>
      <c r="B131" s="3" t="s">
        <v>24</v>
      </c>
      <c r="C131" s="3" t="s">
        <v>27</v>
      </c>
      <c r="D131" s="4">
        <v>45954</v>
      </c>
      <c r="H131" s="3" t="s">
        <v>28</v>
      </c>
      <c r="I131" s="3" t="s">
        <v>68</v>
      </c>
      <c r="O131">
        <v>1</v>
      </c>
      <c r="P131">
        <f t="shared" ref="P131:P194" si="6">IF(E131&lt;&gt;"", 1, 0)</f>
        <v>0</v>
      </c>
      <c r="Q131">
        <f t="shared" ref="Q131:Q194" si="7">IF(G131&lt;&gt;"",1,0)</f>
        <v>0</v>
      </c>
      <c r="R131">
        <f t="shared" ref="R131:R194" si="8">IF(AND(G131&lt;&gt;"", H131="No"), 1, 0)</f>
        <v>0</v>
      </c>
      <c r="S131" s="10" t="str" cm="1">
        <f t="array" ref="S131">_xlfn.IFS(N131="", "", N131&gt;=9,"Promoter", N131&gt;=7,"Passive", N131&lt;=6,"Detractor")</f>
        <v/>
      </c>
    </row>
    <row r="132" spans="1:19" ht="14.25" customHeight="1">
      <c r="A132" s="3" t="s">
        <v>163</v>
      </c>
      <c r="B132" s="3" t="s">
        <v>20</v>
      </c>
      <c r="C132" s="3" t="s">
        <v>27</v>
      </c>
      <c r="D132" s="4">
        <v>45946</v>
      </c>
      <c r="H132" s="3" t="s">
        <v>28</v>
      </c>
      <c r="I132" s="3" t="s">
        <v>106</v>
      </c>
      <c r="O132">
        <v>1</v>
      </c>
      <c r="P132">
        <f t="shared" si="6"/>
        <v>0</v>
      </c>
      <c r="Q132">
        <f t="shared" si="7"/>
        <v>0</v>
      </c>
      <c r="R132">
        <f t="shared" si="8"/>
        <v>0</v>
      </c>
      <c r="S132" s="10" t="str" cm="1">
        <f t="array" ref="S132">_xlfn.IFS(N132="", "", N132&gt;=9,"Promoter", N132&gt;=7,"Passive", N132&lt;=6,"Detractor")</f>
        <v/>
      </c>
    </row>
    <row r="133" spans="1:19" ht="14.25" customHeight="1">
      <c r="A133" s="3" t="s">
        <v>164</v>
      </c>
      <c r="B133" s="3" t="s">
        <v>37</v>
      </c>
      <c r="C133" s="3" t="s">
        <v>35</v>
      </c>
      <c r="D133" s="4">
        <v>45939</v>
      </c>
      <c r="E133" s="4">
        <v>45944</v>
      </c>
      <c r="F133" s="4">
        <v>45946</v>
      </c>
      <c r="G133" s="4">
        <v>45953</v>
      </c>
      <c r="H133" s="3" t="s">
        <v>22</v>
      </c>
      <c r="J133" s="4">
        <v>45975</v>
      </c>
      <c r="K133" s="3">
        <v>5</v>
      </c>
      <c r="L133" s="3">
        <v>2</v>
      </c>
      <c r="M133" s="3">
        <v>7</v>
      </c>
      <c r="N133" s="3">
        <v>4</v>
      </c>
      <c r="O133">
        <v>1</v>
      </c>
      <c r="P133">
        <f t="shared" si="6"/>
        <v>1</v>
      </c>
      <c r="Q133">
        <f t="shared" si="7"/>
        <v>1</v>
      </c>
      <c r="R133">
        <f t="shared" si="8"/>
        <v>1</v>
      </c>
      <c r="S133" s="10" t="str" cm="1">
        <f t="array" ref="S133">_xlfn.IFS(N133="", "", N133&gt;=9,"Promoter", N133&gt;=7,"Passive", N133&lt;=6,"Detractor")</f>
        <v>Detractor</v>
      </c>
    </row>
    <row r="134" spans="1:19" ht="14.25" customHeight="1">
      <c r="A134" s="3" t="s">
        <v>165</v>
      </c>
      <c r="B134" s="3" t="s">
        <v>26</v>
      </c>
      <c r="C134" s="3" t="s">
        <v>27</v>
      </c>
      <c r="D134" s="4">
        <v>45954</v>
      </c>
      <c r="H134" s="3" t="s">
        <v>28</v>
      </c>
      <c r="I134" s="3" t="s">
        <v>68</v>
      </c>
      <c r="O134">
        <v>1</v>
      </c>
      <c r="P134">
        <f t="shared" si="6"/>
        <v>0</v>
      </c>
      <c r="Q134">
        <f t="shared" si="7"/>
        <v>0</v>
      </c>
      <c r="R134">
        <f t="shared" si="8"/>
        <v>0</v>
      </c>
      <c r="S134" s="10" t="str" cm="1">
        <f t="array" ref="S134">_xlfn.IFS(N134="", "", N134&gt;=9,"Promoter", N134&gt;=7,"Passive", N134&lt;=6,"Detractor")</f>
        <v/>
      </c>
    </row>
    <row r="135" spans="1:19" ht="14.25" customHeight="1">
      <c r="A135" s="3" t="s">
        <v>166</v>
      </c>
      <c r="B135" s="3" t="s">
        <v>37</v>
      </c>
      <c r="C135" s="3" t="s">
        <v>21</v>
      </c>
      <c r="D135" s="4">
        <v>45949</v>
      </c>
      <c r="E135" s="4">
        <v>45950</v>
      </c>
      <c r="F135" s="4">
        <v>45952</v>
      </c>
      <c r="G135" s="4">
        <v>45957</v>
      </c>
      <c r="H135" s="3" t="s">
        <v>22</v>
      </c>
      <c r="J135" s="4">
        <v>45981</v>
      </c>
      <c r="K135" s="3">
        <v>1</v>
      </c>
      <c r="L135" s="3">
        <v>2</v>
      </c>
      <c r="M135" s="3">
        <v>5</v>
      </c>
      <c r="N135" s="3">
        <v>2</v>
      </c>
      <c r="O135">
        <v>1</v>
      </c>
      <c r="P135">
        <f t="shared" si="6"/>
        <v>1</v>
      </c>
      <c r="Q135">
        <f t="shared" si="7"/>
        <v>1</v>
      </c>
      <c r="R135">
        <f t="shared" si="8"/>
        <v>1</v>
      </c>
      <c r="S135" s="10" t="str" cm="1">
        <f t="array" ref="S135">_xlfn.IFS(N135="", "", N135&gt;=9,"Promoter", N135&gt;=7,"Passive", N135&lt;=6,"Detractor")</f>
        <v>Detractor</v>
      </c>
    </row>
    <row r="136" spans="1:19" ht="14.25" customHeight="1">
      <c r="A136" s="3" t="s">
        <v>167</v>
      </c>
      <c r="B136" s="3" t="s">
        <v>24</v>
      </c>
      <c r="C136" s="3" t="s">
        <v>27</v>
      </c>
      <c r="D136" s="4">
        <v>45955</v>
      </c>
      <c r="H136" s="3" t="s">
        <v>28</v>
      </c>
      <c r="I136" s="3" t="s">
        <v>31</v>
      </c>
      <c r="O136">
        <v>1</v>
      </c>
      <c r="P136">
        <f t="shared" si="6"/>
        <v>0</v>
      </c>
      <c r="Q136">
        <f t="shared" si="7"/>
        <v>0</v>
      </c>
      <c r="R136">
        <f t="shared" si="8"/>
        <v>0</v>
      </c>
      <c r="S136" s="10" t="str" cm="1">
        <f t="array" ref="S136">_xlfn.IFS(N136="", "", N136&gt;=9,"Promoter", N136&gt;=7,"Passive", N136&lt;=6,"Detractor")</f>
        <v/>
      </c>
    </row>
    <row r="137" spans="1:19" ht="14.25" customHeight="1">
      <c r="A137" s="3" t="s">
        <v>168</v>
      </c>
      <c r="B137" s="3" t="s">
        <v>26</v>
      </c>
      <c r="C137" s="3" t="s">
        <v>21</v>
      </c>
      <c r="D137" s="4">
        <v>45947</v>
      </c>
      <c r="E137" s="4">
        <v>45950</v>
      </c>
      <c r="F137" s="4">
        <v>45951</v>
      </c>
      <c r="G137" s="4">
        <v>45956</v>
      </c>
      <c r="H137" s="3" t="s">
        <v>22</v>
      </c>
      <c r="J137" s="4">
        <v>45979</v>
      </c>
      <c r="K137" s="3">
        <v>3</v>
      </c>
      <c r="L137" s="3">
        <v>1</v>
      </c>
      <c r="M137" s="3">
        <v>5</v>
      </c>
      <c r="N137" s="3">
        <v>3</v>
      </c>
      <c r="O137">
        <v>1</v>
      </c>
      <c r="P137">
        <f t="shared" si="6"/>
        <v>1</v>
      </c>
      <c r="Q137">
        <f t="shared" si="7"/>
        <v>1</v>
      </c>
      <c r="R137">
        <f t="shared" si="8"/>
        <v>1</v>
      </c>
      <c r="S137" s="10" t="str" cm="1">
        <f t="array" ref="S137">_xlfn.IFS(N137="", "", N137&gt;=9,"Promoter", N137&gt;=7,"Passive", N137&lt;=6,"Detractor")</f>
        <v>Detractor</v>
      </c>
    </row>
    <row r="138" spans="1:19" ht="14.25" customHeight="1">
      <c r="A138" s="3" t="s">
        <v>169</v>
      </c>
      <c r="B138" s="3" t="s">
        <v>24</v>
      </c>
      <c r="C138" s="3" t="s">
        <v>21</v>
      </c>
      <c r="D138" s="4">
        <v>45950</v>
      </c>
      <c r="E138" s="4">
        <v>45954</v>
      </c>
      <c r="F138" s="4">
        <v>45959</v>
      </c>
      <c r="G138" s="4">
        <v>45966</v>
      </c>
      <c r="H138" s="3" t="s">
        <v>22</v>
      </c>
      <c r="J138" s="4">
        <v>45981</v>
      </c>
      <c r="K138" s="3">
        <v>4</v>
      </c>
      <c r="L138" s="3">
        <v>5</v>
      </c>
      <c r="M138" s="3">
        <v>7</v>
      </c>
      <c r="N138" s="3">
        <v>0</v>
      </c>
      <c r="O138">
        <v>1</v>
      </c>
      <c r="P138">
        <f t="shared" si="6"/>
        <v>1</v>
      </c>
      <c r="Q138">
        <f t="shared" si="7"/>
        <v>1</v>
      </c>
      <c r="R138">
        <f t="shared" si="8"/>
        <v>1</v>
      </c>
      <c r="S138" s="10" t="str" cm="1">
        <f t="array" ref="S138">_xlfn.IFS(N138="", "", N138&gt;=9,"Promoter", N138&gt;=7,"Passive", N138&lt;=6,"Detractor")</f>
        <v>Detractor</v>
      </c>
    </row>
    <row r="139" spans="1:19" ht="14.25" customHeight="1">
      <c r="A139" s="3" t="s">
        <v>170</v>
      </c>
      <c r="B139" s="3" t="s">
        <v>26</v>
      </c>
      <c r="C139" s="3" t="s">
        <v>21</v>
      </c>
      <c r="D139" s="4">
        <v>45940</v>
      </c>
      <c r="E139" s="4">
        <v>45941</v>
      </c>
      <c r="F139" s="4">
        <v>45943</v>
      </c>
      <c r="G139" s="4">
        <v>45948</v>
      </c>
      <c r="H139" s="3" t="s">
        <v>28</v>
      </c>
      <c r="I139" s="3" t="s">
        <v>106</v>
      </c>
      <c r="K139" s="3">
        <v>1</v>
      </c>
      <c r="L139" s="3">
        <v>2</v>
      </c>
      <c r="M139" s="3">
        <v>5</v>
      </c>
      <c r="O139">
        <v>1</v>
      </c>
      <c r="P139">
        <f t="shared" si="6"/>
        <v>1</v>
      </c>
      <c r="Q139">
        <f t="shared" si="7"/>
        <v>1</v>
      </c>
      <c r="R139">
        <f t="shared" si="8"/>
        <v>0</v>
      </c>
      <c r="S139" s="10" t="str" cm="1">
        <f t="array" ref="S139">_xlfn.IFS(N139="", "", N139&gt;=9,"Promoter", N139&gt;=7,"Passive", N139&lt;=6,"Detractor")</f>
        <v/>
      </c>
    </row>
    <row r="140" spans="1:19" ht="14.25" customHeight="1">
      <c r="A140" s="3" t="s">
        <v>171</v>
      </c>
      <c r="B140" s="3" t="s">
        <v>20</v>
      </c>
      <c r="C140" s="3" t="s">
        <v>27</v>
      </c>
      <c r="D140" s="4">
        <v>45934</v>
      </c>
      <c r="H140" s="3" t="s">
        <v>28</v>
      </c>
      <c r="I140" s="3" t="s">
        <v>31</v>
      </c>
      <c r="O140">
        <v>1</v>
      </c>
      <c r="P140">
        <f t="shared" si="6"/>
        <v>0</v>
      </c>
      <c r="Q140">
        <f t="shared" si="7"/>
        <v>0</v>
      </c>
      <c r="R140">
        <f t="shared" si="8"/>
        <v>0</v>
      </c>
      <c r="S140" s="10" t="str" cm="1">
        <f t="array" ref="S140">_xlfn.IFS(N140="", "", N140&gt;=9,"Promoter", N140&gt;=7,"Passive", N140&lt;=6,"Detractor")</f>
        <v/>
      </c>
    </row>
    <row r="141" spans="1:19" ht="14.25" customHeight="1">
      <c r="A141" s="3" t="s">
        <v>172</v>
      </c>
      <c r="B141" s="3" t="s">
        <v>20</v>
      </c>
      <c r="C141" s="3" t="s">
        <v>21</v>
      </c>
      <c r="D141" s="4">
        <v>45957</v>
      </c>
      <c r="E141" s="4">
        <v>45960</v>
      </c>
      <c r="F141" s="4">
        <v>45962</v>
      </c>
      <c r="G141" s="4">
        <v>45967</v>
      </c>
      <c r="H141" s="3" t="s">
        <v>22</v>
      </c>
      <c r="J141" s="4">
        <v>45990</v>
      </c>
      <c r="K141" s="3">
        <v>3</v>
      </c>
      <c r="L141" s="3">
        <v>2</v>
      </c>
      <c r="M141" s="3">
        <v>5</v>
      </c>
      <c r="N141" s="3">
        <v>5</v>
      </c>
      <c r="O141">
        <v>1</v>
      </c>
      <c r="P141">
        <f t="shared" si="6"/>
        <v>1</v>
      </c>
      <c r="Q141">
        <f t="shared" si="7"/>
        <v>1</v>
      </c>
      <c r="R141">
        <f t="shared" si="8"/>
        <v>1</v>
      </c>
      <c r="S141" s="10" t="str" cm="1">
        <f t="array" ref="S141">_xlfn.IFS(N141="", "", N141&gt;=9,"Promoter", N141&gt;=7,"Passive", N141&lt;=6,"Detractor")</f>
        <v>Detractor</v>
      </c>
    </row>
    <row r="142" spans="1:19" ht="14.25" customHeight="1">
      <c r="A142" s="3" t="s">
        <v>173</v>
      </c>
      <c r="B142" s="3" t="s">
        <v>20</v>
      </c>
      <c r="C142" s="3" t="s">
        <v>21</v>
      </c>
      <c r="D142" s="4">
        <v>45937</v>
      </c>
      <c r="E142" s="4">
        <v>45942</v>
      </c>
      <c r="F142" s="4">
        <v>45943</v>
      </c>
      <c r="G142" s="4">
        <v>45946</v>
      </c>
      <c r="H142" s="3" t="s">
        <v>22</v>
      </c>
      <c r="J142" s="4">
        <v>45971</v>
      </c>
      <c r="K142" s="3">
        <v>5</v>
      </c>
      <c r="L142" s="3">
        <v>1</v>
      </c>
      <c r="M142" s="3">
        <v>3</v>
      </c>
      <c r="N142" s="3">
        <v>0</v>
      </c>
      <c r="O142">
        <v>1</v>
      </c>
      <c r="P142">
        <f t="shared" si="6"/>
        <v>1</v>
      </c>
      <c r="Q142">
        <f t="shared" si="7"/>
        <v>1</v>
      </c>
      <c r="R142">
        <f t="shared" si="8"/>
        <v>1</v>
      </c>
      <c r="S142" s="10" t="str" cm="1">
        <f t="array" ref="S142">_xlfn.IFS(N142="", "", N142&gt;=9,"Promoter", N142&gt;=7,"Passive", N142&lt;=6,"Detractor")</f>
        <v>Detractor</v>
      </c>
    </row>
    <row r="143" spans="1:19" ht="14.25" customHeight="1">
      <c r="A143" s="3" t="s">
        <v>174</v>
      </c>
      <c r="B143" s="3" t="s">
        <v>37</v>
      </c>
      <c r="C143" s="3" t="s">
        <v>27</v>
      </c>
      <c r="D143" s="4">
        <v>45940</v>
      </c>
      <c r="H143" s="3" t="s">
        <v>28</v>
      </c>
      <c r="I143" s="3" t="s">
        <v>29</v>
      </c>
      <c r="O143">
        <v>1</v>
      </c>
      <c r="P143">
        <f t="shared" si="6"/>
        <v>0</v>
      </c>
      <c r="Q143">
        <f t="shared" si="7"/>
        <v>0</v>
      </c>
      <c r="R143">
        <f t="shared" si="8"/>
        <v>0</v>
      </c>
      <c r="S143" s="10" t="str" cm="1">
        <f t="array" ref="S143">_xlfn.IFS(N143="", "", N143&gt;=9,"Promoter", N143&gt;=7,"Passive", N143&lt;=6,"Detractor")</f>
        <v/>
      </c>
    </row>
    <row r="144" spans="1:19" ht="14.25" customHeight="1">
      <c r="A144" s="3" t="s">
        <v>175</v>
      </c>
      <c r="B144" s="3" t="s">
        <v>24</v>
      </c>
      <c r="C144" s="3" t="s">
        <v>35</v>
      </c>
      <c r="D144" s="4">
        <v>45938</v>
      </c>
      <c r="E144" s="4">
        <v>45942</v>
      </c>
      <c r="F144" s="4">
        <v>45943</v>
      </c>
      <c r="G144" s="4">
        <v>45945</v>
      </c>
      <c r="H144" s="3" t="s">
        <v>22</v>
      </c>
      <c r="J144" s="4">
        <v>45967</v>
      </c>
      <c r="K144" s="3">
        <v>4</v>
      </c>
      <c r="L144" s="3">
        <v>1</v>
      </c>
      <c r="M144" s="3">
        <v>2</v>
      </c>
      <c r="N144" s="3">
        <v>4</v>
      </c>
      <c r="O144">
        <v>1</v>
      </c>
      <c r="P144">
        <f t="shared" si="6"/>
        <v>1</v>
      </c>
      <c r="Q144">
        <f t="shared" si="7"/>
        <v>1</v>
      </c>
      <c r="R144">
        <f t="shared" si="8"/>
        <v>1</v>
      </c>
      <c r="S144" s="10" t="str" cm="1">
        <f t="array" ref="S144">_xlfn.IFS(N144="", "", N144&gt;=9,"Promoter", N144&gt;=7,"Passive", N144&lt;=6,"Detractor")</f>
        <v>Detractor</v>
      </c>
    </row>
    <row r="145" spans="1:19" ht="14.25" customHeight="1">
      <c r="A145" s="3" t="s">
        <v>176</v>
      </c>
      <c r="B145" s="3" t="s">
        <v>37</v>
      </c>
      <c r="C145" s="3" t="s">
        <v>35</v>
      </c>
      <c r="D145" s="4">
        <v>45942</v>
      </c>
      <c r="E145" s="4">
        <v>45947</v>
      </c>
      <c r="F145" s="4">
        <v>45951</v>
      </c>
      <c r="G145" s="4">
        <v>45957</v>
      </c>
      <c r="H145" s="3" t="s">
        <v>22</v>
      </c>
      <c r="J145" s="4">
        <v>45978</v>
      </c>
      <c r="K145" s="3">
        <v>5</v>
      </c>
      <c r="L145" s="3">
        <v>4</v>
      </c>
      <c r="M145" s="3">
        <v>6</v>
      </c>
      <c r="N145" s="3">
        <v>1</v>
      </c>
      <c r="O145">
        <v>1</v>
      </c>
      <c r="P145">
        <f t="shared" si="6"/>
        <v>1</v>
      </c>
      <c r="Q145">
        <f t="shared" si="7"/>
        <v>1</v>
      </c>
      <c r="R145">
        <f t="shared" si="8"/>
        <v>1</v>
      </c>
      <c r="S145" s="10" t="str" cm="1">
        <f t="array" ref="S145">_xlfn.IFS(N145="", "", N145&gt;=9,"Promoter", N145&gt;=7,"Passive", N145&lt;=6,"Detractor")</f>
        <v>Detractor</v>
      </c>
    </row>
    <row r="146" spans="1:19" ht="14.25" customHeight="1">
      <c r="A146" s="3" t="s">
        <v>177</v>
      </c>
      <c r="B146" s="3" t="s">
        <v>20</v>
      </c>
      <c r="C146" s="3" t="s">
        <v>35</v>
      </c>
      <c r="D146" s="4">
        <v>45936</v>
      </c>
      <c r="E146" s="4">
        <v>45939</v>
      </c>
      <c r="F146" s="4">
        <v>45942</v>
      </c>
      <c r="G146" s="4">
        <v>45944</v>
      </c>
      <c r="H146" s="3" t="s">
        <v>22</v>
      </c>
      <c r="J146" s="4">
        <v>45971</v>
      </c>
      <c r="K146" s="3">
        <v>3</v>
      </c>
      <c r="L146" s="3">
        <v>3</v>
      </c>
      <c r="M146" s="3">
        <v>2</v>
      </c>
      <c r="N146" s="3">
        <v>6</v>
      </c>
      <c r="O146">
        <v>1</v>
      </c>
      <c r="P146">
        <f t="shared" si="6"/>
        <v>1</v>
      </c>
      <c r="Q146">
        <f t="shared" si="7"/>
        <v>1</v>
      </c>
      <c r="R146">
        <f t="shared" si="8"/>
        <v>1</v>
      </c>
      <c r="S146" s="10" t="str" cm="1">
        <f t="array" ref="S146">_xlfn.IFS(N146="", "", N146&gt;=9,"Promoter", N146&gt;=7,"Passive", N146&lt;=6,"Detractor")</f>
        <v>Detractor</v>
      </c>
    </row>
    <row r="147" spans="1:19" ht="14.25" customHeight="1">
      <c r="A147" s="3" t="s">
        <v>178</v>
      </c>
      <c r="B147" s="3" t="s">
        <v>24</v>
      </c>
      <c r="C147" s="3" t="s">
        <v>21</v>
      </c>
      <c r="D147" s="4">
        <v>45940</v>
      </c>
      <c r="E147" s="4">
        <v>45941</v>
      </c>
      <c r="F147" s="4">
        <v>45945</v>
      </c>
      <c r="G147" s="4">
        <v>45948</v>
      </c>
      <c r="H147" s="3" t="s">
        <v>22</v>
      </c>
      <c r="J147" s="4">
        <v>45970</v>
      </c>
      <c r="K147" s="3">
        <v>1</v>
      </c>
      <c r="L147" s="3">
        <v>4</v>
      </c>
      <c r="M147" s="3">
        <v>3</v>
      </c>
      <c r="N147" s="3">
        <v>1</v>
      </c>
      <c r="O147">
        <v>1</v>
      </c>
      <c r="P147">
        <f t="shared" si="6"/>
        <v>1</v>
      </c>
      <c r="Q147">
        <f t="shared" si="7"/>
        <v>1</v>
      </c>
      <c r="R147">
        <f t="shared" si="8"/>
        <v>1</v>
      </c>
      <c r="S147" s="10" t="str" cm="1">
        <f t="array" ref="S147">_xlfn.IFS(N147="", "", N147&gt;=9,"Promoter", N147&gt;=7,"Passive", N147&lt;=6,"Detractor")</f>
        <v>Detractor</v>
      </c>
    </row>
    <row r="148" spans="1:19" ht="14.25" customHeight="1">
      <c r="A148" s="3" t="s">
        <v>179</v>
      </c>
      <c r="B148" s="3" t="s">
        <v>20</v>
      </c>
      <c r="C148" s="3" t="s">
        <v>35</v>
      </c>
      <c r="D148" s="4">
        <v>45931</v>
      </c>
      <c r="E148" s="4">
        <v>45933</v>
      </c>
      <c r="F148" s="4">
        <v>45934</v>
      </c>
      <c r="G148" s="4">
        <v>45938</v>
      </c>
      <c r="H148" s="3" t="s">
        <v>22</v>
      </c>
      <c r="J148" s="4">
        <v>45951</v>
      </c>
      <c r="K148" s="3">
        <v>2</v>
      </c>
      <c r="L148" s="3">
        <v>1</v>
      </c>
      <c r="M148" s="3">
        <v>4</v>
      </c>
      <c r="N148" s="3">
        <v>6</v>
      </c>
      <c r="O148">
        <v>1</v>
      </c>
      <c r="P148">
        <f t="shared" si="6"/>
        <v>1</v>
      </c>
      <c r="Q148">
        <f t="shared" si="7"/>
        <v>1</v>
      </c>
      <c r="R148">
        <f t="shared" si="8"/>
        <v>1</v>
      </c>
      <c r="S148" s="10" t="str" cm="1">
        <f t="array" ref="S148">_xlfn.IFS(N148="", "", N148&gt;=9,"Promoter", N148&gt;=7,"Passive", N148&lt;=6,"Detractor")</f>
        <v>Detractor</v>
      </c>
    </row>
    <row r="149" spans="1:19" ht="14.25" customHeight="1">
      <c r="A149" s="3" t="s">
        <v>180</v>
      </c>
      <c r="B149" s="3" t="s">
        <v>37</v>
      </c>
      <c r="C149" s="3" t="s">
        <v>27</v>
      </c>
      <c r="D149" s="4">
        <v>45953</v>
      </c>
      <c r="H149" s="3" t="s">
        <v>28</v>
      </c>
      <c r="I149" s="3" t="s">
        <v>38</v>
      </c>
      <c r="O149">
        <v>1</v>
      </c>
      <c r="P149">
        <f t="shared" si="6"/>
        <v>0</v>
      </c>
      <c r="Q149">
        <f t="shared" si="7"/>
        <v>0</v>
      </c>
      <c r="R149">
        <f t="shared" si="8"/>
        <v>0</v>
      </c>
      <c r="S149" s="10" t="str" cm="1">
        <f t="array" ref="S149">_xlfn.IFS(N149="", "", N149&gt;=9,"Promoter", N149&gt;=7,"Passive", N149&lt;=6,"Detractor")</f>
        <v/>
      </c>
    </row>
    <row r="150" spans="1:19" ht="14.25" customHeight="1">
      <c r="A150" s="3" t="s">
        <v>181</v>
      </c>
      <c r="B150" s="3" t="s">
        <v>37</v>
      </c>
      <c r="C150" s="3" t="s">
        <v>35</v>
      </c>
      <c r="D150" s="4">
        <v>45948</v>
      </c>
      <c r="E150" s="4">
        <v>45952</v>
      </c>
      <c r="F150" s="4">
        <v>45954</v>
      </c>
      <c r="G150" s="4">
        <v>45956</v>
      </c>
      <c r="H150" s="3" t="s">
        <v>22</v>
      </c>
      <c r="J150" s="4">
        <v>45981</v>
      </c>
      <c r="K150" s="3">
        <v>4</v>
      </c>
      <c r="L150" s="3">
        <v>2</v>
      </c>
      <c r="M150" s="3">
        <v>2</v>
      </c>
      <c r="N150" s="3">
        <v>5</v>
      </c>
      <c r="O150">
        <v>1</v>
      </c>
      <c r="P150">
        <f t="shared" si="6"/>
        <v>1</v>
      </c>
      <c r="Q150">
        <f t="shared" si="7"/>
        <v>1</v>
      </c>
      <c r="R150">
        <f t="shared" si="8"/>
        <v>1</v>
      </c>
      <c r="S150" s="10" t="str" cm="1">
        <f t="array" ref="S150">_xlfn.IFS(N150="", "", N150&gt;=9,"Promoter", N150&gt;=7,"Passive", N150&lt;=6,"Detractor")</f>
        <v>Detractor</v>
      </c>
    </row>
    <row r="151" spans="1:19" ht="14.25" customHeight="1">
      <c r="A151" s="3" t="s">
        <v>182</v>
      </c>
      <c r="B151" s="3" t="s">
        <v>37</v>
      </c>
      <c r="C151" s="3" t="s">
        <v>21</v>
      </c>
      <c r="D151" s="4">
        <v>45935</v>
      </c>
      <c r="E151" s="4">
        <v>45940</v>
      </c>
      <c r="F151" s="4">
        <v>45941</v>
      </c>
      <c r="G151" s="4">
        <v>45945</v>
      </c>
      <c r="H151" s="3" t="s">
        <v>22</v>
      </c>
      <c r="J151" s="4">
        <v>45973</v>
      </c>
      <c r="K151" s="3">
        <v>5</v>
      </c>
      <c r="L151" s="3">
        <v>1</v>
      </c>
      <c r="M151" s="3">
        <v>4</v>
      </c>
      <c r="N151" s="3">
        <v>4</v>
      </c>
      <c r="O151">
        <v>1</v>
      </c>
      <c r="P151">
        <f t="shared" si="6"/>
        <v>1</v>
      </c>
      <c r="Q151">
        <f t="shared" si="7"/>
        <v>1</v>
      </c>
      <c r="R151">
        <f t="shared" si="8"/>
        <v>1</v>
      </c>
      <c r="S151" s="10" t="str" cm="1">
        <f t="array" ref="S151">_xlfn.IFS(N151="", "", N151&gt;=9,"Promoter", N151&gt;=7,"Passive", N151&lt;=6,"Detractor")</f>
        <v>Detractor</v>
      </c>
    </row>
    <row r="152" spans="1:19" ht="14.25" customHeight="1">
      <c r="A152" s="3" t="s">
        <v>183</v>
      </c>
      <c r="B152" s="3" t="s">
        <v>20</v>
      </c>
      <c r="C152" s="3" t="s">
        <v>35</v>
      </c>
      <c r="D152" s="4">
        <v>45939</v>
      </c>
      <c r="E152" s="4">
        <v>45940</v>
      </c>
      <c r="F152" s="4">
        <v>45945</v>
      </c>
      <c r="G152" s="4">
        <v>45948</v>
      </c>
      <c r="H152" s="3" t="s">
        <v>22</v>
      </c>
      <c r="J152" s="4">
        <v>45978</v>
      </c>
      <c r="K152" s="3">
        <v>1</v>
      </c>
      <c r="L152" s="3">
        <v>5</v>
      </c>
      <c r="M152" s="3">
        <v>3</v>
      </c>
      <c r="N152" s="3">
        <v>2</v>
      </c>
      <c r="O152">
        <v>1</v>
      </c>
      <c r="P152">
        <f t="shared" si="6"/>
        <v>1</v>
      </c>
      <c r="Q152">
        <f t="shared" si="7"/>
        <v>1</v>
      </c>
      <c r="R152">
        <f t="shared" si="8"/>
        <v>1</v>
      </c>
      <c r="S152" s="10" t="str" cm="1">
        <f t="array" ref="S152">_xlfn.IFS(N152="", "", N152&gt;=9,"Promoter", N152&gt;=7,"Passive", N152&lt;=6,"Detractor")</f>
        <v>Detractor</v>
      </c>
    </row>
    <row r="153" spans="1:19" ht="14.25" customHeight="1">
      <c r="A153" s="3" t="s">
        <v>184</v>
      </c>
      <c r="B153" s="3" t="s">
        <v>24</v>
      </c>
      <c r="C153" s="3" t="s">
        <v>27</v>
      </c>
      <c r="D153" s="4">
        <v>45932</v>
      </c>
      <c r="H153" s="3" t="s">
        <v>28</v>
      </c>
      <c r="I153" s="3" t="s">
        <v>29</v>
      </c>
      <c r="O153">
        <v>1</v>
      </c>
      <c r="P153">
        <f t="shared" si="6"/>
        <v>0</v>
      </c>
      <c r="Q153">
        <f t="shared" si="7"/>
        <v>0</v>
      </c>
      <c r="R153">
        <f t="shared" si="8"/>
        <v>0</v>
      </c>
      <c r="S153" s="10" t="str" cm="1">
        <f t="array" ref="S153">_xlfn.IFS(N153="", "", N153&gt;=9,"Promoter", N153&gt;=7,"Passive", N153&lt;=6,"Detractor")</f>
        <v/>
      </c>
    </row>
    <row r="154" spans="1:19" ht="14.25" customHeight="1">
      <c r="A154" s="3" t="s">
        <v>185</v>
      </c>
      <c r="B154" s="3" t="s">
        <v>24</v>
      </c>
      <c r="C154" s="3" t="s">
        <v>27</v>
      </c>
      <c r="D154" s="4">
        <v>45932</v>
      </c>
      <c r="H154" s="3" t="s">
        <v>28</v>
      </c>
      <c r="I154" s="3" t="s">
        <v>38</v>
      </c>
      <c r="O154">
        <v>1</v>
      </c>
      <c r="P154">
        <f t="shared" si="6"/>
        <v>0</v>
      </c>
      <c r="Q154">
        <f t="shared" si="7"/>
        <v>0</v>
      </c>
      <c r="R154">
        <f t="shared" si="8"/>
        <v>0</v>
      </c>
      <c r="S154" s="10" t="str" cm="1">
        <f t="array" ref="S154">_xlfn.IFS(N154="", "", N154&gt;=9,"Promoter", N154&gt;=7,"Passive", N154&lt;=6,"Detractor")</f>
        <v/>
      </c>
    </row>
    <row r="155" spans="1:19" ht="14.25" customHeight="1">
      <c r="A155" s="3" t="s">
        <v>186</v>
      </c>
      <c r="B155" s="3" t="s">
        <v>20</v>
      </c>
      <c r="C155" s="3" t="s">
        <v>21</v>
      </c>
      <c r="D155" s="4">
        <v>45948</v>
      </c>
      <c r="E155" s="4">
        <v>45949</v>
      </c>
      <c r="F155" s="4">
        <v>45951</v>
      </c>
      <c r="G155" s="4">
        <v>45957</v>
      </c>
      <c r="H155" s="3" t="s">
        <v>22</v>
      </c>
      <c r="J155" s="4">
        <v>45974</v>
      </c>
      <c r="K155" s="3">
        <v>1</v>
      </c>
      <c r="L155" s="3">
        <v>2</v>
      </c>
      <c r="M155" s="3">
        <v>6</v>
      </c>
      <c r="N155" s="3">
        <v>7</v>
      </c>
      <c r="O155">
        <v>1</v>
      </c>
      <c r="P155">
        <f t="shared" si="6"/>
        <v>1</v>
      </c>
      <c r="Q155">
        <f t="shared" si="7"/>
        <v>1</v>
      </c>
      <c r="R155">
        <f t="shared" si="8"/>
        <v>1</v>
      </c>
      <c r="S155" s="10" t="str" cm="1">
        <f t="array" ref="S155">_xlfn.IFS(N155="", "", N155&gt;=9,"Promoter", N155&gt;=7,"Passive", N155&lt;=6,"Detractor")</f>
        <v>Passive</v>
      </c>
    </row>
    <row r="156" spans="1:19" ht="14.25" customHeight="1">
      <c r="A156" s="3" t="s">
        <v>187</v>
      </c>
      <c r="B156" s="3" t="s">
        <v>24</v>
      </c>
      <c r="C156" s="3" t="s">
        <v>27</v>
      </c>
      <c r="D156" s="4">
        <v>45940</v>
      </c>
      <c r="H156" s="3" t="s">
        <v>28</v>
      </c>
      <c r="I156" s="3" t="s">
        <v>29</v>
      </c>
      <c r="O156">
        <v>1</v>
      </c>
      <c r="P156">
        <f t="shared" si="6"/>
        <v>0</v>
      </c>
      <c r="Q156">
        <f t="shared" si="7"/>
        <v>0</v>
      </c>
      <c r="R156">
        <f t="shared" si="8"/>
        <v>0</v>
      </c>
      <c r="S156" s="10" t="str" cm="1">
        <f t="array" ref="S156">_xlfn.IFS(N156="", "", N156&gt;=9,"Promoter", N156&gt;=7,"Passive", N156&lt;=6,"Detractor")</f>
        <v/>
      </c>
    </row>
    <row r="157" spans="1:19" ht="14.25" customHeight="1">
      <c r="A157" s="3" t="s">
        <v>188</v>
      </c>
      <c r="B157" s="3" t="s">
        <v>20</v>
      </c>
      <c r="C157" s="3" t="s">
        <v>35</v>
      </c>
      <c r="D157" s="4">
        <v>45953</v>
      </c>
      <c r="E157" s="4">
        <v>45955</v>
      </c>
      <c r="F157" s="4">
        <v>45959</v>
      </c>
      <c r="G157" s="4">
        <v>45963</v>
      </c>
      <c r="H157" s="3" t="s">
        <v>22</v>
      </c>
      <c r="J157" s="4">
        <v>45978</v>
      </c>
      <c r="K157" s="3">
        <v>2</v>
      </c>
      <c r="L157" s="3">
        <v>4</v>
      </c>
      <c r="M157" s="3">
        <v>4</v>
      </c>
      <c r="N157" s="3">
        <v>4</v>
      </c>
      <c r="O157">
        <v>1</v>
      </c>
      <c r="P157">
        <f t="shared" si="6"/>
        <v>1</v>
      </c>
      <c r="Q157">
        <f t="shared" si="7"/>
        <v>1</v>
      </c>
      <c r="R157">
        <f t="shared" si="8"/>
        <v>1</v>
      </c>
      <c r="S157" s="10" t="str" cm="1">
        <f t="array" ref="S157">_xlfn.IFS(N157="", "", N157&gt;=9,"Promoter", N157&gt;=7,"Passive", N157&lt;=6,"Detractor")</f>
        <v>Detractor</v>
      </c>
    </row>
    <row r="158" spans="1:19" ht="14.25" customHeight="1">
      <c r="A158" s="3" t="s">
        <v>189</v>
      </c>
      <c r="B158" s="3" t="s">
        <v>24</v>
      </c>
      <c r="C158" s="3" t="s">
        <v>27</v>
      </c>
      <c r="D158" s="4">
        <v>45961</v>
      </c>
      <c r="H158" s="3" t="s">
        <v>28</v>
      </c>
      <c r="I158" s="3" t="s">
        <v>68</v>
      </c>
      <c r="O158">
        <v>1</v>
      </c>
      <c r="P158">
        <f t="shared" si="6"/>
        <v>0</v>
      </c>
      <c r="Q158">
        <f t="shared" si="7"/>
        <v>0</v>
      </c>
      <c r="R158">
        <f t="shared" si="8"/>
        <v>0</v>
      </c>
      <c r="S158" s="10" t="str" cm="1">
        <f t="array" ref="S158">_xlfn.IFS(N158="", "", N158&gt;=9,"Promoter", N158&gt;=7,"Passive", N158&lt;=6,"Detractor")</f>
        <v/>
      </c>
    </row>
    <row r="159" spans="1:19" ht="14.25" customHeight="1">
      <c r="A159" s="3" t="s">
        <v>190</v>
      </c>
      <c r="B159" s="3" t="s">
        <v>26</v>
      </c>
      <c r="C159" s="3" t="s">
        <v>35</v>
      </c>
      <c r="D159" s="4">
        <v>45935</v>
      </c>
      <c r="E159" s="4">
        <v>45938</v>
      </c>
      <c r="F159" s="4">
        <v>45942</v>
      </c>
      <c r="G159" s="4">
        <v>45945</v>
      </c>
      <c r="H159" s="3" t="s">
        <v>22</v>
      </c>
      <c r="J159" s="4">
        <v>45969</v>
      </c>
      <c r="K159" s="3">
        <v>3</v>
      </c>
      <c r="L159" s="3">
        <v>4</v>
      </c>
      <c r="M159" s="3">
        <v>3</v>
      </c>
      <c r="N159" s="3">
        <v>8</v>
      </c>
      <c r="O159">
        <v>1</v>
      </c>
      <c r="P159">
        <f t="shared" si="6"/>
        <v>1</v>
      </c>
      <c r="Q159">
        <f t="shared" si="7"/>
        <v>1</v>
      </c>
      <c r="R159">
        <f t="shared" si="8"/>
        <v>1</v>
      </c>
      <c r="S159" s="10" t="str" cm="1">
        <f t="array" ref="S159">_xlfn.IFS(N159="", "", N159&gt;=9,"Promoter", N159&gt;=7,"Passive", N159&lt;=6,"Detractor")</f>
        <v>Passive</v>
      </c>
    </row>
    <row r="160" spans="1:19" ht="14.25" customHeight="1">
      <c r="A160" s="3" t="s">
        <v>191</v>
      </c>
      <c r="B160" s="3" t="s">
        <v>26</v>
      </c>
      <c r="C160" s="3" t="s">
        <v>27</v>
      </c>
      <c r="D160" s="4">
        <v>45951</v>
      </c>
      <c r="H160" s="3" t="s">
        <v>28</v>
      </c>
      <c r="I160" s="3" t="s">
        <v>31</v>
      </c>
      <c r="O160">
        <v>1</v>
      </c>
      <c r="P160">
        <f t="shared" si="6"/>
        <v>0</v>
      </c>
      <c r="Q160">
        <f t="shared" si="7"/>
        <v>0</v>
      </c>
      <c r="R160">
        <f t="shared" si="8"/>
        <v>0</v>
      </c>
      <c r="S160" s="10" t="str" cm="1">
        <f t="array" ref="S160">_xlfn.IFS(N160="", "", N160&gt;=9,"Promoter", N160&gt;=7,"Passive", N160&lt;=6,"Detractor")</f>
        <v/>
      </c>
    </row>
    <row r="161" spans="1:19" ht="14.25" customHeight="1">
      <c r="A161" s="3" t="s">
        <v>192</v>
      </c>
      <c r="B161" s="3" t="s">
        <v>37</v>
      </c>
      <c r="C161" s="3" t="s">
        <v>35</v>
      </c>
      <c r="D161" s="4">
        <v>45958</v>
      </c>
      <c r="E161" s="4">
        <v>45960</v>
      </c>
      <c r="F161" s="4">
        <v>45964</v>
      </c>
      <c r="G161" s="4">
        <v>45969</v>
      </c>
      <c r="H161" s="3" t="s">
        <v>22</v>
      </c>
      <c r="J161" s="4">
        <v>45981</v>
      </c>
      <c r="K161" s="3">
        <v>2</v>
      </c>
      <c r="L161" s="3">
        <v>4</v>
      </c>
      <c r="M161" s="3">
        <v>5</v>
      </c>
      <c r="N161" s="3">
        <v>5</v>
      </c>
      <c r="O161">
        <v>1</v>
      </c>
      <c r="P161">
        <f t="shared" si="6"/>
        <v>1</v>
      </c>
      <c r="Q161">
        <f t="shared" si="7"/>
        <v>1</v>
      </c>
      <c r="R161">
        <f t="shared" si="8"/>
        <v>1</v>
      </c>
      <c r="S161" s="10" t="str" cm="1">
        <f t="array" ref="S161">_xlfn.IFS(N161="", "", N161&gt;=9,"Promoter", N161&gt;=7,"Passive", N161&lt;=6,"Detractor")</f>
        <v>Detractor</v>
      </c>
    </row>
    <row r="162" spans="1:19" ht="14.25" customHeight="1">
      <c r="A162" s="3" t="s">
        <v>193</v>
      </c>
      <c r="B162" s="3" t="s">
        <v>26</v>
      </c>
      <c r="C162" s="3" t="s">
        <v>21</v>
      </c>
      <c r="D162" s="4">
        <v>45955</v>
      </c>
      <c r="E162" s="4">
        <v>45957</v>
      </c>
      <c r="F162" s="4">
        <v>45959</v>
      </c>
      <c r="G162" s="4">
        <v>45965</v>
      </c>
      <c r="H162" s="3" t="s">
        <v>22</v>
      </c>
      <c r="J162" s="4">
        <v>45976</v>
      </c>
      <c r="K162" s="3">
        <v>2</v>
      </c>
      <c r="L162" s="3">
        <v>2</v>
      </c>
      <c r="M162" s="3">
        <v>6</v>
      </c>
      <c r="N162" s="3">
        <v>3</v>
      </c>
      <c r="O162">
        <v>1</v>
      </c>
      <c r="P162">
        <f t="shared" si="6"/>
        <v>1</v>
      </c>
      <c r="Q162">
        <f t="shared" si="7"/>
        <v>1</v>
      </c>
      <c r="R162">
        <f t="shared" si="8"/>
        <v>1</v>
      </c>
      <c r="S162" s="10" t="str" cm="1">
        <f t="array" ref="S162">_xlfn.IFS(N162="", "", N162&gt;=9,"Promoter", N162&gt;=7,"Passive", N162&lt;=6,"Detractor")</f>
        <v>Detractor</v>
      </c>
    </row>
    <row r="163" spans="1:19" ht="14.25" customHeight="1">
      <c r="A163" s="3" t="s">
        <v>194</v>
      </c>
      <c r="B163" s="3" t="s">
        <v>26</v>
      </c>
      <c r="C163" s="3" t="s">
        <v>21</v>
      </c>
      <c r="D163" s="4">
        <v>45946</v>
      </c>
      <c r="E163" s="4">
        <v>45949</v>
      </c>
      <c r="F163" s="4">
        <v>45952</v>
      </c>
      <c r="G163" s="4">
        <v>45959</v>
      </c>
      <c r="H163" s="3" t="s">
        <v>22</v>
      </c>
      <c r="J163" s="4">
        <v>45978</v>
      </c>
      <c r="K163" s="3">
        <v>3</v>
      </c>
      <c r="L163" s="3">
        <v>3</v>
      </c>
      <c r="M163" s="3">
        <v>7</v>
      </c>
      <c r="N163" s="3">
        <v>2</v>
      </c>
      <c r="O163">
        <v>1</v>
      </c>
      <c r="P163">
        <f t="shared" si="6"/>
        <v>1</v>
      </c>
      <c r="Q163">
        <f t="shared" si="7"/>
        <v>1</v>
      </c>
      <c r="R163">
        <f t="shared" si="8"/>
        <v>1</v>
      </c>
      <c r="S163" s="10" t="str" cm="1">
        <f t="array" ref="S163">_xlfn.IFS(N163="", "", N163&gt;=9,"Promoter", N163&gt;=7,"Passive", N163&lt;=6,"Detractor")</f>
        <v>Detractor</v>
      </c>
    </row>
    <row r="164" spans="1:19" ht="14.25" customHeight="1">
      <c r="A164" s="3" t="s">
        <v>195</v>
      </c>
      <c r="B164" s="3" t="s">
        <v>26</v>
      </c>
      <c r="C164" s="3" t="s">
        <v>35</v>
      </c>
      <c r="D164" s="4">
        <v>45934</v>
      </c>
      <c r="E164" s="4">
        <v>45937</v>
      </c>
      <c r="F164" s="4">
        <v>45940</v>
      </c>
      <c r="G164" s="4">
        <v>45945</v>
      </c>
      <c r="H164" s="3" t="s">
        <v>22</v>
      </c>
      <c r="J164" s="4">
        <v>45955</v>
      </c>
      <c r="K164" s="3">
        <v>3</v>
      </c>
      <c r="L164" s="3">
        <v>3</v>
      </c>
      <c r="M164" s="3">
        <v>5</v>
      </c>
      <c r="N164" s="3">
        <v>7</v>
      </c>
      <c r="O164">
        <v>1</v>
      </c>
      <c r="P164">
        <f t="shared" si="6"/>
        <v>1</v>
      </c>
      <c r="Q164">
        <f t="shared" si="7"/>
        <v>1</v>
      </c>
      <c r="R164">
        <f t="shared" si="8"/>
        <v>1</v>
      </c>
      <c r="S164" s="10" t="str" cm="1">
        <f t="array" ref="S164">_xlfn.IFS(N164="", "", N164&gt;=9,"Promoter", N164&gt;=7,"Passive", N164&lt;=6,"Detractor")</f>
        <v>Passive</v>
      </c>
    </row>
    <row r="165" spans="1:19" ht="14.25" customHeight="1">
      <c r="A165" s="3" t="s">
        <v>196</v>
      </c>
      <c r="B165" s="3" t="s">
        <v>20</v>
      </c>
      <c r="C165" s="3" t="s">
        <v>35</v>
      </c>
      <c r="D165" s="4">
        <v>45958</v>
      </c>
      <c r="E165" s="4">
        <v>45961</v>
      </c>
      <c r="F165" s="4">
        <v>45964</v>
      </c>
      <c r="G165" s="4">
        <v>45970</v>
      </c>
      <c r="H165" s="3" t="s">
        <v>22</v>
      </c>
      <c r="J165" s="4">
        <v>45990</v>
      </c>
      <c r="K165" s="3">
        <v>3</v>
      </c>
      <c r="L165" s="3">
        <v>3</v>
      </c>
      <c r="M165" s="3">
        <v>6</v>
      </c>
      <c r="N165" s="3">
        <v>5</v>
      </c>
      <c r="O165">
        <v>1</v>
      </c>
      <c r="P165">
        <f t="shared" si="6"/>
        <v>1</v>
      </c>
      <c r="Q165">
        <f t="shared" si="7"/>
        <v>1</v>
      </c>
      <c r="R165">
        <f t="shared" si="8"/>
        <v>1</v>
      </c>
      <c r="S165" s="10" t="str" cm="1">
        <f t="array" ref="S165">_xlfn.IFS(N165="", "", N165&gt;=9,"Promoter", N165&gt;=7,"Passive", N165&lt;=6,"Detractor")</f>
        <v>Detractor</v>
      </c>
    </row>
    <row r="166" spans="1:19" ht="14.25" customHeight="1">
      <c r="A166" s="3" t="s">
        <v>197</v>
      </c>
      <c r="B166" s="3" t="s">
        <v>26</v>
      </c>
      <c r="C166" s="3" t="s">
        <v>35</v>
      </c>
      <c r="D166" s="4">
        <v>45931</v>
      </c>
      <c r="E166" s="4">
        <v>45932</v>
      </c>
      <c r="F166" s="4">
        <v>45933</v>
      </c>
      <c r="G166" s="4">
        <v>45939</v>
      </c>
      <c r="H166" s="3" t="s">
        <v>22</v>
      </c>
      <c r="J166" s="4">
        <v>45957</v>
      </c>
      <c r="K166" s="3">
        <v>1</v>
      </c>
      <c r="L166" s="3">
        <v>1</v>
      </c>
      <c r="M166" s="3">
        <v>6</v>
      </c>
      <c r="N166" s="3">
        <v>6</v>
      </c>
      <c r="O166">
        <v>1</v>
      </c>
      <c r="P166">
        <f t="shared" si="6"/>
        <v>1</v>
      </c>
      <c r="Q166">
        <f t="shared" si="7"/>
        <v>1</v>
      </c>
      <c r="R166">
        <f t="shared" si="8"/>
        <v>1</v>
      </c>
      <c r="S166" s="10" t="str" cm="1">
        <f t="array" ref="S166">_xlfn.IFS(N166="", "", N166&gt;=9,"Promoter", N166&gt;=7,"Passive", N166&lt;=6,"Detractor")</f>
        <v>Detractor</v>
      </c>
    </row>
    <row r="167" spans="1:19" ht="14.25" customHeight="1">
      <c r="A167" s="3" t="s">
        <v>198</v>
      </c>
      <c r="B167" s="3" t="s">
        <v>26</v>
      </c>
      <c r="C167" s="3" t="s">
        <v>21</v>
      </c>
      <c r="D167" s="4">
        <v>45949</v>
      </c>
      <c r="E167" s="4">
        <v>45950</v>
      </c>
      <c r="F167" s="4">
        <v>45951</v>
      </c>
      <c r="G167" s="4">
        <v>45953</v>
      </c>
      <c r="H167" s="3" t="s">
        <v>22</v>
      </c>
      <c r="J167" s="4">
        <v>45966</v>
      </c>
      <c r="K167" s="3">
        <v>1</v>
      </c>
      <c r="L167" s="3">
        <v>1</v>
      </c>
      <c r="M167" s="3">
        <v>2</v>
      </c>
      <c r="N167" s="3">
        <v>2</v>
      </c>
      <c r="O167">
        <v>1</v>
      </c>
      <c r="P167">
        <f t="shared" si="6"/>
        <v>1</v>
      </c>
      <c r="Q167">
        <f t="shared" si="7"/>
        <v>1</v>
      </c>
      <c r="R167">
        <f t="shared" si="8"/>
        <v>1</v>
      </c>
      <c r="S167" s="10" t="str" cm="1">
        <f t="array" ref="S167">_xlfn.IFS(N167="", "", N167&gt;=9,"Promoter", N167&gt;=7,"Passive", N167&lt;=6,"Detractor")</f>
        <v>Detractor</v>
      </c>
    </row>
    <row r="168" spans="1:19" ht="14.25" customHeight="1">
      <c r="A168" s="3" t="s">
        <v>199</v>
      </c>
      <c r="B168" s="3" t="s">
        <v>37</v>
      </c>
      <c r="C168" s="3" t="s">
        <v>21</v>
      </c>
      <c r="D168" s="4">
        <v>45940</v>
      </c>
      <c r="E168" s="4">
        <v>45944</v>
      </c>
      <c r="F168" s="4">
        <v>45949</v>
      </c>
      <c r="G168" s="4">
        <v>45955</v>
      </c>
      <c r="H168" s="3" t="s">
        <v>28</v>
      </c>
      <c r="I168" s="3" t="s">
        <v>38</v>
      </c>
      <c r="K168" s="3">
        <v>4</v>
      </c>
      <c r="L168" s="3">
        <v>5</v>
      </c>
      <c r="M168" s="3">
        <v>6</v>
      </c>
      <c r="O168">
        <v>1</v>
      </c>
      <c r="P168">
        <f t="shared" si="6"/>
        <v>1</v>
      </c>
      <c r="Q168">
        <f t="shared" si="7"/>
        <v>1</v>
      </c>
      <c r="R168">
        <f t="shared" si="8"/>
        <v>0</v>
      </c>
      <c r="S168" s="10" t="str" cm="1">
        <f t="array" ref="S168">_xlfn.IFS(N168="", "", N168&gt;=9,"Promoter", N168&gt;=7,"Passive", N168&lt;=6,"Detractor")</f>
        <v/>
      </c>
    </row>
    <row r="169" spans="1:19" ht="14.25" customHeight="1">
      <c r="A169" s="3" t="s">
        <v>200</v>
      </c>
      <c r="B169" s="3" t="s">
        <v>26</v>
      </c>
      <c r="C169" s="3" t="s">
        <v>35</v>
      </c>
      <c r="D169" s="4">
        <v>45946</v>
      </c>
      <c r="E169" s="4">
        <v>45950</v>
      </c>
      <c r="F169" s="4">
        <v>45952</v>
      </c>
      <c r="G169" s="4">
        <v>45954</v>
      </c>
      <c r="H169" s="3" t="s">
        <v>28</v>
      </c>
      <c r="I169" s="3" t="s">
        <v>106</v>
      </c>
      <c r="K169" s="3">
        <v>4</v>
      </c>
      <c r="L169" s="3">
        <v>2</v>
      </c>
      <c r="M169" s="3">
        <v>2</v>
      </c>
      <c r="O169">
        <v>1</v>
      </c>
      <c r="P169">
        <f t="shared" si="6"/>
        <v>1</v>
      </c>
      <c r="Q169">
        <f t="shared" si="7"/>
        <v>1</v>
      </c>
      <c r="R169">
        <f t="shared" si="8"/>
        <v>0</v>
      </c>
      <c r="S169" s="10" t="str" cm="1">
        <f t="array" ref="S169">_xlfn.IFS(N169="", "", N169&gt;=9,"Promoter", N169&gt;=7,"Passive", N169&lt;=6,"Detractor")</f>
        <v/>
      </c>
    </row>
    <row r="170" spans="1:19" ht="14.25" customHeight="1">
      <c r="A170" s="3" t="s">
        <v>201</v>
      </c>
      <c r="B170" s="3" t="s">
        <v>26</v>
      </c>
      <c r="C170" s="3" t="s">
        <v>21</v>
      </c>
      <c r="D170" s="4">
        <v>45946</v>
      </c>
      <c r="E170" s="4">
        <v>45948</v>
      </c>
      <c r="F170" s="4">
        <v>45953</v>
      </c>
      <c r="G170" s="4">
        <v>45957</v>
      </c>
      <c r="H170" s="3" t="s">
        <v>22</v>
      </c>
      <c r="J170" s="4">
        <v>45969</v>
      </c>
      <c r="K170" s="3">
        <v>2</v>
      </c>
      <c r="L170" s="3">
        <v>5</v>
      </c>
      <c r="M170" s="3">
        <v>4</v>
      </c>
      <c r="N170" s="3">
        <v>5</v>
      </c>
      <c r="O170">
        <v>1</v>
      </c>
      <c r="P170">
        <f t="shared" si="6"/>
        <v>1</v>
      </c>
      <c r="Q170">
        <f t="shared" si="7"/>
        <v>1</v>
      </c>
      <c r="R170">
        <f t="shared" si="8"/>
        <v>1</v>
      </c>
      <c r="S170" s="10" t="str" cm="1">
        <f t="array" ref="S170">_xlfn.IFS(N170="", "", N170&gt;=9,"Promoter", N170&gt;=7,"Passive", N170&lt;=6,"Detractor")</f>
        <v>Detractor</v>
      </c>
    </row>
    <row r="171" spans="1:19" ht="14.25" customHeight="1">
      <c r="A171" s="3" t="s">
        <v>202</v>
      </c>
      <c r="B171" s="3" t="s">
        <v>24</v>
      </c>
      <c r="C171" s="3" t="s">
        <v>35</v>
      </c>
      <c r="D171" s="4">
        <v>45945</v>
      </c>
      <c r="E171" s="4">
        <v>45947</v>
      </c>
      <c r="F171" s="4">
        <v>45948</v>
      </c>
      <c r="G171" s="4">
        <v>45954</v>
      </c>
      <c r="H171" s="3" t="s">
        <v>22</v>
      </c>
      <c r="J171" s="4">
        <v>45974</v>
      </c>
      <c r="K171" s="3">
        <v>2</v>
      </c>
      <c r="L171" s="3">
        <v>1</v>
      </c>
      <c r="M171" s="3">
        <v>6</v>
      </c>
      <c r="N171" s="3">
        <v>2</v>
      </c>
      <c r="O171">
        <v>1</v>
      </c>
      <c r="P171">
        <f t="shared" si="6"/>
        <v>1</v>
      </c>
      <c r="Q171">
        <f t="shared" si="7"/>
        <v>1</v>
      </c>
      <c r="R171">
        <f t="shared" si="8"/>
        <v>1</v>
      </c>
      <c r="S171" s="10" t="str" cm="1">
        <f t="array" ref="S171">_xlfn.IFS(N171="", "", N171&gt;=9,"Promoter", N171&gt;=7,"Passive", N171&lt;=6,"Detractor")</f>
        <v>Detractor</v>
      </c>
    </row>
    <row r="172" spans="1:19" ht="14.25" customHeight="1">
      <c r="A172" s="3" t="s">
        <v>203</v>
      </c>
      <c r="B172" s="3" t="s">
        <v>37</v>
      </c>
      <c r="C172" s="3" t="s">
        <v>27</v>
      </c>
      <c r="D172" s="4">
        <v>45941</v>
      </c>
      <c r="H172" s="3" t="s">
        <v>28</v>
      </c>
      <c r="I172" s="3" t="s">
        <v>31</v>
      </c>
      <c r="O172">
        <v>1</v>
      </c>
      <c r="P172">
        <f t="shared" si="6"/>
        <v>0</v>
      </c>
      <c r="Q172">
        <f t="shared" si="7"/>
        <v>0</v>
      </c>
      <c r="R172">
        <f t="shared" si="8"/>
        <v>0</v>
      </c>
      <c r="S172" s="10" t="str" cm="1">
        <f t="array" ref="S172">_xlfn.IFS(N172="", "", N172&gt;=9,"Promoter", N172&gt;=7,"Passive", N172&lt;=6,"Detractor")</f>
        <v/>
      </c>
    </row>
    <row r="173" spans="1:19" ht="14.25" customHeight="1">
      <c r="A173" s="3" t="s">
        <v>204</v>
      </c>
      <c r="B173" s="3" t="s">
        <v>37</v>
      </c>
      <c r="C173" s="3" t="s">
        <v>35</v>
      </c>
      <c r="D173" s="4">
        <v>45936</v>
      </c>
      <c r="E173" s="4">
        <v>45940</v>
      </c>
      <c r="F173" s="4">
        <v>45942</v>
      </c>
      <c r="G173" s="4">
        <v>45946</v>
      </c>
      <c r="H173" s="3" t="s">
        <v>22</v>
      </c>
      <c r="J173" s="4">
        <v>45961</v>
      </c>
      <c r="K173" s="3">
        <v>4</v>
      </c>
      <c r="L173" s="3">
        <v>2</v>
      </c>
      <c r="M173" s="3">
        <v>4</v>
      </c>
      <c r="N173" s="3">
        <v>1</v>
      </c>
      <c r="O173">
        <v>1</v>
      </c>
      <c r="P173">
        <f t="shared" si="6"/>
        <v>1</v>
      </c>
      <c r="Q173">
        <f t="shared" si="7"/>
        <v>1</v>
      </c>
      <c r="R173">
        <f t="shared" si="8"/>
        <v>1</v>
      </c>
      <c r="S173" s="10" t="str" cm="1">
        <f t="array" ref="S173">_xlfn.IFS(N173="", "", N173&gt;=9,"Promoter", N173&gt;=7,"Passive", N173&lt;=6,"Detractor")</f>
        <v>Detractor</v>
      </c>
    </row>
    <row r="174" spans="1:19" ht="14.25" customHeight="1">
      <c r="A174" s="3" t="s">
        <v>205</v>
      </c>
      <c r="B174" s="3" t="s">
        <v>37</v>
      </c>
      <c r="C174" s="3" t="s">
        <v>35</v>
      </c>
      <c r="D174" s="4">
        <v>45961</v>
      </c>
      <c r="E174" s="4">
        <v>45966</v>
      </c>
      <c r="F174" s="4">
        <v>45970</v>
      </c>
      <c r="G174" s="4">
        <v>45976</v>
      </c>
      <c r="H174" s="3" t="s">
        <v>22</v>
      </c>
      <c r="J174" s="4">
        <v>45998</v>
      </c>
      <c r="K174" s="3">
        <v>5</v>
      </c>
      <c r="L174" s="3">
        <v>4</v>
      </c>
      <c r="M174" s="3">
        <v>6</v>
      </c>
      <c r="N174" s="3">
        <v>8</v>
      </c>
      <c r="O174">
        <v>1</v>
      </c>
      <c r="P174">
        <f t="shared" si="6"/>
        <v>1</v>
      </c>
      <c r="Q174">
        <f t="shared" si="7"/>
        <v>1</v>
      </c>
      <c r="R174">
        <f t="shared" si="8"/>
        <v>1</v>
      </c>
      <c r="S174" s="10" t="str" cm="1">
        <f t="array" ref="S174">_xlfn.IFS(N174="", "", N174&gt;=9,"Promoter", N174&gt;=7,"Passive", N174&lt;=6,"Detractor")</f>
        <v>Passive</v>
      </c>
    </row>
    <row r="175" spans="1:19" ht="14.25" customHeight="1">
      <c r="A175" s="3" t="s">
        <v>206</v>
      </c>
      <c r="B175" s="3" t="s">
        <v>37</v>
      </c>
      <c r="C175" s="3" t="s">
        <v>35</v>
      </c>
      <c r="D175" s="4">
        <v>45932</v>
      </c>
      <c r="E175" s="4">
        <v>45934</v>
      </c>
      <c r="F175" s="4">
        <v>45936</v>
      </c>
      <c r="G175" s="4">
        <v>45938</v>
      </c>
      <c r="H175" s="3" t="s">
        <v>22</v>
      </c>
      <c r="J175" s="4">
        <v>45953</v>
      </c>
      <c r="K175" s="3">
        <v>2</v>
      </c>
      <c r="L175" s="3">
        <v>2</v>
      </c>
      <c r="M175" s="3">
        <v>2</v>
      </c>
      <c r="N175" s="3">
        <v>6</v>
      </c>
      <c r="O175">
        <v>1</v>
      </c>
      <c r="P175">
        <f t="shared" si="6"/>
        <v>1</v>
      </c>
      <c r="Q175">
        <f t="shared" si="7"/>
        <v>1</v>
      </c>
      <c r="R175">
        <f t="shared" si="8"/>
        <v>1</v>
      </c>
      <c r="S175" s="10" t="str" cm="1">
        <f t="array" ref="S175">_xlfn.IFS(N175="", "", N175&gt;=9,"Promoter", N175&gt;=7,"Passive", N175&lt;=6,"Detractor")</f>
        <v>Detractor</v>
      </c>
    </row>
    <row r="176" spans="1:19" ht="14.25" customHeight="1">
      <c r="A176" s="3" t="s">
        <v>207</v>
      </c>
      <c r="B176" s="3" t="s">
        <v>37</v>
      </c>
      <c r="C176" s="3" t="s">
        <v>21</v>
      </c>
      <c r="D176" s="4">
        <v>45939</v>
      </c>
      <c r="E176" s="4">
        <v>45944</v>
      </c>
      <c r="F176" s="4">
        <v>45945</v>
      </c>
      <c r="G176" s="4">
        <v>45952</v>
      </c>
      <c r="H176" s="3" t="s">
        <v>22</v>
      </c>
      <c r="J176" s="4">
        <v>45964</v>
      </c>
      <c r="K176" s="3">
        <v>5</v>
      </c>
      <c r="L176" s="3">
        <v>1</v>
      </c>
      <c r="M176" s="3">
        <v>7</v>
      </c>
      <c r="N176" s="3">
        <v>6</v>
      </c>
      <c r="O176">
        <v>1</v>
      </c>
      <c r="P176">
        <f t="shared" si="6"/>
        <v>1</v>
      </c>
      <c r="Q176">
        <f t="shared" si="7"/>
        <v>1</v>
      </c>
      <c r="R176">
        <f t="shared" si="8"/>
        <v>1</v>
      </c>
      <c r="S176" s="10" t="str" cm="1">
        <f t="array" ref="S176">_xlfn.IFS(N176="", "", N176&gt;=9,"Promoter", N176&gt;=7,"Passive", N176&lt;=6,"Detractor")</f>
        <v>Detractor</v>
      </c>
    </row>
    <row r="177" spans="1:19" ht="14.25" customHeight="1">
      <c r="A177" s="3" t="s">
        <v>208</v>
      </c>
      <c r="B177" s="3" t="s">
        <v>37</v>
      </c>
      <c r="C177" s="3" t="s">
        <v>27</v>
      </c>
      <c r="D177" s="4">
        <v>45961</v>
      </c>
      <c r="H177" s="3" t="s">
        <v>28</v>
      </c>
      <c r="I177" s="3" t="s">
        <v>106</v>
      </c>
      <c r="O177">
        <v>1</v>
      </c>
      <c r="P177">
        <f t="shared" si="6"/>
        <v>0</v>
      </c>
      <c r="Q177">
        <f t="shared" si="7"/>
        <v>0</v>
      </c>
      <c r="R177">
        <f t="shared" si="8"/>
        <v>0</v>
      </c>
      <c r="S177" s="10" t="str" cm="1">
        <f t="array" ref="S177">_xlfn.IFS(N177="", "", N177&gt;=9,"Promoter", N177&gt;=7,"Passive", N177&lt;=6,"Detractor")</f>
        <v/>
      </c>
    </row>
    <row r="178" spans="1:19" ht="14.25" customHeight="1">
      <c r="A178" s="3" t="s">
        <v>209</v>
      </c>
      <c r="B178" s="3" t="s">
        <v>20</v>
      </c>
      <c r="C178" s="3" t="s">
        <v>21</v>
      </c>
      <c r="D178" s="4">
        <v>45958</v>
      </c>
      <c r="E178" s="4">
        <v>45963</v>
      </c>
      <c r="F178" s="4">
        <v>45967</v>
      </c>
      <c r="G178" s="4">
        <v>45972</v>
      </c>
      <c r="H178" s="3" t="s">
        <v>22</v>
      </c>
      <c r="J178" s="4">
        <v>45999</v>
      </c>
      <c r="K178" s="3">
        <v>5</v>
      </c>
      <c r="L178" s="3">
        <v>4</v>
      </c>
      <c r="M178" s="3">
        <v>5</v>
      </c>
      <c r="N178" s="3">
        <v>3</v>
      </c>
      <c r="O178">
        <v>1</v>
      </c>
      <c r="P178">
        <f t="shared" si="6"/>
        <v>1</v>
      </c>
      <c r="Q178">
        <f t="shared" si="7"/>
        <v>1</v>
      </c>
      <c r="R178">
        <f t="shared" si="8"/>
        <v>1</v>
      </c>
      <c r="S178" s="10" t="str" cm="1">
        <f t="array" ref="S178">_xlfn.IFS(N178="", "", N178&gt;=9,"Promoter", N178&gt;=7,"Passive", N178&lt;=6,"Detractor")</f>
        <v>Detractor</v>
      </c>
    </row>
    <row r="179" spans="1:19" ht="14.25" customHeight="1">
      <c r="A179" s="3" t="s">
        <v>210</v>
      </c>
      <c r="B179" s="3" t="s">
        <v>26</v>
      </c>
      <c r="C179" s="3" t="s">
        <v>35</v>
      </c>
      <c r="D179" s="4">
        <v>45946</v>
      </c>
      <c r="E179" s="4">
        <v>45949</v>
      </c>
      <c r="F179" s="4">
        <v>45953</v>
      </c>
      <c r="G179" s="4">
        <v>45959</v>
      </c>
      <c r="H179" s="3" t="s">
        <v>22</v>
      </c>
      <c r="J179" s="4">
        <v>45971</v>
      </c>
      <c r="K179" s="3">
        <v>3</v>
      </c>
      <c r="L179" s="3">
        <v>4</v>
      </c>
      <c r="M179" s="3">
        <v>6</v>
      </c>
      <c r="N179" s="3">
        <v>5</v>
      </c>
      <c r="O179">
        <v>1</v>
      </c>
      <c r="P179">
        <f t="shared" si="6"/>
        <v>1</v>
      </c>
      <c r="Q179">
        <f t="shared" si="7"/>
        <v>1</v>
      </c>
      <c r="R179">
        <f t="shared" si="8"/>
        <v>1</v>
      </c>
      <c r="S179" s="10" t="str" cm="1">
        <f t="array" ref="S179">_xlfn.IFS(N179="", "", N179&gt;=9,"Promoter", N179&gt;=7,"Passive", N179&lt;=6,"Detractor")</f>
        <v>Detractor</v>
      </c>
    </row>
    <row r="180" spans="1:19" ht="14.25" customHeight="1">
      <c r="A180" s="3" t="s">
        <v>211</v>
      </c>
      <c r="B180" s="3" t="s">
        <v>37</v>
      </c>
      <c r="C180" s="3" t="s">
        <v>21</v>
      </c>
      <c r="D180" s="4">
        <v>45934</v>
      </c>
      <c r="E180" s="4">
        <v>45935</v>
      </c>
      <c r="F180" s="4">
        <v>45937</v>
      </c>
      <c r="G180" s="4">
        <v>45940</v>
      </c>
      <c r="H180" s="3" t="s">
        <v>22</v>
      </c>
      <c r="J180" s="4">
        <v>45960</v>
      </c>
      <c r="K180" s="3">
        <v>1</v>
      </c>
      <c r="L180" s="3">
        <v>2</v>
      </c>
      <c r="M180" s="3">
        <v>3</v>
      </c>
      <c r="N180" s="3">
        <v>9</v>
      </c>
      <c r="O180">
        <v>1</v>
      </c>
      <c r="P180">
        <f t="shared" si="6"/>
        <v>1</v>
      </c>
      <c r="Q180">
        <f t="shared" si="7"/>
        <v>1</v>
      </c>
      <c r="R180">
        <f t="shared" si="8"/>
        <v>1</v>
      </c>
      <c r="S180" s="10" t="str" cm="1">
        <f t="array" ref="S180">_xlfn.IFS(N180="", "", N180&gt;=9,"Promoter", N180&gt;=7,"Passive", N180&lt;=6,"Detractor")</f>
        <v>Promoter</v>
      </c>
    </row>
    <row r="181" spans="1:19" ht="14.25" customHeight="1">
      <c r="A181" s="3" t="s">
        <v>212</v>
      </c>
      <c r="B181" s="3" t="s">
        <v>26</v>
      </c>
      <c r="C181" s="3" t="s">
        <v>21</v>
      </c>
      <c r="D181" s="4">
        <v>45957</v>
      </c>
      <c r="E181" s="4">
        <v>45961</v>
      </c>
      <c r="F181" s="4">
        <v>45964</v>
      </c>
      <c r="G181" s="4">
        <v>45969</v>
      </c>
      <c r="H181" s="3" t="s">
        <v>22</v>
      </c>
      <c r="J181" s="4">
        <v>45998</v>
      </c>
      <c r="K181" s="3">
        <v>4</v>
      </c>
      <c r="L181" s="3">
        <v>3</v>
      </c>
      <c r="M181" s="3">
        <v>5</v>
      </c>
      <c r="N181" s="3">
        <v>4</v>
      </c>
      <c r="O181">
        <v>1</v>
      </c>
      <c r="P181">
        <f t="shared" si="6"/>
        <v>1</v>
      </c>
      <c r="Q181">
        <f t="shared" si="7"/>
        <v>1</v>
      </c>
      <c r="R181">
        <f t="shared" si="8"/>
        <v>1</v>
      </c>
      <c r="S181" s="10" t="str" cm="1">
        <f t="array" ref="S181">_xlfn.IFS(N181="", "", N181&gt;=9,"Promoter", N181&gt;=7,"Passive", N181&lt;=6,"Detractor")</f>
        <v>Detractor</v>
      </c>
    </row>
    <row r="182" spans="1:19" ht="14.25" customHeight="1">
      <c r="A182" s="3" t="s">
        <v>213</v>
      </c>
      <c r="B182" s="3" t="s">
        <v>26</v>
      </c>
      <c r="C182" s="3" t="s">
        <v>35</v>
      </c>
      <c r="D182" s="4">
        <v>45933</v>
      </c>
      <c r="E182" s="4">
        <v>45934</v>
      </c>
      <c r="F182" s="4">
        <v>45935</v>
      </c>
      <c r="G182" s="4">
        <v>45937</v>
      </c>
      <c r="H182" s="3" t="s">
        <v>22</v>
      </c>
      <c r="J182" s="4">
        <v>45966</v>
      </c>
      <c r="K182" s="3">
        <v>1</v>
      </c>
      <c r="L182" s="3">
        <v>1</v>
      </c>
      <c r="M182" s="3">
        <v>2</v>
      </c>
      <c r="N182" s="3">
        <v>1</v>
      </c>
      <c r="O182">
        <v>1</v>
      </c>
      <c r="P182">
        <f t="shared" si="6"/>
        <v>1</v>
      </c>
      <c r="Q182">
        <f t="shared" si="7"/>
        <v>1</v>
      </c>
      <c r="R182">
        <f t="shared" si="8"/>
        <v>1</v>
      </c>
      <c r="S182" s="10" t="str" cm="1">
        <f t="array" ref="S182">_xlfn.IFS(N182="", "", N182&gt;=9,"Promoter", N182&gt;=7,"Passive", N182&lt;=6,"Detractor")</f>
        <v>Detractor</v>
      </c>
    </row>
    <row r="183" spans="1:19" ht="14.25" customHeight="1">
      <c r="A183" s="3" t="s">
        <v>214</v>
      </c>
      <c r="B183" s="3" t="s">
        <v>20</v>
      </c>
      <c r="C183" s="3" t="s">
        <v>21</v>
      </c>
      <c r="D183" s="4">
        <v>45943</v>
      </c>
      <c r="E183" s="4">
        <v>45947</v>
      </c>
      <c r="F183" s="4">
        <v>45948</v>
      </c>
      <c r="G183" s="4">
        <v>45955</v>
      </c>
      <c r="H183" s="3" t="s">
        <v>22</v>
      </c>
      <c r="J183" s="4">
        <v>45980</v>
      </c>
      <c r="K183" s="3">
        <v>4</v>
      </c>
      <c r="L183" s="3">
        <v>1</v>
      </c>
      <c r="M183" s="3">
        <v>7</v>
      </c>
      <c r="N183" s="3">
        <v>4</v>
      </c>
      <c r="O183">
        <v>1</v>
      </c>
      <c r="P183">
        <f t="shared" si="6"/>
        <v>1</v>
      </c>
      <c r="Q183">
        <f t="shared" si="7"/>
        <v>1</v>
      </c>
      <c r="R183">
        <f t="shared" si="8"/>
        <v>1</v>
      </c>
      <c r="S183" s="10" t="str" cm="1">
        <f t="array" ref="S183">_xlfn.IFS(N183="", "", N183&gt;=9,"Promoter", N183&gt;=7,"Passive", N183&lt;=6,"Detractor")</f>
        <v>Detractor</v>
      </c>
    </row>
    <row r="184" spans="1:19" ht="14.25" customHeight="1">
      <c r="A184" s="3" t="s">
        <v>215</v>
      </c>
      <c r="B184" s="3" t="s">
        <v>37</v>
      </c>
      <c r="C184" s="3" t="s">
        <v>27</v>
      </c>
      <c r="D184" s="4">
        <v>45946</v>
      </c>
      <c r="H184" s="3" t="s">
        <v>28</v>
      </c>
      <c r="I184" s="3" t="s">
        <v>31</v>
      </c>
      <c r="O184">
        <v>1</v>
      </c>
      <c r="P184">
        <f t="shared" si="6"/>
        <v>0</v>
      </c>
      <c r="Q184">
        <f t="shared" si="7"/>
        <v>0</v>
      </c>
      <c r="R184">
        <f t="shared" si="8"/>
        <v>0</v>
      </c>
      <c r="S184" s="10" t="str" cm="1">
        <f t="array" ref="S184">_xlfn.IFS(N184="", "", N184&gt;=9,"Promoter", N184&gt;=7,"Passive", N184&lt;=6,"Detractor")</f>
        <v/>
      </c>
    </row>
    <row r="185" spans="1:19" ht="14.25" customHeight="1">
      <c r="A185" s="3" t="s">
        <v>216</v>
      </c>
      <c r="B185" s="3" t="s">
        <v>24</v>
      </c>
      <c r="C185" s="3" t="s">
        <v>35</v>
      </c>
      <c r="D185" s="4">
        <v>45933</v>
      </c>
      <c r="E185" s="4">
        <v>45934</v>
      </c>
      <c r="F185" s="4">
        <v>45937</v>
      </c>
      <c r="G185" s="4">
        <v>45944</v>
      </c>
      <c r="H185" s="3" t="s">
        <v>22</v>
      </c>
      <c r="J185" s="4">
        <v>45954</v>
      </c>
      <c r="K185" s="3">
        <v>1</v>
      </c>
      <c r="L185" s="3">
        <v>3</v>
      </c>
      <c r="M185" s="3">
        <v>7</v>
      </c>
      <c r="N185" s="3">
        <v>6</v>
      </c>
      <c r="O185">
        <v>1</v>
      </c>
      <c r="P185">
        <f t="shared" si="6"/>
        <v>1</v>
      </c>
      <c r="Q185">
        <f t="shared" si="7"/>
        <v>1</v>
      </c>
      <c r="R185">
        <f t="shared" si="8"/>
        <v>1</v>
      </c>
      <c r="S185" s="10" t="str" cm="1">
        <f t="array" ref="S185">_xlfn.IFS(N185="", "", N185&gt;=9,"Promoter", N185&gt;=7,"Passive", N185&lt;=6,"Detractor")</f>
        <v>Detractor</v>
      </c>
    </row>
    <row r="186" spans="1:19" ht="14.25" customHeight="1">
      <c r="A186" s="3" t="s">
        <v>217</v>
      </c>
      <c r="B186" s="3" t="s">
        <v>20</v>
      </c>
      <c r="C186" s="3" t="s">
        <v>21</v>
      </c>
      <c r="D186" s="4">
        <v>45949</v>
      </c>
      <c r="E186" s="4">
        <v>45953</v>
      </c>
      <c r="F186" s="4">
        <v>45958</v>
      </c>
      <c r="G186" s="4">
        <v>45961</v>
      </c>
      <c r="H186" s="3" t="s">
        <v>22</v>
      </c>
      <c r="J186" s="4">
        <v>45984</v>
      </c>
      <c r="K186" s="3">
        <v>4</v>
      </c>
      <c r="L186" s="3">
        <v>5</v>
      </c>
      <c r="M186" s="3">
        <v>3</v>
      </c>
      <c r="N186" s="3">
        <v>3</v>
      </c>
      <c r="O186">
        <v>1</v>
      </c>
      <c r="P186">
        <f t="shared" si="6"/>
        <v>1</v>
      </c>
      <c r="Q186">
        <f t="shared" si="7"/>
        <v>1</v>
      </c>
      <c r="R186">
        <f t="shared" si="8"/>
        <v>1</v>
      </c>
      <c r="S186" s="10" t="str" cm="1">
        <f t="array" ref="S186">_xlfn.IFS(N186="", "", N186&gt;=9,"Promoter", N186&gt;=7,"Passive", N186&lt;=6,"Detractor")</f>
        <v>Detractor</v>
      </c>
    </row>
    <row r="187" spans="1:19" ht="14.25" customHeight="1">
      <c r="A187" s="3" t="s">
        <v>218</v>
      </c>
      <c r="B187" s="3" t="s">
        <v>24</v>
      </c>
      <c r="C187" s="3" t="s">
        <v>21</v>
      </c>
      <c r="D187" s="4">
        <v>45951</v>
      </c>
      <c r="E187" s="4">
        <v>45952</v>
      </c>
      <c r="F187" s="4">
        <v>45957</v>
      </c>
      <c r="G187" s="4">
        <v>45961</v>
      </c>
      <c r="H187" s="3" t="s">
        <v>22</v>
      </c>
      <c r="J187" s="4">
        <v>45991</v>
      </c>
      <c r="K187" s="3">
        <v>1</v>
      </c>
      <c r="L187" s="3">
        <v>5</v>
      </c>
      <c r="M187" s="3">
        <v>4</v>
      </c>
      <c r="N187" s="3">
        <v>2</v>
      </c>
      <c r="O187">
        <v>1</v>
      </c>
      <c r="P187">
        <f t="shared" si="6"/>
        <v>1</v>
      </c>
      <c r="Q187">
        <f t="shared" si="7"/>
        <v>1</v>
      </c>
      <c r="R187">
        <f t="shared" si="8"/>
        <v>1</v>
      </c>
      <c r="S187" s="10" t="str" cm="1">
        <f t="array" ref="S187">_xlfn.IFS(N187="", "", N187&gt;=9,"Promoter", N187&gt;=7,"Passive", N187&lt;=6,"Detractor")</f>
        <v>Detractor</v>
      </c>
    </row>
    <row r="188" spans="1:19" ht="14.25" customHeight="1">
      <c r="A188" s="3" t="s">
        <v>219</v>
      </c>
      <c r="B188" s="3" t="s">
        <v>26</v>
      </c>
      <c r="C188" s="3" t="s">
        <v>21</v>
      </c>
      <c r="D188" s="4">
        <v>45952</v>
      </c>
      <c r="E188" s="4">
        <v>45955</v>
      </c>
      <c r="F188" s="4">
        <v>45956</v>
      </c>
      <c r="G188" s="4">
        <v>45958</v>
      </c>
      <c r="H188" s="3" t="s">
        <v>22</v>
      </c>
      <c r="J188" s="4">
        <v>45973</v>
      </c>
      <c r="K188" s="3">
        <v>3</v>
      </c>
      <c r="L188" s="3">
        <v>1</v>
      </c>
      <c r="M188" s="3">
        <v>2</v>
      </c>
      <c r="N188" s="3">
        <v>3</v>
      </c>
      <c r="O188">
        <v>1</v>
      </c>
      <c r="P188">
        <f t="shared" si="6"/>
        <v>1</v>
      </c>
      <c r="Q188">
        <f t="shared" si="7"/>
        <v>1</v>
      </c>
      <c r="R188">
        <f t="shared" si="8"/>
        <v>1</v>
      </c>
      <c r="S188" s="10" t="str" cm="1">
        <f t="array" ref="S188">_xlfn.IFS(N188="", "", N188&gt;=9,"Promoter", N188&gt;=7,"Passive", N188&lt;=6,"Detractor")</f>
        <v>Detractor</v>
      </c>
    </row>
    <row r="189" spans="1:19" ht="14.25" customHeight="1">
      <c r="A189" s="3" t="s">
        <v>220</v>
      </c>
      <c r="B189" s="3" t="s">
        <v>26</v>
      </c>
      <c r="C189" s="3" t="s">
        <v>35</v>
      </c>
      <c r="D189" s="4">
        <v>45932</v>
      </c>
      <c r="E189" s="4">
        <v>45937</v>
      </c>
      <c r="F189" s="4">
        <v>45940</v>
      </c>
      <c r="G189" s="4">
        <v>45945</v>
      </c>
      <c r="H189" s="3" t="s">
        <v>22</v>
      </c>
      <c r="J189" s="4">
        <v>45974</v>
      </c>
      <c r="K189" s="3">
        <v>5</v>
      </c>
      <c r="L189" s="3">
        <v>3</v>
      </c>
      <c r="M189" s="3">
        <v>5</v>
      </c>
      <c r="N189" s="3">
        <v>7</v>
      </c>
      <c r="O189">
        <v>1</v>
      </c>
      <c r="P189">
        <f t="shared" si="6"/>
        <v>1</v>
      </c>
      <c r="Q189">
        <f t="shared" si="7"/>
        <v>1</v>
      </c>
      <c r="R189">
        <f t="shared" si="8"/>
        <v>1</v>
      </c>
      <c r="S189" s="10" t="str" cm="1">
        <f t="array" ref="S189">_xlfn.IFS(N189="", "", N189&gt;=9,"Promoter", N189&gt;=7,"Passive", N189&lt;=6,"Detractor")</f>
        <v>Passive</v>
      </c>
    </row>
    <row r="190" spans="1:19" ht="14.25" customHeight="1">
      <c r="A190" s="3" t="s">
        <v>221</v>
      </c>
      <c r="B190" s="3" t="s">
        <v>20</v>
      </c>
      <c r="C190" s="3" t="s">
        <v>35</v>
      </c>
      <c r="D190" s="4">
        <v>45935</v>
      </c>
      <c r="E190" s="4">
        <v>45939</v>
      </c>
      <c r="F190" s="4">
        <v>45942</v>
      </c>
      <c r="G190" s="4">
        <v>45946</v>
      </c>
      <c r="H190" s="3" t="s">
        <v>22</v>
      </c>
      <c r="J190" s="4">
        <v>45969</v>
      </c>
      <c r="K190" s="3">
        <v>4</v>
      </c>
      <c r="L190" s="3">
        <v>3</v>
      </c>
      <c r="M190" s="3">
        <v>4</v>
      </c>
      <c r="N190" s="3">
        <v>9</v>
      </c>
      <c r="O190">
        <v>1</v>
      </c>
      <c r="P190">
        <f t="shared" si="6"/>
        <v>1</v>
      </c>
      <c r="Q190">
        <f t="shared" si="7"/>
        <v>1</v>
      </c>
      <c r="R190">
        <f t="shared" si="8"/>
        <v>1</v>
      </c>
      <c r="S190" s="10" t="str" cm="1">
        <f t="array" ref="S190">_xlfn.IFS(N190="", "", N190&gt;=9,"Promoter", N190&gt;=7,"Passive", N190&lt;=6,"Detractor")</f>
        <v>Promoter</v>
      </c>
    </row>
    <row r="191" spans="1:19" ht="14.25" customHeight="1">
      <c r="A191" s="3" t="s">
        <v>222</v>
      </c>
      <c r="B191" s="3" t="s">
        <v>20</v>
      </c>
      <c r="C191" s="3" t="s">
        <v>27</v>
      </c>
      <c r="D191" s="4">
        <v>45935</v>
      </c>
      <c r="H191" s="3" t="s">
        <v>28</v>
      </c>
      <c r="I191" s="3" t="s">
        <v>31</v>
      </c>
      <c r="O191">
        <v>1</v>
      </c>
      <c r="P191">
        <f t="shared" si="6"/>
        <v>0</v>
      </c>
      <c r="Q191">
        <f t="shared" si="7"/>
        <v>0</v>
      </c>
      <c r="R191">
        <f t="shared" si="8"/>
        <v>0</v>
      </c>
      <c r="S191" s="10" t="str" cm="1">
        <f t="array" ref="S191">_xlfn.IFS(N191="", "", N191&gt;=9,"Promoter", N191&gt;=7,"Passive", N191&lt;=6,"Detractor")</f>
        <v/>
      </c>
    </row>
    <row r="192" spans="1:19" ht="14.25" customHeight="1">
      <c r="A192" s="3" t="s">
        <v>223</v>
      </c>
      <c r="B192" s="3" t="s">
        <v>24</v>
      </c>
      <c r="C192" s="3" t="s">
        <v>27</v>
      </c>
      <c r="D192" s="4">
        <v>45956</v>
      </c>
      <c r="H192" s="3" t="s">
        <v>28</v>
      </c>
      <c r="I192" s="3" t="s">
        <v>29</v>
      </c>
      <c r="O192">
        <v>1</v>
      </c>
      <c r="P192">
        <f t="shared" si="6"/>
        <v>0</v>
      </c>
      <c r="Q192">
        <f t="shared" si="7"/>
        <v>0</v>
      </c>
      <c r="R192">
        <f t="shared" si="8"/>
        <v>0</v>
      </c>
      <c r="S192" s="10" t="str" cm="1">
        <f t="array" ref="S192">_xlfn.IFS(N192="", "", N192&gt;=9,"Promoter", N192&gt;=7,"Passive", N192&lt;=6,"Detractor")</f>
        <v/>
      </c>
    </row>
    <row r="193" spans="1:19" ht="14.25" customHeight="1">
      <c r="A193" s="3" t="s">
        <v>224</v>
      </c>
      <c r="B193" s="3" t="s">
        <v>37</v>
      </c>
      <c r="C193" s="3" t="s">
        <v>21</v>
      </c>
      <c r="D193" s="4">
        <v>45949</v>
      </c>
      <c r="E193" s="4">
        <v>45954</v>
      </c>
      <c r="F193" s="4">
        <v>45958</v>
      </c>
      <c r="G193" s="4">
        <v>45962</v>
      </c>
      <c r="H193" s="3" t="s">
        <v>22</v>
      </c>
      <c r="J193" s="4">
        <v>45977</v>
      </c>
      <c r="K193" s="3">
        <v>5</v>
      </c>
      <c r="L193" s="3">
        <v>4</v>
      </c>
      <c r="M193" s="3">
        <v>4</v>
      </c>
      <c r="N193" s="3">
        <v>10</v>
      </c>
      <c r="O193">
        <v>1</v>
      </c>
      <c r="P193">
        <f t="shared" si="6"/>
        <v>1</v>
      </c>
      <c r="Q193">
        <f t="shared" si="7"/>
        <v>1</v>
      </c>
      <c r="R193">
        <f t="shared" si="8"/>
        <v>1</v>
      </c>
      <c r="S193" s="10" t="str" cm="1">
        <f t="array" ref="S193">_xlfn.IFS(N193="", "", N193&gt;=9,"Promoter", N193&gt;=7,"Passive", N193&lt;=6,"Detractor")</f>
        <v>Promoter</v>
      </c>
    </row>
    <row r="194" spans="1:19" ht="14.25" customHeight="1">
      <c r="A194" s="3" t="s">
        <v>225</v>
      </c>
      <c r="B194" s="3" t="s">
        <v>24</v>
      </c>
      <c r="C194" s="3" t="s">
        <v>21</v>
      </c>
      <c r="D194" s="4">
        <v>45961</v>
      </c>
      <c r="E194" s="4">
        <v>45965</v>
      </c>
      <c r="F194" s="4">
        <v>45970</v>
      </c>
      <c r="G194" s="4">
        <v>45972</v>
      </c>
      <c r="H194" s="3" t="s">
        <v>28</v>
      </c>
      <c r="I194" s="3" t="s">
        <v>38</v>
      </c>
      <c r="K194" s="3">
        <v>4</v>
      </c>
      <c r="L194" s="3">
        <v>5</v>
      </c>
      <c r="M194" s="3">
        <v>2</v>
      </c>
      <c r="O194">
        <v>1</v>
      </c>
      <c r="P194">
        <f t="shared" si="6"/>
        <v>1</v>
      </c>
      <c r="Q194">
        <f t="shared" si="7"/>
        <v>1</v>
      </c>
      <c r="R194">
        <f t="shared" si="8"/>
        <v>0</v>
      </c>
      <c r="S194" s="10" t="str" cm="1">
        <f t="array" ref="S194">_xlfn.IFS(N194="", "", N194&gt;=9,"Promoter", N194&gt;=7,"Passive", N194&lt;=6,"Detractor")</f>
        <v/>
      </c>
    </row>
    <row r="195" spans="1:19" ht="14.25" customHeight="1">
      <c r="A195" s="3" t="s">
        <v>226</v>
      </c>
      <c r="B195" s="3" t="s">
        <v>20</v>
      </c>
      <c r="C195" s="3" t="s">
        <v>21</v>
      </c>
      <c r="D195" s="4">
        <v>45940</v>
      </c>
      <c r="E195" s="4">
        <v>45944</v>
      </c>
      <c r="F195" s="4">
        <v>45949</v>
      </c>
      <c r="G195" s="4">
        <v>45954</v>
      </c>
      <c r="H195" s="3" t="s">
        <v>22</v>
      </c>
      <c r="J195" s="4">
        <v>45965</v>
      </c>
      <c r="K195" s="3">
        <v>4</v>
      </c>
      <c r="L195" s="3">
        <v>5</v>
      </c>
      <c r="M195" s="3">
        <v>5</v>
      </c>
      <c r="N195" s="3">
        <v>5</v>
      </c>
      <c r="O195">
        <v>1</v>
      </c>
      <c r="P195">
        <f t="shared" ref="P195:P258" si="9">IF(E195&lt;&gt;"", 1, 0)</f>
        <v>1</v>
      </c>
      <c r="Q195">
        <f t="shared" ref="Q195:Q258" si="10">IF(G195&lt;&gt;"",1,0)</f>
        <v>1</v>
      </c>
      <c r="R195">
        <f t="shared" ref="R195:R258" si="11">IF(AND(G195&lt;&gt;"", H195="No"), 1, 0)</f>
        <v>1</v>
      </c>
      <c r="S195" s="10" t="str" cm="1">
        <f t="array" ref="S195">_xlfn.IFS(N195="", "", N195&gt;=9,"Promoter", N195&gt;=7,"Passive", N195&lt;=6,"Detractor")</f>
        <v>Detractor</v>
      </c>
    </row>
    <row r="196" spans="1:19" ht="14.25" customHeight="1">
      <c r="A196" s="3" t="s">
        <v>227</v>
      </c>
      <c r="B196" s="3" t="s">
        <v>24</v>
      </c>
      <c r="C196" s="3" t="s">
        <v>21</v>
      </c>
      <c r="D196" s="4">
        <v>45933</v>
      </c>
      <c r="E196" s="4">
        <v>45936</v>
      </c>
      <c r="F196" s="4">
        <v>45940</v>
      </c>
      <c r="G196" s="4">
        <v>45942</v>
      </c>
      <c r="H196" s="3" t="s">
        <v>22</v>
      </c>
      <c r="J196" s="4">
        <v>45955</v>
      </c>
      <c r="K196" s="3">
        <v>3</v>
      </c>
      <c r="L196" s="3">
        <v>4</v>
      </c>
      <c r="M196" s="3">
        <v>2</v>
      </c>
      <c r="N196" s="3">
        <v>3</v>
      </c>
      <c r="O196">
        <v>1</v>
      </c>
      <c r="P196">
        <f t="shared" si="9"/>
        <v>1</v>
      </c>
      <c r="Q196">
        <f t="shared" si="10"/>
        <v>1</v>
      </c>
      <c r="R196">
        <f t="shared" si="11"/>
        <v>1</v>
      </c>
      <c r="S196" s="10" t="str" cm="1">
        <f t="array" ref="S196">_xlfn.IFS(N196="", "", N196&gt;=9,"Promoter", N196&gt;=7,"Passive", N196&lt;=6,"Detractor")</f>
        <v>Detractor</v>
      </c>
    </row>
    <row r="197" spans="1:19" ht="14.25" customHeight="1">
      <c r="A197" s="3" t="s">
        <v>228</v>
      </c>
      <c r="B197" s="3" t="s">
        <v>20</v>
      </c>
      <c r="C197" s="3" t="s">
        <v>21</v>
      </c>
      <c r="D197" s="4">
        <v>45938</v>
      </c>
      <c r="E197" s="4">
        <v>45939</v>
      </c>
      <c r="F197" s="4">
        <v>45941</v>
      </c>
      <c r="G197" s="4">
        <v>45944</v>
      </c>
      <c r="H197" s="3" t="s">
        <v>22</v>
      </c>
      <c r="J197" s="4">
        <v>45964</v>
      </c>
      <c r="K197" s="3">
        <v>1</v>
      </c>
      <c r="L197" s="3">
        <v>2</v>
      </c>
      <c r="M197" s="3">
        <v>3</v>
      </c>
      <c r="N197" s="3">
        <v>9</v>
      </c>
      <c r="O197">
        <v>1</v>
      </c>
      <c r="P197">
        <f t="shared" si="9"/>
        <v>1</v>
      </c>
      <c r="Q197">
        <f t="shared" si="10"/>
        <v>1</v>
      </c>
      <c r="R197">
        <f t="shared" si="11"/>
        <v>1</v>
      </c>
      <c r="S197" s="10" t="str" cm="1">
        <f t="array" ref="S197">_xlfn.IFS(N197="", "", N197&gt;=9,"Promoter", N197&gt;=7,"Passive", N197&lt;=6,"Detractor")</f>
        <v>Promoter</v>
      </c>
    </row>
    <row r="198" spans="1:19" ht="14.25" customHeight="1">
      <c r="A198" s="3" t="s">
        <v>229</v>
      </c>
      <c r="B198" s="3" t="s">
        <v>24</v>
      </c>
      <c r="C198" s="3" t="s">
        <v>35</v>
      </c>
      <c r="D198" s="4">
        <v>45934</v>
      </c>
      <c r="E198" s="4">
        <v>45938</v>
      </c>
      <c r="F198" s="4">
        <v>45943</v>
      </c>
      <c r="G198" s="4">
        <v>45946</v>
      </c>
      <c r="H198" s="3" t="s">
        <v>22</v>
      </c>
      <c r="J198" s="4">
        <v>45962</v>
      </c>
      <c r="K198" s="3">
        <v>4</v>
      </c>
      <c r="L198" s="3">
        <v>5</v>
      </c>
      <c r="M198" s="3">
        <v>3</v>
      </c>
      <c r="N198" s="3">
        <v>10</v>
      </c>
      <c r="O198">
        <v>1</v>
      </c>
      <c r="P198">
        <f t="shared" si="9"/>
        <v>1</v>
      </c>
      <c r="Q198">
        <f t="shared" si="10"/>
        <v>1</v>
      </c>
      <c r="R198">
        <f t="shared" si="11"/>
        <v>1</v>
      </c>
      <c r="S198" s="10" t="str" cm="1">
        <f t="array" ref="S198">_xlfn.IFS(N198="", "", N198&gt;=9,"Promoter", N198&gt;=7,"Passive", N198&lt;=6,"Detractor")</f>
        <v>Promoter</v>
      </c>
    </row>
    <row r="199" spans="1:19" ht="14.25" customHeight="1">
      <c r="A199" s="3" t="s">
        <v>230</v>
      </c>
      <c r="B199" s="3" t="s">
        <v>20</v>
      </c>
      <c r="C199" s="3" t="s">
        <v>27</v>
      </c>
      <c r="D199" s="4">
        <v>45948</v>
      </c>
      <c r="H199" s="3" t="s">
        <v>28</v>
      </c>
      <c r="I199" s="3" t="s">
        <v>38</v>
      </c>
      <c r="O199">
        <v>1</v>
      </c>
      <c r="P199">
        <f t="shared" si="9"/>
        <v>0</v>
      </c>
      <c r="Q199">
        <f t="shared" si="10"/>
        <v>0</v>
      </c>
      <c r="R199">
        <f t="shared" si="11"/>
        <v>0</v>
      </c>
      <c r="S199" s="10" t="str" cm="1">
        <f t="array" ref="S199">_xlfn.IFS(N199="", "", N199&gt;=9,"Promoter", N199&gt;=7,"Passive", N199&lt;=6,"Detractor")</f>
        <v/>
      </c>
    </row>
    <row r="200" spans="1:19" ht="14.25" customHeight="1">
      <c r="A200" s="3" t="s">
        <v>231</v>
      </c>
      <c r="B200" s="3" t="s">
        <v>20</v>
      </c>
      <c r="C200" s="3" t="s">
        <v>21</v>
      </c>
      <c r="D200" s="4">
        <v>45955</v>
      </c>
      <c r="E200" s="4">
        <v>45956</v>
      </c>
      <c r="F200" s="4">
        <v>45960</v>
      </c>
      <c r="G200" s="4">
        <v>45967</v>
      </c>
      <c r="H200" s="3" t="s">
        <v>22</v>
      </c>
      <c r="J200" s="4">
        <v>45983</v>
      </c>
      <c r="K200" s="3">
        <v>1</v>
      </c>
      <c r="L200" s="3">
        <v>4</v>
      </c>
      <c r="M200" s="3">
        <v>7</v>
      </c>
      <c r="N200" s="3">
        <v>8</v>
      </c>
      <c r="O200">
        <v>1</v>
      </c>
      <c r="P200">
        <f t="shared" si="9"/>
        <v>1</v>
      </c>
      <c r="Q200">
        <f t="shared" si="10"/>
        <v>1</v>
      </c>
      <c r="R200">
        <f t="shared" si="11"/>
        <v>1</v>
      </c>
      <c r="S200" s="10" t="str" cm="1">
        <f t="array" ref="S200">_xlfn.IFS(N200="", "", N200&gt;=9,"Promoter", N200&gt;=7,"Passive", N200&lt;=6,"Detractor")</f>
        <v>Passive</v>
      </c>
    </row>
    <row r="201" spans="1:19" ht="14.25" customHeight="1">
      <c r="A201" s="3" t="s">
        <v>232</v>
      </c>
      <c r="B201" s="3" t="s">
        <v>20</v>
      </c>
      <c r="C201" s="3" t="s">
        <v>27</v>
      </c>
      <c r="D201" s="4">
        <v>45944</v>
      </c>
      <c r="H201" s="3" t="s">
        <v>28</v>
      </c>
      <c r="I201" s="3" t="s">
        <v>31</v>
      </c>
      <c r="O201">
        <v>1</v>
      </c>
      <c r="P201">
        <f t="shared" si="9"/>
        <v>0</v>
      </c>
      <c r="Q201">
        <f t="shared" si="10"/>
        <v>0</v>
      </c>
      <c r="R201">
        <f t="shared" si="11"/>
        <v>0</v>
      </c>
      <c r="S201" s="10" t="str" cm="1">
        <f t="array" ref="S201">_xlfn.IFS(N201="", "", N201&gt;=9,"Promoter", N201&gt;=7,"Passive", N201&lt;=6,"Detractor")</f>
        <v/>
      </c>
    </row>
    <row r="202" spans="1:19" ht="14.25" customHeight="1">
      <c r="A202" s="3" t="s">
        <v>233</v>
      </c>
      <c r="B202" s="3" t="s">
        <v>37</v>
      </c>
      <c r="C202" s="3" t="s">
        <v>35</v>
      </c>
      <c r="D202" s="4">
        <v>45950</v>
      </c>
      <c r="E202" s="4">
        <v>45953</v>
      </c>
      <c r="F202" s="4">
        <v>45956</v>
      </c>
      <c r="G202" s="4">
        <v>45962</v>
      </c>
      <c r="H202" s="3" t="s">
        <v>22</v>
      </c>
      <c r="J202" s="4">
        <v>45985</v>
      </c>
      <c r="K202" s="3">
        <v>3</v>
      </c>
      <c r="L202" s="3">
        <v>3</v>
      </c>
      <c r="M202" s="3">
        <v>6</v>
      </c>
      <c r="N202" s="3">
        <v>6</v>
      </c>
      <c r="O202">
        <v>1</v>
      </c>
      <c r="P202">
        <f t="shared" si="9"/>
        <v>1</v>
      </c>
      <c r="Q202">
        <f t="shared" si="10"/>
        <v>1</v>
      </c>
      <c r="R202">
        <f t="shared" si="11"/>
        <v>1</v>
      </c>
      <c r="S202" s="10" t="str" cm="1">
        <f t="array" ref="S202">_xlfn.IFS(N202="", "", N202&gt;=9,"Promoter", N202&gt;=7,"Passive", N202&lt;=6,"Detractor")</f>
        <v>Detractor</v>
      </c>
    </row>
    <row r="203" spans="1:19" ht="14.25" customHeight="1">
      <c r="A203" s="3" t="s">
        <v>234</v>
      </c>
      <c r="B203" s="3" t="s">
        <v>24</v>
      </c>
      <c r="C203" s="3" t="s">
        <v>35</v>
      </c>
      <c r="D203" s="4">
        <v>45950</v>
      </c>
      <c r="E203" s="4">
        <v>45952</v>
      </c>
      <c r="F203" s="4">
        <v>45954</v>
      </c>
      <c r="G203" s="4">
        <v>45961</v>
      </c>
      <c r="H203" s="3" t="s">
        <v>22</v>
      </c>
      <c r="J203" s="4">
        <v>45988</v>
      </c>
      <c r="K203" s="3">
        <v>2</v>
      </c>
      <c r="L203" s="3">
        <v>2</v>
      </c>
      <c r="M203" s="3">
        <v>7</v>
      </c>
      <c r="N203" s="3">
        <v>2</v>
      </c>
      <c r="O203">
        <v>1</v>
      </c>
      <c r="P203">
        <f t="shared" si="9"/>
        <v>1</v>
      </c>
      <c r="Q203">
        <f t="shared" si="10"/>
        <v>1</v>
      </c>
      <c r="R203">
        <f t="shared" si="11"/>
        <v>1</v>
      </c>
      <c r="S203" s="10" t="str" cm="1">
        <f t="array" ref="S203">_xlfn.IFS(N203="", "", N203&gt;=9,"Promoter", N203&gt;=7,"Passive", N203&lt;=6,"Detractor")</f>
        <v>Detractor</v>
      </c>
    </row>
    <row r="204" spans="1:19" ht="14.25" customHeight="1">
      <c r="A204" s="3" t="s">
        <v>235</v>
      </c>
      <c r="B204" s="3" t="s">
        <v>24</v>
      </c>
      <c r="C204" s="3" t="s">
        <v>35</v>
      </c>
      <c r="D204" s="4">
        <v>45956</v>
      </c>
      <c r="E204" s="4">
        <v>45961</v>
      </c>
      <c r="F204" s="4">
        <v>45962</v>
      </c>
      <c r="G204" s="4">
        <v>45966</v>
      </c>
      <c r="H204" s="3" t="s">
        <v>22</v>
      </c>
      <c r="J204" s="4">
        <v>45993</v>
      </c>
      <c r="K204" s="3">
        <v>5</v>
      </c>
      <c r="L204" s="3">
        <v>1</v>
      </c>
      <c r="M204" s="3">
        <v>4</v>
      </c>
      <c r="N204" s="3">
        <v>2</v>
      </c>
      <c r="O204">
        <v>1</v>
      </c>
      <c r="P204">
        <f t="shared" si="9"/>
        <v>1</v>
      </c>
      <c r="Q204">
        <f t="shared" si="10"/>
        <v>1</v>
      </c>
      <c r="R204">
        <f t="shared" si="11"/>
        <v>1</v>
      </c>
      <c r="S204" s="10" t="str" cm="1">
        <f t="array" ref="S204">_xlfn.IFS(N204="", "", N204&gt;=9,"Promoter", N204&gt;=7,"Passive", N204&lt;=6,"Detractor")</f>
        <v>Detractor</v>
      </c>
    </row>
    <row r="205" spans="1:19" ht="14.25" customHeight="1">
      <c r="A205" s="3" t="s">
        <v>236</v>
      </c>
      <c r="B205" s="3" t="s">
        <v>24</v>
      </c>
      <c r="C205" s="3" t="s">
        <v>21</v>
      </c>
      <c r="D205" s="4">
        <v>45950</v>
      </c>
      <c r="E205" s="4">
        <v>45954</v>
      </c>
      <c r="F205" s="4">
        <v>45957</v>
      </c>
      <c r="G205" s="4">
        <v>45964</v>
      </c>
      <c r="H205" s="3" t="s">
        <v>22</v>
      </c>
      <c r="J205" s="4">
        <v>45982</v>
      </c>
      <c r="K205" s="3">
        <v>4</v>
      </c>
      <c r="L205" s="3">
        <v>3</v>
      </c>
      <c r="M205" s="3">
        <v>7</v>
      </c>
      <c r="N205" s="3">
        <v>9</v>
      </c>
      <c r="O205">
        <v>1</v>
      </c>
      <c r="P205">
        <f t="shared" si="9"/>
        <v>1</v>
      </c>
      <c r="Q205">
        <f t="shared" si="10"/>
        <v>1</v>
      </c>
      <c r="R205">
        <f t="shared" si="11"/>
        <v>1</v>
      </c>
      <c r="S205" s="10" t="str" cm="1">
        <f t="array" ref="S205">_xlfn.IFS(N205="", "", N205&gt;=9,"Promoter", N205&gt;=7,"Passive", N205&lt;=6,"Detractor")</f>
        <v>Promoter</v>
      </c>
    </row>
    <row r="206" spans="1:19" ht="14.25" customHeight="1">
      <c r="A206" s="3" t="s">
        <v>237</v>
      </c>
      <c r="B206" s="3" t="s">
        <v>20</v>
      </c>
      <c r="C206" s="3" t="s">
        <v>27</v>
      </c>
      <c r="D206" s="4">
        <v>45938</v>
      </c>
      <c r="H206" s="3" t="s">
        <v>28</v>
      </c>
      <c r="I206" s="3" t="s">
        <v>68</v>
      </c>
      <c r="O206">
        <v>1</v>
      </c>
      <c r="P206">
        <f t="shared" si="9"/>
        <v>0</v>
      </c>
      <c r="Q206">
        <f t="shared" si="10"/>
        <v>0</v>
      </c>
      <c r="R206">
        <f t="shared" si="11"/>
        <v>0</v>
      </c>
      <c r="S206" s="10" t="str" cm="1">
        <f t="array" ref="S206">_xlfn.IFS(N206="", "", N206&gt;=9,"Promoter", N206&gt;=7,"Passive", N206&lt;=6,"Detractor")</f>
        <v/>
      </c>
    </row>
    <row r="207" spans="1:19" ht="14.25" customHeight="1">
      <c r="A207" s="3" t="s">
        <v>238</v>
      </c>
      <c r="B207" s="3" t="s">
        <v>24</v>
      </c>
      <c r="C207" s="3" t="s">
        <v>35</v>
      </c>
      <c r="D207" s="4">
        <v>45955</v>
      </c>
      <c r="E207" s="4">
        <v>45958</v>
      </c>
      <c r="F207" s="4">
        <v>45960</v>
      </c>
      <c r="G207" s="4">
        <v>45966</v>
      </c>
      <c r="H207" s="3" t="s">
        <v>22</v>
      </c>
      <c r="J207" s="4">
        <v>45985</v>
      </c>
      <c r="K207" s="3">
        <v>3</v>
      </c>
      <c r="L207" s="3">
        <v>2</v>
      </c>
      <c r="M207" s="3">
        <v>6</v>
      </c>
      <c r="N207" s="3">
        <v>2</v>
      </c>
      <c r="O207">
        <v>1</v>
      </c>
      <c r="P207">
        <f t="shared" si="9"/>
        <v>1</v>
      </c>
      <c r="Q207">
        <f t="shared" si="10"/>
        <v>1</v>
      </c>
      <c r="R207">
        <f t="shared" si="11"/>
        <v>1</v>
      </c>
      <c r="S207" s="10" t="str" cm="1">
        <f t="array" ref="S207">_xlfn.IFS(N207="", "", N207&gt;=9,"Promoter", N207&gt;=7,"Passive", N207&lt;=6,"Detractor")</f>
        <v>Detractor</v>
      </c>
    </row>
    <row r="208" spans="1:19" ht="14.25" customHeight="1">
      <c r="A208" s="3" t="s">
        <v>239</v>
      </c>
      <c r="B208" s="3" t="s">
        <v>24</v>
      </c>
      <c r="C208" s="3" t="s">
        <v>27</v>
      </c>
      <c r="D208" s="4">
        <v>45947</v>
      </c>
      <c r="H208" s="3" t="s">
        <v>28</v>
      </c>
      <c r="I208" s="3" t="s">
        <v>68</v>
      </c>
      <c r="O208">
        <v>1</v>
      </c>
      <c r="P208">
        <f t="shared" si="9"/>
        <v>0</v>
      </c>
      <c r="Q208">
        <f t="shared" si="10"/>
        <v>0</v>
      </c>
      <c r="R208">
        <f t="shared" si="11"/>
        <v>0</v>
      </c>
      <c r="S208" s="10" t="str" cm="1">
        <f t="array" ref="S208">_xlfn.IFS(N208="", "", N208&gt;=9,"Promoter", N208&gt;=7,"Passive", N208&lt;=6,"Detractor")</f>
        <v/>
      </c>
    </row>
    <row r="209" spans="1:19" ht="14.25" customHeight="1">
      <c r="A209" s="3" t="s">
        <v>240</v>
      </c>
      <c r="B209" s="3" t="s">
        <v>20</v>
      </c>
      <c r="C209" s="3" t="s">
        <v>21</v>
      </c>
      <c r="D209" s="4">
        <v>45943</v>
      </c>
      <c r="E209" s="4">
        <v>45944</v>
      </c>
      <c r="F209" s="4">
        <v>45948</v>
      </c>
      <c r="G209" s="4">
        <v>45955</v>
      </c>
      <c r="H209" s="3" t="s">
        <v>22</v>
      </c>
      <c r="J209" s="4">
        <v>45974</v>
      </c>
      <c r="K209" s="3">
        <v>1</v>
      </c>
      <c r="L209" s="3">
        <v>4</v>
      </c>
      <c r="M209" s="3">
        <v>7</v>
      </c>
      <c r="N209" s="3">
        <v>7</v>
      </c>
      <c r="O209">
        <v>1</v>
      </c>
      <c r="P209">
        <f t="shared" si="9"/>
        <v>1</v>
      </c>
      <c r="Q209">
        <f t="shared" si="10"/>
        <v>1</v>
      </c>
      <c r="R209">
        <f t="shared" si="11"/>
        <v>1</v>
      </c>
      <c r="S209" s="10" t="str" cm="1">
        <f t="array" ref="S209">_xlfn.IFS(N209="", "", N209&gt;=9,"Promoter", N209&gt;=7,"Passive", N209&lt;=6,"Detractor")</f>
        <v>Passive</v>
      </c>
    </row>
    <row r="210" spans="1:19" ht="14.25" customHeight="1">
      <c r="A210" s="3" t="s">
        <v>241</v>
      </c>
      <c r="B210" s="3" t="s">
        <v>26</v>
      </c>
      <c r="C210" s="3" t="s">
        <v>27</v>
      </c>
      <c r="D210" s="4">
        <v>45945</v>
      </c>
      <c r="H210" s="3" t="s">
        <v>28</v>
      </c>
      <c r="I210" s="3" t="s">
        <v>106</v>
      </c>
      <c r="O210">
        <v>1</v>
      </c>
      <c r="P210">
        <f t="shared" si="9"/>
        <v>0</v>
      </c>
      <c r="Q210">
        <f t="shared" si="10"/>
        <v>0</v>
      </c>
      <c r="R210">
        <f t="shared" si="11"/>
        <v>0</v>
      </c>
      <c r="S210" s="10" t="str" cm="1">
        <f t="array" ref="S210">_xlfn.IFS(N210="", "", N210&gt;=9,"Promoter", N210&gt;=7,"Passive", N210&lt;=6,"Detractor")</f>
        <v/>
      </c>
    </row>
    <row r="211" spans="1:19" ht="14.25" customHeight="1">
      <c r="A211" s="3" t="s">
        <v>242</v>
      </c>
      <c r="B211" s="3" t="s">
        <v>20</v>
      </c>
      <c r="C211" s="3" t="s">
        <v>35</v>
      </c>
      <c r="D211" s="4">
        <v>45960</v>
      </c>
      <c r="E211" s="4">
        <v>45964</v>
      </c>
      <c r="F211" s="4">
        <v>45967</v>
      </c>
      <c r="G211" s="4">
        <v>45972</v>
      </c>
      <c r="H211" s="3" t="s">
        <v>22</v>
      </c>
      <c r="J211" s="4">
        <v>45989</v>
      </c>
      <c r="K211" s="3">
        <v>4</v>
      </c>
      <c r="L211" s="3">
        <v>3</v>
      </c>
      <c r="M211" s="3">
        <v>5</v>
      </c>
      <c r="N211" s="3">
        <v>9</v>
      </c>
      <c r="O211">
        <v>1</v>
      </c>
      <c r="P211">
        <f t="shared" si="9"/>
        <v>1</v>
      </c>
      <c r="Q211">
        <f t="shared" si="10"/>
        <v>1</v>
      </c>
      <c r="R211">
        <f t="shared" si="11"/>
        <v>1</v>
      </c>
      <c r="S211" s="10" t="str" cm="1">
        <f t="array" ref="S211">_xlfn.IFS(N211="", "", N211&gt;=9,"Promoter", N211&gt;=7,"Passive", N211&lt;=6,"Detractor")</f>
        <v>Promoter</v>
      </c>
    </row>
    <row r="212" spans="1:19" ht="14.25" customHeight="1">
      <c r="A212" s="3" t="s">
        <v>243</v>
      </c>
      <c r="B212" s="3" t="s">
        <v>24</v>
      </c>
      <c r="C212" s="3" t="s">
        <v>27</v>
      </c>
      <c r="D212" s="4">
        <v>45945</v>
      </c>
      <c r="H212" s="3" t="s">
        <v>28</v>
      </c>
      <c r="I212" s="3" t="s">
        <v>106</v>
      </c>
      <c r="O212">
        <v>1</v>
      </c>
      <c r="P212">
        <f t="shared" si="9"/>
        <v>0</v>
      </c>
      <c r="Q212">
        <f t="shared" si="10"/>
        <v>0</v>
      </c>
      <c r="R212">
        <f t="shared" si="11"/>
        <v>0</v>
      </c>
      <c r="S212" s="10" t="str" cm="1">
        <f t="array" ref="S212">_xlfn.IFS(N212="", "", N212&gt;=9,"Promoter", N212&gt;=7,"Passive", N212&lt;=6,"Detractor")</f>
        <v/>
      </c>
    </row>
    <row r="213" spans="1:19" ht="14.25" customHeight="1">
      <c r="A213" s="3" t="s">
        <v>244</v>
      </c>
      <c r="B213" s="3" t="s">
        <v>20</v>
      </c>
      <c r="C213" s="3" t="s">
        <v>21</v>
      </c>
      <c r="D213" s="4">
        <v>45940</v>
      </c>
      <c r="E213" s="4">
        <v>45941</v>
      </c>
      <c r="F213" s="4">
        <v>45943</v>
      </c>
      <c r="G213" s="4">
        <v>45946</v>
      </c>
      <c r="H213" s="3" t="s">
        <v>28</v>
      </c>
      <c r="I213" s="3" t="s">
        <v>29</v>
      </c>
      <c r="K213" s="3">
        <v>1</v>
      </c>
      <c r="L213" s="3">
        <v>2</v>
      </c>
      <c r="M213" s="3">
        <v>3</v>
      </c>
      <c r="O213">
        <v>1</v>
      </c>
      <c r="P213">
        <f t="shared" si="9"/>
        <v>1</v>
      </c>
      <c r="Q213">
        <f t="shared" si="10"/>
        <v>1</v>
      </c>
      <c r="R213">
        <f t="shared" si="11"/>
        <v>0</v>
      </c>
      <c r="S213" s="10" t="str" cm="1">
        <f t="array" ref="S213">_xlfn.IFS(N213="", "", N213&gt;=9,"Promoter", N213&gt;=7,"Passive", N213&lt;=6,"Detractor")</f>
        <v/>
      </c>
    </row>
    <row r="214" spans="1:19" ht="14.25" customHeight="1">
      <c r="A214" s="3" t="s">
        <v>245</v>
      </c>
      <c r="B214" s="3" t="s">
        <v>26</v>
      </c>
      <c r="C214" s="3" t="s">
        <v>35</v>
      </c>
      <c r="D214" s="4">
        <v>45958</v>
      </c>
      <c r="E214" s="4">
        <v>45960</v>
      </c>
      <c r="F214" s="4">
        <v>45961</v>
      </c>
      <c r="G214" s="4">
        <v>45967</v>
      </c>
      <c r="H214" s="3" t="s">
        <v>22</v>
      </c>
      <c r="J214" s="4">
        <v>45980</v>
      </c>
      <c r="K214" s="3">
        <v>2</v>
      </c>
      <c r="L214" s="3">
        <v>1</v>
      </c>
      <c r="M214" s="3">
        <v>6</v>
      </c>
      <c r="N214" s="3">
        <v>4</v>
      </c>
      <c r="O214">
        <v>1</v>
      </c>
      <c r="P214">
        <f t="shared" si="9"/>
        <v>1</v>
      </c>
      <c r="Q214">
        <f t="shared" si="10"/>
        <v>1</v>
      </c>
      <c r="R214">
        <f t="shared" si="11"/>
        <v>1</v>
      </c>
      <c r="S214" s="10" t="str" cm="1">
        <f t="array" ref="S214">_xlfn.IFS(N214="", "", N214&gt;=9,"Promoter", N214&gt;=7,"Passive", N214&lt;=6,"Detractor")</f>
        <v>Detractor</v>
      </c>
    </row>
    <row r="215" spans="1:19" ht="14.25" customHeight="1">
      <c r="A215" s="3" t="s">
        <v>246</v>
      </c>
      <c r="B215" s="3" t="s">
        <v>20</v>
      </c>
      <c r="C215" s="3" t="s">
        <v>35</v>
      </c>
      <c r="D215" s="4">
        <v>45949</v>
      </c>
      <c r="E215" s="4">
        <v>45953</v>
      </c>
      <c r="F215" s="4">
        <v>45956</v>
      </c>
      <c r="G215" s="4">
        <v>45959</v>
      </c>
      <c r="H215" s="3" t="s">
        <v>22</v>
      </c>
      <c r="J215" s="4">
        <v>45970</v>
      </c>
      <c r="K215" s="3">
        <v>4</v>
      </c>
      <c r="L215" s="3">
        <v>3</v>
      </c>
      <c r="M215" s="3">
        <v>3</v>
      </c>
      <c r="N215" s="3">
        <v>2</v>
      </c>
      <c r="O215">
        <v>1</v>
      </c>
      <c r="P215">
        <f t="shared" si="9"/>
        <v>1</v>
      </c>
      <c r="Q215">
        <f t="shared" si="10"/>
        <v>1</v>
      </c>
      <c r="R215">
        <f t="shared" si="11"/>
        <v>1</v>
      </c>
      <c r="S215" s="10" t="str" cm="1">
        <f t="array" ref="S215">_xlfn.IFS(N215="", "", N215&gt;=9,"Promoter", N215&gt;=7,"Passive", N215&lt;=6,"Detractor")</f>
        <v>Detractor</v>
      </c>
    </row>
    <row r="216" spans="1:19" ht="14.25" customHeight="1">
      <c r="A216" s="3" t="s">
        <v>247</v>
      </c>
      <c r="B216" s="3" t="s">
        <v>24</v>
      </c>
      <c r="C216" s="3" t="s">
        <v>27</v>
      </c>
      <c r="D216" s="4">
        <v>45944</v>
      </c>
      <c r="H216" s="3" t="s">
        <v>28</v>
      </c>
      <c r="I216" s="3" t="s">
        <v>31</v>
      </c>
      <c r="O216">
        <v>1</v>
      </c>
      <c r="P216">
        <f t="shared" si="9"/>
        <v>0</v>
      </c>
      <c r="Q216">
        <f t="shared" si="10"/>
        <v>0</v>
      </c>
      <c r="R216">
        <f t="shared" si="11"/>
        <v>0</v>
      </c>
      <c r="S216" s="10" t="str" cm="1">
        <f t="array" ref="S216">_xlfn.IFS(N216="", "", N216&gt;=9,"Promoter", N216&gt;=7,"Passive", N216&lt;=6,"Detractor")</f>
        <v/>
      </c>
    </row>
    <row r="217" spans="1:19" ht="14.25" customHeight="1">
      <c r="A217" s="3" t="s">
        <v>248</v>
      </c>
      <c r="B217" s="3" t="s">
        <v>26</v>
      </c>
      <c r="C217" s="3" t="s">
        <v>27</v>
      </c>
      <c r="D217" s="4">
        <v>45940</v>
      </c>
      <c r="H217" s="3" t="s">
        <v>28</v>
      </c>
      <c r="I217" s="3" t="s">
        <v>106</v>
      </c>
      <c r="O217">
        <v>1</v>
      </c>
      <c r="P217">
        <f t="shared" si="9"/>
        <v>0</v>
      </c>
      <c r="Q217">
        <f t="shared" si="10"/>
        <v>0</v>
      </c>
      <c r="R217">
        <f t="shared" si="11"/>
        <v>0</v>
      </c>
      <c r="S217" s="10" t="str" cm="1">
        <f t="array" ref="S217">_xlfn.IFS(N217="", "", N217&gt;=9,"Promoter", N217&gt;=7,"Passive", N217&lt;=6,"Detractor")</f>
        <v/>
      </c>
    </row>
    <row r="218" spans="1:19" ht="14.25" customHeight="1">
      <c r="A218" s="3" t="s">
        <v>249</v>
      </c>
      <c r="B218" s="3" t="s">
        <v>37</v>
      </c>
      <c r="C218" s="3" t="s">
        <v>35</v>
      </c>
      <c r="D218" s="4">
        <v>45949</v>
      </c>
      <c r="E218" s="4">
        <v>45954</v>
      </c>
      <c r="F218" s="4">
        <v>45957</v>
      </c>
      <c r="G218" s="4">
        <v>45960</v>
      </c>
      <c r="H218" s="3" t="s">
        <v>22</v>
      </c>
      <c r="J218" s="4">
        <v>45982</v>
      </c>
      <c r="K218" s="3">
        <v>5</v>
      </c>
      <c r="L218" s="3">
        <v>3</v>
      </c>
      <c r="M218" s="3">
        <v>3</v>
      </c>
      <c r="N218" s="3">
        <v>0</v>
      </c>
      <c r="O218">
        <v>1</v>
      </c>
      <c r="P218">
        <f t="shared" si="9"/>
        <v>1</v>
      </c>
      <c r="Q218">
        <f t="shared" si="10"/>
        <v>1</v>
      </c>
      <c r="R218">
        <f t="shared" si="11"/>
        <v>1</v>
      </c>
      <c r="S218" s="10" t="str" cm="1">
        <f t="array" ref="S218">_xlfn.IFS(N218="", "", N218&gt;=9,"Promoter", N218&gt;=7,"Passive", N218&lt;=6,"Detractor")</f>
        <v>Detractor</v>
      </c>
    </row>
    <row r="219" spans="1:19" ht="14.25" customHeight="1">
      <c r="A219" s="3" t="s">
        <v>250</v>
      </c>
      <c r="B219" s="3" t="s">
        <v>24</v>
      </c>
      <c r="C219" s="3" t="s">
        <v>21</v>
      </c>
      <c r="D219" s="4">
        <v>45950</v>
      </c>
      <c r="E219" s="4">
        <v>45954</v>
      </c>
      <c r="F219" s="4">
        <v>45959</v>
      </c>
      <c r="G219" s="4">
        <v>45962</v>
      </c>
      <c r="H219" s="3" t="s">
        <v>28</v>
      </c>
      <c r="I219" s="3" t="s">
        <v>106</v>
      </c>
      <c r="K219" s="3">
        <v>4</v>
      </c>
      <c r="L219" s="3">
        <v>5</v>
      </c>
      <c r="M219" s="3">
        <v>3</v>
      </c>
      <c r="O219">
        <v>1</v>
      </c>
      <c r="P219">
        <f t="shared" si="9"/>
        <v>1</v>
      </c>
      <c r="Q219">
        <f t="shared" si="10"/>
        <v>1</v>
      </c>
      <c r="R219">
        <f t="shared" si="11"/>
        <v>0</v>
      </c>
      <c r="S219" s="10" t="str" cm="1">
        <f t="array" ref="S219">_xlfn.IFS(N219="", "", N219&gt;=9,"Promoter", N219&gt;=7,"Passive", N219&lt;=6,"Detractor")</f>
        <v/>
      </c>
    </row>
    <row r="220" spans="1:19" ht="14.25" customHeight="1">
      <c r="A220" s="3" t="s">
        <v>251</v>
      </c>
      <c r="B220" s="3" t="s">
        <v>26</v>
      </c>
      <c r="C220" s="3" t="s">
        <v>27</v>
      </c>
      <c r="D220" s="4">
        <v>45932</v>
      </c>
      <c r="H220" s="3" t="s">
        <v>28</v>
      </c>
      <c r="I220" s="3" t="s">
        <v>31</v>
      </c>
      <c r="O220">
        <v>1</v>
      </c>
      <c r="P220">
        <f t="shared" si="9"/>
        <v>0</v>
      </c>
      <c r="Q220">
        <f t="shared" si="10"/>
        <v>0</v>
      </c>
      <c r="R220">
        <f t="shared" si="11"/>
        <v>0</v>
      </c>
      <c r="S220" s="10" t="str" cm="1">
        <f t="array" ref="S220">_xlfn.IFS(N220="", "", N220&gt;=9,"Promoter", N220&gt;=7,"Passive", N220&lt;=6,"Detractor")</f>
        <v/>
      </c>
    </row>
    <row r="221" spans="1:19" ht="14.25" customHeight="1">
      <c r="A221" s="3" t="s">
        <v>252</v>
      </c>
      <c r="B221" s="3" t="s">
        <v>26</v>
      </c>
      <c r="C221" s="3" t="s">
        <v>27</v>
      </c>
      <c r="D221" s="4">
        <v>45950</v>
      </c>
      <c r="H221" s="3" t="s">
        <v>28</v>
      </c>
      <c r="I221" s="3" t="s">
        <v>29</v>
      </c>
      <c r="O221">
        <v>1</v>
      </c>
      <c r="P221">
        <f t="shared" si="9"/>
        <v>0</v>
      </c>
      <c r="Q221">
        <f t="shared" si="10"/>
        <v>0</v>
      </c>
      <c r="R221">
        <f t="shared" si="11"/>
        <v>0</v>
      </c>
      <c r="S221" s="10" t="str" cm="1">
        <f t="array" ref="S221">_xlfn.IFS(N221="", "", N221&gt;=9,"Promoter", N221&gt;=7,"Passive", N221&lt;=6,"Detractor")</f>
        <v/>
      </c>
    </row>
    <row r="222" spans="1:19" ht="14.25" customHeight="1">
      <c r="A222" s="3" t="s">
        <v>253</v>
      </c>
      <c r="B222" s="3" t="s">
        <v>37</v>
      </c>
      <c r="C222" s="3" t="s">
        <v>27</v>
      </c>
      <c r="D222" s="4">
        <v>45961</v>
      </c>
      <c r="H222" s="3" t="s">
        <v>28</v>
      </c>
      <c r="I222" s="3" t="s">
        <v>106</v>
      </c>
      <c r="O222">
        <v>1</v>
      </c>
      <c r="P222">
        <f t="shared" si="9"/>
        <v>0</v>
      </c>
      <c r="Q222">
        <f t="shared" si="10"/>
        <v>0</v>
      </c>
      <c r="R222">
        <f t="shared" si="11"/>
        <v>0</v>
      </c>
      <c r="S222" s="10" t="str" cm="1">
        <f t="array" ref="S222">_xlfn.IFS(N222="", "", N222&gt;=9,"Promoter", N222&gt;=7,"Passive", N222&lt;=6,"Detractor")</f>
        <v/>
      </c>
    </row>
    <row r="223" spans="1:19" ht="14.25" customHeight="1">
      <c r="A223" s="3" t="s">
        <v>254</v>
      </c>
      <c r="B223" s="3" t="s">
        <v>20</v>
      </c>
      <c r="C223" s="3" t="s">
        <v>21</v>
      </c>
      <c r="D223" s="4">
        <v>45954</v>
      </c>
      <c r="E223" s="4">
        <v>45959</v>
      </c>
      <c r="F223" s="4">
        <v>45961</v>
      </c>
      <c r="G223" s="4">
        <v>45963</v>
      </c>
      <c r="H223" s="3" t="s">
        <v>22</v>
      </c>
      <c r="J223" s="4">
        <v>45991</v>
      </c>
      <c r="K223" s="3">
        <v>5</v>
      </c>
      <c r="L223" s="3">
        <v>2</v>
      </c>
      <c r="M223" s="3">
        <v>2</v>
      </c>
      <c r="N223" s="3">
        <v>3</v>
      </c>
      <c r="O223">
        <v>1</v>
      </c>
      <c r="P223">
        <f t="shared" si="9"/>
        <v>1</v>
      </c>
      <c r="Q223">
        <f t="shared" si="10"/>
        <v>1</v>
      </c>
      <c r="R223">
        <f t="shared" si="11"/>
        <v>1</v>
      </c>
      <c r="S223" s="10" t="str" cm="1">
        <f t="array" ref="S223">_xlfn.IFS(N223="", "", N223&gt;=9,"Promoter", N223&gt;=7,"Passive", N223&lt;=6,"Detractor")</f>
        <v>Detractor</v>
      </c>
    </row>
    <row r="224" spans="1:19" ht="14.25" customHeight="1">
      <c r="A224" s="3" t="s">
        <v>255</v>
      </c>
      <c r="B224" s="3" t="s">
        <v>20</v>
      </c>
      <c r="C224" s="3" t="s">
        <v>21</v>
      </c>
      <c r="D224" s="4">
        <v>45934</v>
      </c>
      <c r="E224" s="4">
        <v>45935</v>
      </c>
      <c r="F224" s="4">
        <v>45937</v>
      </c>
      <c r="G224" s="4">
        <v>45943</v>
      </c>
      <c r="H224" s="3" t="s">
        <v>22</v>
      </c>
      <c r="J224" s="4">
        <v>45970</v>
      </c>
      <c r="K224" s="3">
        <v>1</v>
      </c>
      <c r="L224" s="3">
        <v>2</v>
      </c>
      <c r="M224" s="3">
        <v>6</v>
      </c>
      <c r="N224" s="3">
        <v>1</v>
      </c>
      <c r="O224">
        <v>1</v>
      </c>
      <c r="P224">
        <f t="shared" si="9"/>
        <v>1</v>
      </c>
      <c r="Q224">
        <f t="shared" si="10"/>
        <v>1</v>
      </c>
      <c r="R224">
        <f t="shared" si="11"/>
        <v>1</v>
      </c>
      <c r="S224" s="10" t="str" cm="1">
        <f t="array" ref="S224">_xlfn.IFS(N224="", "", N224&gt;=9,"Promoter", N224&gt;=7,"Passive", N224&lt;=6,"Detractor")</f>
        <v>Detractor</v>
      </c>
    </row>
    <row r="225" spans="1:19" ht="14.25" customHeight="1">
      <c r="A225" s="3" t="s">
        <v>256</v>
      </c>
      <c r="B225" s="3" t="s">
        <v>24</v>
      </c>
      <c r="C225" s="3" t="s">
        <v>21</v>
      </c>
      <c r="D225" s="4">
        <v>45961</v>
      </c>
      <c r="E225" s="4">
        <v>45965</v>
      </c>
      <c r="F225" s="4">
        <v>45970</v>
      </c>
      <c r="G225" s="4">
        <v>45974</v>
      </c>
      <c r="H225" s="3" t="s">
        <v>22</v>
      </c>
      <c r="J225" s="4">
        <v>45999</v>
      </c>
      <c r="K225" s="3">
        <v>4</v>
      </c>
      <c r="L225" s="3">
        <v>5</v>
      </c>
      <c r="M225" s="3">
        <v>4</v>
      </c>
      <c r="N225" s="3">
        <v>7</v>
      </c>
      <c r="O225">
        <v>1</v>
      </c>
      <c r="P225">
        <f t="shared" si="9"/>
        <v>1</v>
      </c>
      <c r="Q225">
        <f t="shared" si="10"/>
        <v>1</v>
      </c>
      <c r="R225">
        <f t="shared" si="11"/>
        <v>1</v>
      </c>
      <c r="S225" s="10" t="str" cm="1">
        <f t="array" ref="S225">_xlfn.IFS(N225="", "", N225&gt;=9,"Promoter", N225&gt;=7,"Passive", N225&lt;=6,"Detractor")</f>
        <v>Passive</v>
      </c>
    </row>
    <row r="226" spans="1:19" ht="14.25" customHeight="1">
      <c r="A226" s="3" t="s">
        <v>257</v>
      </c>
      <c r="B226" s="3" t="s">
        <v>37</v>
      </c>
      <c r="C226" s="3" t="s">
        <v>21</v>
      </c>
      <c r="D226" s="4">
        <v>45955</v>
      </c>
      <c r="E226" s="4">
        <v>45958</v>
      </c>
      <c r="F226" s="4">
        <v>45962</v>
      </c>
      <c r="G226" s="4">
        <v>45968</v>
      </c>
      <c r="H226" s="3" t="s">
        <v>22</v>
      </c>
      <c r="J226" s="4">
        <v>45982</v>
      </c>
      <c r="K226" s="3">
        <v>3</v>
      </c>
      <c r="L226" s="3">
        <v>4</v>
      </c>
      <c r="M226" s="3">
        <v>6</v>
      </c>
      <c r="N226" s="3">
        <v>3</v>
      </c>
      <c r="O226">
        <v>1</v>
      </c>
      <c r="P226">
        <f t="shared" si="9"/>
        <v>1</v>
      </c>
      <c r="Q226">
        <f t="shared" si="10"/>
        <v>1</v>
      </c>
      <c r="R226">
        <f t="shared" si="11"/>
        <v>1</v>
      </c>
      <c r="S226" s="10" t="str" cm="1">
        <f t="array" ref="S226">_xlfn.IFS(N226="", "", N226&gt;=9,"Promoter", N226&gt;=7,"Passive", N226&lt;=6,"Detractor")</f>
        <v>Detractor</v>
      </c>
    </row>
    <row r="227" spans="1:19" ht="14.25" customHeight="1">
      <c r="A227" s="3" t="s">
        <v>258</v>
      </c>
      <c r="B227" s="3" t="s">
        <v>20</v>
      </c>
      <c r="C227" s="3" t="s">
        <v>21</v>
      </c>
      <c r="D227" s="4">
        <v>45937</v>
      </c>
      <c r="E227" s="4">
        <v>45940</v>
      </c>
      <c r="F227" s="4">
        <v>45944</v>
      </c>
      <c r="G227" s="4">
        <v>45948</v>
      </c>
      <c r="H227" s="3" t="s">
        <v>28</v>
      </c>
      <c r="I227" s="3" t="s">
        <v>29</v>
      </c>
      <c r="K227" s="3">
        <v>3</v>
      </c>
      <c r="L227" s="3">
        <v>4</v>
      </c>
      <c r="M227" s="3">
        <v>4</v>
      </c>
      <c r="O227">
        <v>1</v>
      </c>
      <c r="P227">
        <f t="shared" si="9"/>
        <v>1</v>
      </c>
      <c r="Q227">
        <f t="shared" si="10"/>
        <v>1</v>
      </c>
      <c r="R227">
        <f t="shared" si="11"/>
        <v>0</v>
      </c>
      <c r="S227" s="10" t="str" cm="1">
        <f t="array" ref="S227">_xlfn.IFS(N227="", "", N227&gt;=9,"Promoter", N227&gt;=7,"Passive", N227&lt;=6,"Detractor")</f>
        <v/>
      </c>
    </row>
    <row r="228" spans="1:19" ht="14.25" customHeight="1">
      <c r="A228" s="3" t="s">
        <v>259</v>
      </c>
      <c r="B228" s="3" t="s">
        <v>37</v>
      </c>
      <c r="C228" s="3" t="s">
        <v>21</v>
      </c>
      <c r="D228" s="4">
        <v>45951</v>
      </c>
      <c r="E228" s="4">
        <v>45953</v>
      </c>
      <c r="F228" s="4">
        <v>45958</v>
      </c>
      <c r="G228" s="4">
        <v>45964</v>
      </c>
      <c r="H228" s="3" t="s">
        <v>28</v>
      </c>
      <c r="I228" s="3" t="s">
        <v>38</v>
      </c>
      <c r="K228" s="3">
        <v>2</v>
      </c>
      <c r="L228" s="3">
        <v>5</v>
      </c>
      <c r="M228" s="3">
        <v>6</v>
      </c>
      <c r="O228">
        <v>1</v>
      </c>
      <c r="P228">
        <f t="shared" si="9"/>
        <v>1</v>
      </c>
      <c r="Q228">
        <f t="shared" si="10"/>
        <v>1</v>
      </c>
      <c r="R228">
        <f t="shared" si="11"/>
        <v>0</v>
      </c>
      <c r="S228" s="10" t="str" cm="1">
        <f t="array" ref="S228">_xlfn.IFS(N228="", "", N228&gt;=9,"Promoter", N228&gt;=7,"Passive", N228&lt;=6,"Detractor")</f>
        <v/>
      </c>
    </row>
    <row r="229" spans="1:19" ht="14.25" customHeight="1">
      <c r="A229" s="3" t="s">
        <v>260</v>
      </c>
      <c r="B229" s="3" t="s">
        <v>20</v>
      </c>
      <c r="C229" s="3" t="s">
        <v>35</v>
      </c>
      <c r="D229" s="4">
        <v>45937</v>
      </c>
      <c r="E229" s="4">
        <v>45940</v>
      </c>
      <c r="F229" s="4">
        <v>45943</v>
      </c>
      <c r="G229" s="4">
        <v>45949</v>
      </c>
      <c r="H229" s="3" t="s">
        <v>22</v>
      </c>
      <c r="J229" s="4">
        <v>45960</v>
      </c>
      <c r="K229" s="3">
        <v>3</v>
      </c>
      <c r="L229" s="3">
        <v>3</v>
      </c>
      <c r="M229" s="3">
        <v>6</v>
      </c>
      <c r="N229" s="3">
        <v>4</v>
      </c>
      <c r="O229">
        <v>1</v>
      </c>
      <c r="P229">
        <f t="shared" si="9"/>
        <v>1</v>
      </c>
      <c r="Q229">
        <f t="shared" si="10"/>
        <v>1</v>
      </c>
      <c r="R229">
        <f t="shared" si="11"/>
        <v>1</v>
      </c>
      <c r="S229" s="10" t="str" cm="1">
        <f t="array" ref="S229">_xlfn.IFS(N229="", "", N229&gt;=9,"Promoter", N229&gt;=7,"Passive", N229&lt;=6,"Detractor")</f>
        <v>Detractor</v>
      </c>
    </row>
    <row r="230" spans="1:19" ht="14.25" customHeight="1">
      <c r="A230" s="3" t="s">
        <v>261</v>
      </c>
      <c r="B230" s="3" t="s">
        <v>26</v>
      </c>
      <c r="C230" s="3" t="s">
        <v>27</v>
      </c>
      <c r="D230" s="4">
        <v>45939</v>
      </c>
      <c r="H230" s="3" t="s">
        <v>28</v>
      </c>
      <c r="I230" s="3" t="s">
        <v>29</v>
      </c>
      <c r="O230">
        <v>1</v>
      </c>
      <c r="P230">
        <f t="shared" si="9"/>
        <v>0</v>
      </c>
      <c r="Q230">
        <f t="shared" si="10"/>
        <v>0</v>
      </c>
      <c r="R230">
        <f t="shared" si="11"/>
        <v>0</v>
      </c>
      <c r="S230" s="10" t="str" cm="1">
        <f t="array" ref="S230">_xlfn.IFS(N230="", "", N230&gt;=9,"Promoter", N230&gt;=7,"Passive", N230&lt;=6,"Detractor")</f>
        <v/>
      </c>
    </row>
    <row r="231" spans="1:19" ht="14.25" customHeight="1">
      <c r="A231" s="3" t="s">
        <v>262</v>
      </c>
      <c r="B231" s="3" t="s">
        <v>20</v>
      </c>
      <c r="C231" s="3" t="s">
        <v>21</v>
      </c>
      <c r="D231" s="4">
        <v>45952</v>
      </c>
      <c r="E231" s="4">
        <v>45954</v>
      </c>
      <c r="F231" s="4">
        <v>45955</v>
      </c>
      <c r="G231" s="4">
        <v>45958</v>
      </c>
      <c r="H231" s="3" t="s">
        <v>22</v>
      </c>
      <c r="J231" s="4">
        <v>45979</v>
      </c>
      <c r="K231" s="3">
        <v>2</v>
      </c>
      <c r="L231" s="3">
        <v>1</v>
      </c>
      <c r="M231" s="3">
        <v>3</v>
      </c>
      <c r="N231" s="3">
        <v>2</v>
      </c>
      <c r="O231">
        <v>1</v>
      </c>
      <c r="P231">
        <f t="shared" si="9"/>
        <v>1</v>
      </c>
      <c r="Q231">
        <f t="shared" si="10"/>
        <v>1</v>
      </c>
      <c r="R231">
        <f t="shared" si="11"/>
        <v>1</v>
      </c>
      <c r="S231" s="10" t="str" cm="1">
        <f t="array" ref="S231">_xlfn.IFS(N231="", "", N231&gt;=9,"Promoter", N231&gt;=7,"Passive", N231&lt;=6,"Detractor")</f>
        <v>Detractor</v>
      </c>
    </row>
    <row r="232" spans="1:19" ht="14.25" customHeight="1">
      <c r="A232" s="3" t="s">
        <v>263</v>
      </c>
      <c r="B232" s="3" t="s">
        <v>37</v>
      </c>
      <c r="C232" s="3" t="s">
        <v>21</v>
      </c>
      <c r="D232" s="4">
        <v>45933</v>
      </c>
      <c r="E232" s="4">
        <v>45934</v>
      </c>
      <c r="F232" s="4">
        <v>45938</v>
      </c>
      <c r="G232" s="4">
        <v>45942</v>
      </c>
      <c r="H232" s="3" t="s">
        <v>22</v>
      </c>
      <c r="J232" s="4">
        <v>45952</v>
      </c>
      <c r="K232" s="3">
        <v>1</v>
      </c>
      <c r="L232" s="3">
        <v>4</v>
      </c>
      <c r="M232" s="3">
        <v>4</v>
      </c>
      <c r="N232" s="3">
        <v>2</v>
      </c>
      <c r="O232">
        <v>1</v>
      </c>
      <c r="P232">
        <f t="shared" si="9"/>
        <v>1</v>
      </c>
      <c r="Q232">
        <f t="shared" si="10"/>
        <v>1</v>
      </c>
      <c r="R232">
        <f t="shared" si="11"/>
        <v>1</v>
      </c>
      <c r="S232" s="10" t="str" cm="1">
        <f t="array" ref="S232">_xlfn.IFS(N232="", "", N232&gt;=9,"Promoter", N232&gt;=7,"Passive", N232&lt;=6,"Detractor")</f>
        <v>Detractor</v>
      </c>
    </row>
    <row r="233" spans="1:19" ht="14.25" customHeight="1">
      <c r="A233" s="3" t="s">
        <v>264</v>
      </c>
      <c r="B233" s="3" t="s">
        <v>26</v>
      </c>
      <c r="C233" s="3" t="s">
        <v>21</v>
      </c>
      <c r="D233" s="4">
        <v>45936</v>
      </c>
      <c r="E233" s="4">
        <v>45941</v>
      </c>
      <c r="F233" s="4">
        <v>45942</v>
      </c>
      <c r="G233" s="4">
        <v>45949</v>
      </c>
      <c r="H233" s="3" t="s">
        <v>22</v>
      </c>
      <c r="J233" s="4">
        <v>45972</v>
      </c>
      <c r="K233" s="3">
        <v>5</v>
      </c>
      <c r="L233" s="3">
        <v>1</v>
      </c>
      <c r="M233" s="3">
        <v>7</v>
      </c>
      <c r="N233" s="3">
        <v>8</v>
      </c>
      <c r="O233">
        <v>1</v>
      </c>
      <c r="P233">
        <f t="shared" si="9"/>
        <v>1</v>
      </c>
      <c r="Q233">
        <f t="shared" si="10"/>
        <v>1</v>
      </c>
      <c r="R233">
        <f t="shared" si="11"/>
        <v>1</v>
      </c>
      <c r="S233" s="10" t="str" cm="1">
        <f t="array" ref="S233">_xlfn.IFS(N233="", "", N233&gt;=9,"Promoter", N233&gt;=7,"Passive", N233&lt;=6,"Detractor")</f>
        <v>Passive</v>
      </c>
    </row>
    <row r="234" spans="1:19" ht="14.25" customHeight="1">
      <c r="A234" s="3" t="s">
        <v>265</v>
      </c>
      <c r="B234" s="3" t="s">
        <v>26</v>
      </c>
      <c r="C234" s="3" t="s">
        <v>21</v>
      </c>
      <c r="D234" s="4">
        <v>45938</v>
      </c>
      <c r="E234" s="4">
        <v>45939</v>
      </c>
      <c r="F234" s="4">
        <v>45941</v>
      </c>
      <c r="G234" s="4">
        <v>45945</v>
      </c>
      <c r="H234" s="3" t="s">
        <v>28</v>
      </c>
      <c r="I234" s="3" t="s">
        <v>68</v>
      </c>
      <c r="K234" s="3">
        <v>1</v>
      </c>
      <c r="L234" s="3">
        <v>2</v>
      </c>
      <c r="M234" s="3">
        <v>4</v>
      </c>
      <c r="O234">
        <v>1</v>
      </c>
      <c r="P234">
        <f t="shared" si="9"/>
        <v>1</v>
      </c>
      <c r="Q234">
        <f t="shared" si="10"/>
        <v>1</v>
      </c>
      <c r="R234">
        <f t="shared" si="11"/>
        <v>0</v>
      </c>
      <c r="S234" s="10" t="str" cm="1">
        <f t="array" ref="S234">_xlfn.IFS(N234="", "", N234&gt;=9,"Promoter", N234&gt;=7,"Passive", N234&lt;=6,"Detractor")</f>
        <v/>
      </c>
    </row>
    <row r="235" spans="1:19" ht="14.25" customHeight="1">
      <c r="A235" s="3" t="s">
        <v>266</v>
      </c>
      <c r="B235" s="3" t="s">
        <v>26</v>
      </c>
      <c r="C235" s="3" t="s">
        <v>35</v>
      </c>
      <c r="D235" s="4">
        <v>45936</v>
      </c>
      <c r="E235" s="4">
        <v>45941</v>
      </c>
      <c r="F235" s="4">
        <v>45943</v>
      </c>
      <c r="G235" s="4">
        <v>45947</v>
      </c>
      <c r="H235" s="3" t="s">
        <v>22</v>
      </c>
      <c r="J235" s="4">
        <v>45959</v>
      </c>
      <c r="K235" s="3">
        <v>5</v>
      </c>
      <c r="L235" s="3">
        <v>2</v>
      </c>
      <c r="M235" s="3">
        <v>4</v>
      </c>
      <c r="N235" s="3">
        <v>9</v>
      </c>
      <c r="O235">
        <v>1</v>
      </c>
      <c r="P235">
        <f t="shared" si="9"/>
        <v>1</v>
      </c>
      <c r="Q235">
        <f t="shared" si="10"/>
        <v>1</v>
      </c>
      <c r="R235">
        <f t="shared" si="11"/>
        <v>1</v>
      </c>
      <c r="S235" s="10" t="str" cm="1">
        <f t="array" ref="S235">_xlfn.IFS(N235="", "", N235&gt;=9,"Promoter", N235&gt;=7,"Passive", N235&lt;=6,"Detractor")</f>
        <v>Promoter</v>
      </c>
    </row>
    <row r="236" spans="1:19" ht="14.25" customHeight="1">
      <c r="A236" s="3" t="s">
        <v>267</v>
      </c>
      <c r="B236" s="3" t="s">
        <v>37</v>
      </c>
      <c r="C236" s="3" t="s">
        <v>35</v>
      </c>
      <c r="D236" s="4">
        <v>45948</v>
      </c>
      <c r="E236" s="4">
        <v>45953</v>
      </c>
      <c r="F236" s="4">
        <v>45957</v>
      </c>
      <c r="G236" s="4">
        <v>45963</v>
      </c>
      <c r="H236" s="3" t="s">
        <v>22</v>
      </c>
      <c r="J236" s="4">
        <v>45982</v>
      </c>
      <c r="K236" s="3">
        <v>5</v>
      </c>
      <c r="L236" s="3">
        <v>4</v>
      </c>
      <c r="M236" s="3">
        <v>6</v>
      </c>
      <c r="N236" s="3">
        <v>4</v>
      </c>
      <c r="O236">
        <v>1</v>
      </c>
      <c r="P236">
        <f t="shared" si="9"/>
        <v>1</v>
      </c>
      <c r="Q236">
        <f t="shared" si="10"/>
        <v>1</v>
      </c>
      <c r="R236">
        <f t="shared" si="11"/>
        <v>1</v>
      </c>
      <c r="S236" s="10" t="str" cm="1">
        <f t="array" ref="S236">_xlfn.IFS(N236="", "", N236&gt;=9,"Promoter", N236&gt;=7,"Passive", N236&lt;=6,"Detractor")</f>
        <v>Detractor</v>
      </c>
    </row>
    <row r="237" spans="1:19" ht="14.25" customHeight="1">
      <c r="A237" s="3" t="s">
        <v>268</v>
      </c>
      <c r="B237" s="3" t="s">
        <v>24</v>
      </c>
      <c r="C237" s="3" t="s">
        <v>35</v>
      </c>
      <c r="D237" s="4">
        <v>45933</v>
      </c>
      <c r="E237" s="4">
        <v>45935</v>
      </c>
      <c r="F237" s="4">
        <v>45938</v>
      </c>
      <c r="G237" s="4">
        <v>45942</v>
      </c>
      <c r="H237" s="3" t="s">
        <v>22</v>
      </c>
      <c r="J237" s="4">
        <v>45972</v>
      </c>
      <c r="K237" s="3">
        <v>2</v>
      </c>
      <c r="L237" s="3">
        <v>3</v>
      </c>
      <c r="M237" s="3">
        <v>4</v>
      </c>
      <c r="N237" s="3">
        <v>7</v>
      </c>
      <c r="O237">
        <v>1</v>
      </c>
      <c r="P237">
        <f t="shared" si="9"/>
        <v>1</v>
      </c>
      <c r="Q237">
        <f t="shared" si="10"/>
        <v>1</v>
      </c>
      <c r="R237">
        <f t="shared" si="11"/>
        <v>1</v>
      </c>
      <c r="S237" s="10" t="str" cm="1">
        <f t="array" ref="S237">_xlfn.IFS(N237="", "", N237&gt;=9,"Promoter", N237&gt;=7,"Passive", N237&lt;=6,"Detractor")</f>
        <v>Passive</v>
      </c>
    </row>
    <row r="238" spans="1:19" ht="14.25" customHeight="1">
      <c r="A238" s="3" t="s">
        <v>269</v>
      </c>
      <c r="B238" s="3" t="s">
        <v>24</v>
      </c>
      <c r="C238" s="3" t="s">
        <v>35</v>
      </c>
      <c r="D238" s="4">
        <v>45936</v>
      </c>
      <c r="E238" s="4">
        <v>45939</v>
      </c>
      <c r="F238" s="4">
        <v>45941</v>
      </c>
      <c r="G238" s="4">
        <v>45947</v>
      </c>
      <c r="H238" s="3" t="s">
        <v>22</v>
      </c>
      <c r="J238" s="4">
        <v>45976</v>
      </c>
      <c r="K238" s="3">
        <v>3</v>
      </c>
      <c r="L238" s="3">
        <v>2</v>
      </c>
      <c r="M238" s="3">
        <v>6</v>
      </c>
      <c r="N238" s="3">
        <v>7</v>
      </c>
      <c r="O238">
        <v>1</v>
      </c>
      <c r="P238">
        <f t="shared" si="9"/>
        <v>1</v>
      </c>
      <c r="Q238">
        <f t="shared" si="10"/>
        <v>1</v>
      </c>
      <c r="R238">
        <f t="shared" si="11"/>
        <v>1</v>
      </c>
      <c r="S238" s="10" t="str" cm="1">
        <f t="array" ref="S238">_xlfn.IFS(N238="", "", N238&gt;=9,"Promoter", N238&gt;=7,"Passive", N238&lt;=6,"Detractor")</f>
        <v>Passive</v>
      </c>
    </row>
    <row r="239" spans="1:19" ht="14.25" customHeight="1">
      <c r="A239" s="3" t="s">
        <v>270</v>
      </c>
      <c r="B239" s="3" t="s">
        <v>24</v>
      </c>
      <c r="C239" s="3" t="s">
        <v>21</v>
      </c>
      <c r="D239" s="4">
        <v>45931</v>
      </c>
      <c r="E239" s="4">
        <v>45934</v>
      </c>
      <c r="F239" s="4">
        <v>45935</v>
      </c>
      <c r="G239" s="4">
        <v>45942</v>
      </c>
      <c r="H239" s="3" t="s">
        <v>22</v>
      </c>
      <c r="J239" s="4">
        <v>45967</v>
      </c>
      <c r="K239" s="3">
        <v>3</v>
      </c>
      <c r="L239" s="3">
        <v>1</v>
      </c>
      <c r="M239" s="3">
        <v>7</v>
      </c>
      <c r="N239" s="3">
        <v>0</v>
      </c>
      <c r="O239">
        <v>1</v>
      </c>
      <c r="P239">
        <f t="shared" si="9"/>
        <v>1</v>
      </c>
      <c r="Q239">
        <f t="shared" si="10"/>
        <v>1</v>
      </c>
      <c r="R239">
        <f t="shared" si="11"/>
        <v>1</v>
      </c>
      <c r="S239" s="10" t="str" cm="1">
        <f t="array" ref="S239">_xlfn.IFS(N239="", "", N239&gt;=9,"Promoter", N239&gt;=7,"Passive", N239&lt;=6,"Detractor")</f>
        <v>Detractor</v>
      </c>
    </row>
    <row r="240" spans="1:19" ht="14.25" customHeight="1">
      <c r="A240" s="3" t="s">
        <v>271</v>
      </c>
      <c r="B240" s="3" t="s">
        <v>37</v>
      </c>
      <c r="C240" s="3" t="s">
        <v>21</v>
      </c>
      <c r="D240" s="4">
        <v>45944</v>
      </c>
      <c r="E240" s="4">
        <v>45946</v>
      </c>
      <c r="F240" s="4">
        <v>45949</v>
      </c>
      <c r="G240" s="4">
        <v>45951</v>
      </c>
      <c r="H240" s="3" t="s">
        <v>22</v>
      </c>
      <c r="J240" s="4">
        <v>45967</v>
      </c>
      <c r="K240" s="3">
        <v>2</v>
      </c>
      <c r="L240" s="3">
        <v>3</v>
      </c>
      <c r="M240" s="3">
        <v>2</v>
      </c>
      <c r="N240" s="3">
        <v>1</v>
      </c>
      <c r="O240">
        <v>1</v>
      </c>
      <c r="P240">
        <f t="shared" si="9"/>
        <v>1</v>
      </c>
      <c r="Q240">
        <f t="shared" si="10"/>
        <v>1</v>
      </c>
      <c r="R240">
        <f t="shared" si="11"/>
        <v>1</v>
      </c>
      <c r="S240" s="10" t="str" cm="1">
        <f t="array" ref="S240">_xlfn.IFS(N240="", "", N240&gt;=9,"Promoter", N240&gt;=7,"Passive", N240&lt;=6,"Detractor")</f>
        <v>Detractor</v>
      </c>
    </row>
    <row r="241" spans="1:19" ht="14.25" customHeight="1">
      <c r="A241" s="3" t="s">
        <v>272</v>
      </c>
      <c r="B241" s="3" t="s">
        <v>26</v>
      </c>
      <c r="C241" s="3" t="s">
        <v>35</v>
      </c>
      <c r="D241" s="4">
        <v>45945</v>
      </c>
      <c r="E241" s="4">
        <v>45947</v>
      </c>
      <c r="F241" s="4">
        <v>45951</v>
      </c>
      <c r="G241" s="4">
        <v>45954</v>
      </c>
      <c r="H241" s="3" t="s">
        <v>28</v>
      </c>
      <c r="I241" s="3" t="s">
        <v>68</v>
      </c>
      <c r="K241" s="3">
        <v>2</v>
      </c>
      <c r="L241" s="3">
        <v>4</v>
      </c>
      <c r="M241" s="3">
        <v>3</v>
      </c>
      <c r="O241">
        <v>1</v>
      </c>
      <c r="P241">
        <f t="shared" si="9"/>
        <v>1</v>
      </c>
      <c r="Q241">
        <f t="shared" si="10"/>
        <v>1</v>
      </c>
      <c r="R241">
        <f t="shared" si="11"/>
        <v>0</v>
      </c>
      <c r="S241" s="10" t="str" cm="1">
        <f t="array" ref="S241">_xlfn.IFS(N241="", "", N241&gt;=9,"Promoter", N241&gt;=7,"Passive", N241&lt;=6,"Detractor")</f>
        <v/>
      </c>
    </row>
    <row r="242" spans="1:19" ht="14.25" customHeight="1">
      <c r="A242" s="3" t="s">
        <v>273</v>
      </c>
      <c r="B242" s="3" t="s">
        <v>24</v>
      </c>
      <c r="C242" s="3" t="s">
        <v>21</v>
      </c>
      <c r="D242" s="4">
        <v>45953</v>
      </c>
      <c r="E242" s="4">
        <v>45954</v>
      </c>
      <c r="F242" s="4">
        <v>45956</v>
      </c>
      <c r="G242" s="4">
        <v>45961</v>
      </c>
      <c r="H242" s="3" t="s">
        <v>22</v>
      </c>
      <c r="J242" s="4">
        <v>45974</v>
      </c>
      <c r="K242" s="3">
        <v>1</v>
      </c>
      <c r="L242" s="3">
        <v>2</v>
      </c>
      <c r="M242" s="3">
        <v>5</v>
      </c>
      <c r="N242" s="3">
        <v>9</v>
      </c>
      <c r="O242">
        <v>1</v>
      </c>
      <c r="P242">
        <f t="shared" si="9"/>
        <v>1</v>
      </c>
      <c r="Q242">
        <f t="shared" si="10"/>
        <v>1</v>
      </c>
      <c r="R242">
        <f t="shared" si="11"/>
        <v>1</v>
      </c>
      <c r="S242" s="10" t="str" cm="1">
        <f t="array" ref="S242">_xlfn.IFS(N242="", "", N242&gt;=9,"Promoter", N242&gt;=7,"Passive", N242&lt;=6,"Detractor")</f>
        <v>Promoter</v>
      </c>
    </row>
    <row r="243" spans="1:19" ht="14.25" customHeight="1">
      <c r="A243" s="3" t="s">
        <v>274</v>
      </c>
      <c r="B243" s="3" t="s">
        <v>37</v>
      </c>
      <c r="C243" s="3" t="s">
        <v>35</v>
      </c>
      <c r="D243" s="4">
        <v>45950</v>
      </c>
      <c r="E243" s="4">
        <v>45952</v>
      </c>
      <c r="F243" s="4">
        <v>45956</v>
      </c>
      <c r="G243" s="4">
        <v>45958</v>
      </c>
      <c r="H243" s="3" t="s">
        <v>22</v>
      </c>
      <c r="J243" s="4">
        <v>45968</v>
      </c>
      <c r="K243" s="3">
        <v>2</v>
      </c>
      <c r="L243" s="3">
        <v>4</v>
      </c>
      <c r="M243" s="3">
        <v>2</v>
      </c>
      <c r="N243" s="3">
        <v>1</v>
      </c>
      <c r="O243">
        <v>1</v>
      </c>
      <c r="P243">
        <f t="shared" si="9"/>
        <v>1</v>
      </c>
      <c r="Q243">
        <f t="shared" si="10"/>
        <v>1</v>
      </c>
      <c r="R243">
        <f t="shared" si="11"/>
        <v>1</v>
      </c>
      <c r="S243" s="10" t="str" cm="1">
        <f t="array" ref="S243">_xlfn.IFS(N243="", "", N243&gt;=9,"Promoter", N243&gt;=7,"Passive", N243&lt;=6,"Detractor")</f>
        <v>Detractor</v>
      </c>
    </row>
    <row r="244" spans="1:19" ht="14.25" customHeight="1">
      <c r="A244" s="3" t="s">
        <v>275</v>
      </c>
      <c r="B244" s="3" t="s">
        <v>24</v>
      </c>
      <c r="C244" s="3" t="s">
        <v>27</v>
      </c>
      <c r="D244" s="4">
        <v>45946</v>
      </c>
      <c r="H244" s="3" t="s">
        <v>28</v>
      </c>
      <c r="I244" s="3" t="s">
        <v>29</v>
      </c>
      <c r="O244">
        <v>1</v>
      </c>
      <c r="P244">
        <f t="shared" si="9"/>
        <v>0</v>
      </c>
      <c r="Q244">
        <f t="shared" si="10"/>
        <v>0</v>
      </c>
      <c r="R244">
        <f t="shared" si="11"/>
        <v>0</v>
      </c>
      <c r="S244" s="10" t="str" cm="1">
        <f t="array" ref="S244">_xlfn.IFS(N244="", "", N244&gt;=9,"Promoter", N244&gt;=7,"Passive", N244&lt;=6,"Detractor")</f>
        <v/>
      </c>
    </row>
    <row r="245" spans="1:19" ht="14.25" customHeight="1">
      <c r="A245" s="3" t="s">
        <v>276</v>
      </c>
      <c r="B245" s="3" t="s">
        <v>20</v>
      </c>
      <c r="C245" s="3" t="s">
        <v>27</v>
      </c>
      <c r="D245" s="4">
        <v>45940</v>
      </c>
      <c r="H245" s="3" t="s">
        <v>28</v>
      </c>
      <c r="I245" s="3" t="s">
        <v>68</v>
      </c>
      <c r="O245">
        <v>1</v>
      </c>
      <c r="P245">
        <f t="shared" si="9"/>
        <v>0</v>
      </c>
      <c r="Q245">
        <f t="shared" si="10"/>
        <v>0</v>
      </c>
      <c r="R245">
        <f t="shared" si="11"/>
        <v>0</v>
      </c>
      <c r="S245" s="10" t="str" cm="1">
        <f t="array" ref="S245">_xlfn.IFS(N245="", "", N245&gt;=9,"Promoter", N245&gt;=7,"Passive", N245&lt;=6,"Detractor")</f>
        <v/>
      </c>
    </row>
    <row r="246" spans="1:19" ht="14.25" customHeight="1">
      <c r="A246" s="3" t="s">
        <v>277</v>
      </c>
      <c r="B246" s="3" t="s">
        <v>24</v>
      </c>
      <c r="C246" s="3" t="s">
        <v>35</v>
      </c>
      <c r="D246" s="4">
        <v>45932</v>
      </c>
      <c r="E246" s="4">
        <v>45935</v>
      </c>
      <c r="F246" s="4">
        <v>45938</v>
      </c>
      <c r="G246" s="4">
        <v>45942</v>
      </c>
      <c r="H246" s="3" t="s">
        <v>22</v>
      </c>
      <c r="J246" s="4">
        <v>45958</v>
      </c>
      <c r="K246" s="3">
        <v>3</v>
      </c>
      <c r="L246" s="3">
        <v>3</v>
      </c>
      <c r="M246" s="3">
        <v>4</v>
      </c>
      <c r="N246" s="3">
        <v>6</v>
      </c>
      <c r="O246">
        <v>1</v>
      </c>
      <c r="P246">
        <f t="shared" si="9"/>
        <v>1</v>
      </c>
      <c r="Q246">
        <f t="shared" si="10"/>
        <v>1</v>
      </c>
      <c r="R246">
        <f t="shared" si="11"/>
        <v>1</v>
      </c>
      <c r="S246" s="10" t="str" cm="1">
        <f t="array" ref="S246">_xlfn.IFS(N246="", "", N246&gt;=9,"Promoter", N246&gt;=7,"Passive", N246&lt;=6,"Detractor")</f>
        <v>Detractor</v>
      </c>
    </row>
    <row r="247" spans="1:19" ht="14.25" customHeight="1">
      <c r="A247" s="3" t="s">
        <v>278</v>
      </c>
      <c r="B247" s="3" t="s">
        <v>24</v>
      </c>
      <c r="C247" s="3" t="s">
        <v>21</v>
      </c>
      <c r="D247" s="4">
        <v>45938</v>
      </c>
      <c r="E247" s="4">
        <v>45940</v>
      </c>
      <c r="F247" s="4">
        <v>45943</v>
      </c>
      <c r="G247" s="4">
        <v>45950</v>
      </c>
      <c r="H247" s="3" t="s">
        <v>28</v>
      </c>
      <c r="I247" s="3" t="s">
        <v>38</v>
      </c>
      <c r="K247" s="3">
        <v>2</v>
      </c>
      <c r="L247" s="3">
        <v>3</v>
      </c>
      <c r="M247" s="3">
        <v>7</v>
      </c>
      <c r="O247">
        <v>1</v>
      </c>
      <c r="P247">
        <f t="shared" si="9"/>
        <v>1</v>
      </c>
      <c r="Q247">
        <f t="shared" si="10"/>
        <v>1</v>
      </c>
      <c r="R247">
        <f t="shared" si="11"/>
        <v>0</v>
      </c>
      <c r="S247" s="10" t="str" cm="1">
        <f t="array" ref="S247">_xlfn.IFS(N247="", "", N247&gt;=9,"Promoter", N247&gt;=7,"Passive", N247&lt;=6,"Detractor")</f>
        <v/>
      </c>
    </row>
    <row r="248" spans="1:19" ht="14.25" customHeight="1">
      <c r="A248" s="3" t="s">
        <v>279</v>
      </c>
      <c r="B248" s="3" t="s">
        <v>26</v>
      </c>
      <c r="C248" s="3" t="s">
        <v>35</v>
      </c>
      <c r="D248" s="4">
        <v>45940</v>
      </c>
      <c r="E248" s="4">
        <v>45942</v>
      </c>
      <c r="F248" s="4">
        <v>45945</v>
      </c>
      <c r="G248" s="4">
        <v>45948</v>
      </c>
      <c r="H248" s="3" t="s">
        <v>22</v>
      </c>
      <c r="J248" s="4">
        <v>45963</v>
      </c>
      <c r="K248" s="3">
        <v>2</v>
      </c>
      <c r="L248" s="3">
        <v>3</v>
      </c>
      <c r="M248" s="3">
        <v>3</v>
      </c>
      <c r="N248" s="3">
        <v>6</v>
      </c>
      <c r="O248">
        <v>1</v>
      </c>
      <c r="P248">
        <f t="shared" si="9"/>
        <v>1</v>
      </c>
      <c r="Q248">
        <f t="shared" si="10"/>
        <v>1</v>
      </c>
      <c r="R248">
        <f t="shared" si="11"/>
        <v>1</v>
      </c>
      <c r="S248" s="10" t="str" cm="1">
        <f t="array" ref="S248">_xlfn.IFS(N248="", "", N248&gt;=9,"Promoter", N248&gt;=7,"Passive", N248&lt;=6,"Detractor")</f>
        <v>Detractor</v>
      </c>
    </row>
    <row r="249" spans="1:19" ht="14.25" customHeight="1">
      <c r="A249" s="3" t="s">
        <v>280</v>
      </c>
      <c r="B249" s="3" t="s">
        <v>37</v>
      </c>
      <c r="C249" s="3" t="s">
        <v>21</v>
      </c>
      <c r="D249" s="4">
        <v>45953</v>
      </c>
      <c r="E249" s="4">
        <v>45958</v>
      </c>
      <c r="F249" s="4">
        <v>45963</v>
      </c>
      <c r="G249" s="4">
        <v>45970</v>
      </c>
      <c r="H249" s="3" t="s">
        <v>22</v>
      </c>
      <c r="J249" s="4">
        <v>46000</v>
      </c>
      <c r="K249" s="3">
        <v>5</v>
      </c>
      <c r="L249" s="3">
        <v>5</v>
      </c>
      <c r="M249" s="3">
        <v>7</v>
      </c>
      <c r="N249" s="3">
        <v>4</v>
      </c>
      <c r="O249">
        <v>1</v>
      </c>
      <c r="P249">
        <f t="shared" si="9"/>
        <v>1</v>
      </c>
      <c r="Q249">
        <f t="shared" si="10"/>
        <v>1</v>
      </c>
      <c r="R249">
        <f t="shared" si="11"/>
        <v>1</v>
      </c>
      <c r="S249" s="10" t="str" cm="1">
        <f t="array" ref="S249">_xlfn.IFS(N249="", "", N249&gt;=9,"Promoter", N249&gt;=7,"Passive", N249&lt;=6,"Detractor")</f>
        <v>Detractor</v>
      </c>
    </row>
    <row r="250" spans="1:19" ht="14.25" customHeight="1">
      <c r="A250" s="3" t="s">
        <v>281</v>
      </c>
      <c r="B250" s="3" t="s">
        <v>26</v>
      </c>
      <c r="C250" s="3" t="s">
        <v>21</v>
      </c>
      <c r="D250" s="4">
        <v>45940</v>
      </c>
      <c r="E250" s="4">
        <v>45942</v>
      </c>
      <c r="F250" s="4">
        <v>45947</v>
      </c>
      <c r="G250" s="4">
        <v>45950</v>
      </c>
      <c r="H250" s="3" t="s">
        <v>22</v>
      </c>
      <c r="J250" s="4">
        <v>45969</v>
      </c>
      <c r="K250" s="3">
        <v>2</v>
      </c>
      <c r="L250" s="3">
        <v>5</v>
      </c>
      <c r="M250" s="3">
        <v>3</v>
      </c>
      <c r="N250" s="3">
        <v>7</v>
      </c>
      <c r="O250">
        <v>1</v>
      </c>
      <c r="P250">
        <f t="shared" si="9"/>
        <v>1</v>
      </c>
      <c r="Q250">
        <f t="shared" si="10"/>
        <v>1</v>
      </c>
      <c r="R250">
        <f t="shared" si="11"/>
        <v>1</v>
      </c>
      <c r="S250" s="10" t="str" cm="1">
        <f t="array" ref="S250">_xlfn.IFS(N250="", "", N250&gt;=9,"Promoter", N250&gt;=7,"Passive", N250&lt;=6,"Detractor")</f>
        <v>Passive</v>
      </c>
    </row>
    <row r="251" spans="1:19" ht="14.25" customHeight="1">
      <c r="A251" s="3" t="s">
        <v>282</v>
      </c>
      <c r="B251" s="3" t="s">
        <v>26</v>
      </c>
      <c r="C251" s="3" t="s">
        <v>35</v>
      </c>
      <c r="D251" s="4">
        <v>45953</v>
      </c>
      <c r="E251" s="4">
        <v>45954</v>
      </c>
      <c r="F251" s="4">
        <v>45955</v>
      </c>
      <c r="G251" s="4">
        <v>45958</v>
      </c>
      <c r="H251" s="3" t="s">
        <v>22</v>
      </c>
      <c r="J251" s="4">
        <v>45970</v>
      </c>
      <c r="K251" s="3">
        <v>1</v>
      </c>
      <c r="L251" s="3">
        <v>1</v>
      </c>
      <c r="M251" s="3">
        <v>3</v>
      </c>
      <c r="N251" s="3">
        <v>3</v>
      </c>
      <c r="O251">
        <v>1</v>
      </c>
      <c r="P251">
        <f t="shared" si="9"/>
        <v>1</v>
      </c>
      <c r="Q251">
        <f t="shared" si="10"/>
        <v>1</v>
      </c>
      <c r="R251">
        <f t="shared" si="11"/>
        <v>1</v>
      </c>
      <c r="S251" s="10" t="str" cm="1">
        <f t="array" ref="S251">_xlfn.IFS(N251="", "", N251&gt;=9,"Promoter", N251&gt;=7,"Passive", N251&lt;=6,"Detractor")</f>
        <v>Detractor</v>
      </c>
    </row>
    <row r="252" spans="1:19" ht="14.25" customHeight="1">
      <c r="A252" s="3" t="s">
        <v>283</v>
      </c>
      <c r="B252" s="3" t="s">
        <v>26</v>
      </c>
      <c r="C252" s="3" t="s">
        <v>21</v>
      </c>
      <c r="D252" s="4">
        <v>45958</v>
      </c>
      <c r="E252" s="4">
        <v>45960</v>
      </c>
      <c r="F252" s="4">
        <v>45963</v>
      </c>
      <c r="G252" s="4">
        <v>45966</v>
      </c>
      <c r="H252" s="3" t="s">
        <v>22</v>
      </c>
      <c r="J252" s="4">
        <v>45991</v>
      </c>
      <c r="K252" s="3">
        <v>2</v>
      </c>
      <c r="L252" s="3">
        <v>3</v>
      </c>
      <c r="M252" s="3">
        <v>3</v>
      </c>
      <c r="N252" s="3">
        <v>2</v>
      </c>
      <c r="O252">
        <v>1</v>
      </c>
      <c r="P252">
        <f t="shared" si="9"/>
        <v>1</v>
      </c>
      <c r="Q252">
        <f t="shared" si="10"/>
        <v>1</v>
      </c>
      <c r="R252">
        <f t="shared" si="11"/>
        <v>1</v>
      </c>
      <c r="S252" s="10" t="str" cm="1">
        <f t="array" ref="S252">_xlfn.IFS(N252="", "", N252&gt;=9,"Promoter", N252&gt;=7,"Passive", N252&lt;=6,"Detractor")</f>
        <v>Detractor</v>
      </c>
    </row>
    <row r="253" spans="1:19" ht="14.25" customHeight="1">
      <c r="A253" s="3" t="s">
        <v>284</v>
      </c>
      <c r="B253" s="3" t="s">
        <v>26</v>
      </c>
      <c r="C253" s="3" t="s">
        <v>35</v>
      </c>
      <c r="D253" s="4">
        <v>45945</v>
      </c>
      <c r="E253" s="4">
        <v>45949</v>
      </c>
      <c r="F253" s="4">
        <v>45952</v>
      </c>
      <c r="G253" s="4">
        <v>45959</v>
      </c>
      <c r="H253" s="3" t="s">
        <v>22</v>
      </c>
      <c r="J253" s="4">
        <v>45972</v>
      </c>
      <c r="K253" s="3">
        <v>4</v>
      </c>
      <c r="L253" s="3">
        <v>3</v>
      </c>
      <c r="M253" s="3">
        <v>7</v>
      </c>
      <c r="N253" s="3">
        <v>6</v>
      </c>
      <c r="O253">
        <v>1</v>
      </c>
      <c r="P253">
        <f t="shared" si="9"/>
        <v>1</v>
      </c>
      <c r="Q253">
        <f t="shared" si="10"/>
        <v>1</v>
      </c>
      <c r="R253">
        <f t="shared" si="11"/>
        <v>1</v>
      </c>
      <c r="S253" s="10" t="str" cm="1">
        <f t="array" ref="S253">_xlfn.IFS(N253="", "", N253&gt;=9,"Promoter", N253&gt;=7,"Passive", N253&lt;=6,"Detractor")</f>
        <v>Detractor</v>
      </c>
    </row>
    <row r="254" spans="1:19" ht="14.25" customHeight="1">
      <c r="A254" s="3" t="s">
        <v>285</v>
      </c>
      <c r="B254" s="3" t="s">
        <v>26</v>
      </c>
      <c r="C254" s="3" t="s">
        <v>35</v>
      </c>
      <c r="D254" s="4">
        <v>45933</v>
      </c>
      <c r="E254" s="4">
        <v>45937</v>
      </c>
      <c r="F254" s="4">
        <v>45939</v>
      </c>
      <c r="G254" s="4">
        <v>45943</v>
      </c>
      <c r="H254" s="3" t="s">
        <v>22</v>
      </c>
      <c r="J254" s="4">
        <v>45962</v>
      </c>
      <c r="K254" s="3">
        <v>4</v>
      </c>
      <c r="L254" s="3">
        <v>2</v>
      </c>
      <c r="M254" s="3">
        <v>4</v>
      </c>
      <c r="N254" s="3">
        <v>10</v>
      </c>
      <c r="O254">
        <v>1</v>
      </c>
      <c r="P254">
        <f t="shared" si="9"/>
        <v>1</v>
      </c>
      <c r="Q254">
        <f t="shared" si="10"/>
        <v>1</v>
      </c>
      <c r="R254">
        <f t="shared" si="11"/>
        <v>1</v>
      </c>
      <c r="S254" s="10" t="str" cm="1">
        <f t="array" ref="S254">_xlfn.IFS(N254="", "", N254&gt;=9,"Promoter", N254&gt;=7,"Passive", N254&lt;=6,"Detractor")</f>
        <v>Promoter</v>
      </c>
    </row>
    <row r="255" spans="1:19" ht="14.25" customHeight="1">
      <c r="A255" s="3" t="s">
        <v>286</v>
      </c>
      <c r="B255" s="3" t="s">
        <v>24</v>
      </c>
      <c r="C255" s="3" t="s">
        <v>21</v>
      </c>
      <c r="D255" s="4">
        <v>45952</v>
      </c>
      <c r="E255" s="4">
        <v>45957</v>
      </c>
      <c r="F255" s="4">
        <v>45958</v>
      </c>
      <c r="G255" s="4">
        <v>45961</v>
      </c>
      <c r="H255" s="3" t="s">
        <v>22</v>
      </c>
      <c r="J255" s="4">
        <v>45983</v>
      </c>
      <c r="K255" s="3">
        <v>5</v>
      </c>
      <c r="L255" s="3">
        <v>1</v>
      </c>
      <c r="M255" s="3">
        <v>3</v>
      </c>
      <c r="N255" s="3">
        <v>4</v>
      </c>
      <c r="O255">
        <v>1</v>
      </c>
      <c r="P255">
        <f t="shared" si="9"/>
        <v>1</v>
      </c>
      <c r="Q255">
        <f t="shared" si="10"/>
        <v>1</v>
      </c>
      <c r="R255">
        <f t="shared" si="11"/>
        <v>1</v>
      </c>
      <c r="S255" s="10" t="str" cm="1">
        <f t="array" ref="S255">_xlfn.IFS(N255="", "", N255&gt;=9,"Promoter", N255&gt;=7,"Passive", N255&lt;=6,"Detractor")</f>
        <v>Detractor</v>
      </c>
    </row>
    <row r="256" spans="1:19" ht="14.25" customHeight="1">
      <c r="A256" s="3" t="s">
        <v>287</v>
      </c>
      <c r="B256" s="3" t="s">
        <v>26</v>
      </c>
      <c r="C256" s="3" t="s">
        <v>21</v>
      </c>
      <c r="D256" s="4">
        <v>45938</v>
      </c>
      <c r="E256" s="4">
        <v>45943</v>
      </c>
      <c r="F256" s="4">
        <v>45944</v>
      </c>
      <c r="G256" s="4">
        <v>45951</v>
      </c>
      <c r="H256" s="3" t="s">
        <v>22</v>
      </c>
      <c r="J256" s="4">
        <v>45976</v>
      </c>
      <c r="K256" s="3">
        <v>5</v>
      </c>
      <c r="L256" s="3">
        <v>1</v>
      </c>
      <c r="M256" s="3">
        <v>7</v>
      </c>
      <c r="N256" s="3">
        <v>5</v>
      </c>
      <c r="O256">
        <v>1</v>
      </c>
      <c r="P256">
        <f t="shared" si="9"/>
        <v>1</v>
      </c>
      <c r="Q256">
        <f t="shared" si="10"/>
        <v>1</v>
      </c>
      <c r="R256">
        <f t="shared" si="11"/>
        <v>1</v>
      </c>
      <c r="S256" s="10" t="str" cm="1">
        <f t="array" ref="S256">_xlfn.IFS(N256="", "", N256&gt;=9,"Promoter", N256&gt;=7,"Passive", N256&lt;=6,"Detractor")</f>
        <v>Detractor</v>
      </c>
    </row>
    <row r="257" spans="1:19" ht="14.25" customHeight="1">
      <c r="A257" s="3" t="s">
        <v>288</v>
      </c>
      <c r="B257" s="3" t="s">
        <v>26</v>
      </c>
      <c r="C257" s="3" t="s">
        <v>21</v>
      </c>
      <c r="D257" s="4">
        <v>45960</v>
      </c>
      <c r="E257" s="4">
        <v>45964</v>
      </c>
      <c r="F257" s="4">
        <v>45968</v>
      </c>
      <c r="G257" s="4">
        <v>45973</v>
      </c>
      <c r="H257" s="3" t="s">
        <v>28</v>
      </c>
      <c r="I257" s="3" t="s">
        <v>31</v>
      </c>
      <c r="K257" s="3">
        <v>4</v>
      </c>
      <c r="L257" s="3">
        <v>4</v>
      </c>
      <c r="M257" s="3">
        <v>5</v>
      </c>
      <c r="O257">
        <v>1</v>
      </c>
      <c r="P257">
        <f t="shared" si="9"/>
        <v>1</v>
      </c>
      <c r="Q257">
        <f t="shared" si="10"/>
        <v>1</v>
      </c>
      <c r="R257">
        <f t="shared" si="11"/>
        <v>0</v>
      </c>
      <c r="S257" s="10" t="str" cm="1">
        <f t="array" ref="S257">_xlfn.IFS(N257="", "", N257&gt;=9,"Promoter", N257&gt;=7,"Passive", N257&lt;=6,"Detractor")</f>
        <v/>
      </c>
    </row>
    <row r="258" spans="1:19" ht="14.25" customHeight="1">
      <c r="A258" s="3" t="s">
        <v>289</v>
      </c>
      <c r="B258" s="3" t="s">
        <v>37</v>
      </c>
      <c r="C258" s="3" t="s">
        <v>21</v>
      </c>
      <c r="D258" s="4">
        <v>45939</v>
      </c>
      <c r="E258" s="4">
        <v>45944</v>
      </c>
      <c r="F258" s="4">
        <v>45947</v>
      </c>
      <c r="G258" s="4">
        <v>45952</v>
      </c>
      <c r="H258" s="3" t="s">
        <v>22</v>
      </c>
      <c r="J258" s="4">
        <v>45977</v>
      </c>
      <c r="K258" s="3">
        <v>5</v>
      </c>
      <c r="L258" s="3">
        <v>3</v>
      </c>
      <c r="M258" s="3">
        <v>5</v>
      </c>
      <c r="N258" s="3">
        <v>3</v>
      </c>
      <c r="O258">
        <v>1</v>
      </c>
      <c r="P258">
        <f t="shared" si="9"/>
        <v>1</v>
      </c>
      <c r="Q258">
        <f t="shared" si="10"/>
        <v>1</v>
      </c>
      <c r="R258">
        <f t="shared" si="11"/>
        <v>1</v>
      </c>
      <c r="S258" s="10" t="str" cm="1">
        <f t="array" ref="S258">_xlfn.IFS(N258="", "", N258&gt;=9,"Promoter", N258&gt;=7,"Passive", N258&lt;=6,"Detractor")</f>
        <v>Detractor</v>
      </c>
    </row>
    <row r="259" spans="1:19" ht="14.25" customHeight="1">
      <c r="A259" s="3" t="s">
        <v>290</v>
      </c>
      <c r="B259" s="3" t="s">
        <v>20</v>
      </c>
      <c r="C259" s="3" t="s">
        <v>27</v>
      </c>
      <c r="D259" s="4">
        <v>45956</v>
      </c>
      <c r="H259" s="3" t="s">
        <v>28</v>
      </c>
      <c r="I259" s="3" t="s">
        <v>68</v>
      </c>
      <c r="O259">
        <v>1</v>
      </c>
      <c r="P259">
        <f t="shared" ref="P259:P322" si="12">IF(E259&lt;&gt;"", 1, 0)</f>
        <v>0</v>
      </c>
      <c r="Q259">
        <f t="shared" ref="Q259:Q322" si="13">IF(G259&lt;&gt;"",1,0)</f>
        <v>0</v>
      </c>
      <c r="R259">
        <f t="shared" ref="R259:R322" si="14">IF(AND(G259&lt;&gt;"", H259="No"), 1, 0)</f>
        <v>0</v>
      </c>
      <c r="S259" s="10" t="str" cm="1">
        <f t="array" ref="S259">_xlfn.IFS(N259="", "", N259&gt;=9,"Promoter", N259&gt;=7,"Passive", N259&lt;=6,"Detractor")</f>
        <v/>
      </c>
    </row>
    <row r="260" spans="1:19" ht="14.25" customHeight="1">
      <c r="A260" s="3" t="s">
        <v>291</v>
      </c>
      <c r="B260" s="3" t="s">
        <v>24</v>
      </c>
      <c r="C260" s="3" t="s">
        <v>35</v>
      </c>
      <c r="D260" s="4">
        <v>45956</v>
      </c>
      <c r="E260" s="4">
        <v>45961</v>
      </c>
      <c r="F260" s="4">
        <v>45963</v>
      </c>
      <c r="G260" s="4">
        <v>45966</v>
      </c>
      <c r="H260" s="3" t="s">
        <v>28</v>
      </c>
      <c r="I260" s="3" t="s">
        <v>68</v>
      </c>
      <c r="K260" s="3">
        <v>5</v>
      </c>
      <c r="L260" s="3">
        <v>2</v>
      </c>
      <c r="M260" s="3">
        <v>3</v>
      </c>
      <c r="O260">
        <v>1</v>
      </c>
      <c r="P260">
        <f t="shared" si="12"/>
        <v>1</v>
      </c>
      <c r="Q260">
        <f t="shared" si="13"/>
        <v>1</v>
      </c>
      <c r="R260">
        <f t="shared" si="14"/>
        <v>0</v>
      </c>
      <c r="S260" s="10" t="str" cm="1">
        <f t="array" ref="S260">_xlfn.IFS(N260="", "", N260&gt;=9,"Promoter", N260&gt;=7,"Passive", N260&lt;=6,"Detractor")</f>
        <v/>
      </c>
    </row>
    <row r="261" spans="1:19" ht="14.25" customHeight="1">
      <c r="A261" s="3" t="s">
        <v>292</v>
      </c>
      <c r="B261" s="3" t="s">
        <v>24</v>
      </c>
      <c r="C261" s="3" t="s">
        <v>21</v>
      </c>
      <c r="D261" s="4">
        <v>45951</v>
      </c>
      <c r="E261" s="4">
        <v>45954</v>
      </c>
      <c r="F261" s="4">
        <v>45958</v>
      </c>
      <c r="G261" s="4">
        <v>45964</v>
      </c>
      <c r="H261" s="3" t="s">
        <v>22</v>
      </c>
      <c r="J261" s="4">
        <v>45982</v>
      </c>
      <c r="K261" s="3">
        <v>3</v>
      </c>
      <c r="L261" s="3">
        <v>4</v>
      </c>
      <c r="M261" s="3">
        <v>6</v>
      </c>
      <c r="N261" s="3">
        <v>4</v>
      </c>
      <c r="O261">
        <v>1</v>
      </c>
      <c r="P261">
        <f t="shared" si="12"/>
        <v>1</v>
      </c>
      <c r="Q261">
        <f t="shared" si="13"/>
        <v>1</v>
      </c>
      <c r="R261">
        <f t="shared" si="14"/>
        <v>1</v>
      </c>
      <c r="S261" s="10" t="str" cm="1">
        <f t="array" ref="S261">_xlfn.IFS(N261="", "", N261&gt;=9,"Promoter", N261&gt;=7,"Passive", N261&lt;=6,"Detractor")</f>
        <v>Detractor</v>
      </c>
    </row>
    <row r="262" spans="1:19" ht="14.25" customHeight="1">
      <c r="A262" s="3" t="s">
        <v>293</v>
      </c>
      <c r="B262" s="3" t="s">
        <v>24</v>
      </c>
      <c r="C262" s="3" t="s">
        <v>21</v>
      </c>
      <c r="D262" s="4">
        <v>45949</v>
      </c>
      <c r="E262" s="4">
        <v>45952</v>
      </c>
      <c r="F262" s="4">
        <v>45957</v>
      </c>
      <c r="G262" s="4">
        <v>45964</v>
      </c>
      <c r="H262" s="3" t="s">
        <v>22</v>
      </c>
      <c r="J262" s="4">
        <v>45976</v>
      </c>
      <c r="K262" s="3">
        <v>3</v>
      </c>
      <c r="L262" s="3">
        <v>5</v>
      </c>
      <c r="M262" s="3">
        <v>7</v>
      </c>
      <c r="N262" s="3">
        <v>2</v>
      </c>
      <c r="O262">
        <v>1</v>
      </c>
      <c r="P262">
        <f t="shared" si="12"/>
        <v>1</v>
      </c>
      <c r="Q262">
        <f t="shared" si="13"/>
        <v>1</v>
      </c>
      <c r="R262">
        <f t="shared" si="14"/>
        <v>1</v>
      </c>
      <c r="S262" s="10" t="str" cm="1">
        <f t="array" ref="S262">_xlfn.IFS(N262="", "", N262&gt;=9,"Promoter", N262&gt;=7,"Passive", N262&lt;=6,"Detractor")</f>
        <v>Detractor</v>
      </c>
    </row>
    <row r="263" spans="1:19" ht="14.25" customHeight="1">
      <c r="A263" s="3" t="s">
        <v>294</v>
      </c>
      <c r="B263" s="3" t="s">
        <v>26</v>
      </c>
      <c r="C263" s="3" t="s">
        <v>21</v>
      </c>
      <c r="D263" s="4">
        <v>45952</v>
      </c>
      <c r="E263" s="4">
        <v>45954</v>
      </c>
      <c r="F263" s="4">
        <v>45957</v>
      </c>
      <c r="G263" s="4">
        <v>45961</v>
      </c>
      <c r="H263" s="3" t="s">
        <v>22</v>
      </c>
      <c r="J263" s="4">
        <v>45991</v>
      </c>
      <c r="K263" s="3">
        <v>2</v>
      </c>
      <c r="L263" s="3">
        <v>3</v>
      </c>
      <c r="M263" s="3">
        <v>4</v>
      </c>
      <c r="N263" s="3">
        <v>9</v>
      </c>
      <c r="O263">
        <v>1</v>
      </c>
      <c r="P263">
        <f t="shared" si="12"/>
        <v>1</v>
      </c>
      <c r="Q263">
        <f t="shared" si="13"/>
        <v>1</v>
      </c>
      <c r="R263">
        <f t="shared" si="14"/>
        <v>1</v>
      </c>
      <c r="S263" s="10" t="str" cm="1">
        <f t="array" ref="S263">_xlfn.IFS(N263="", "", N263&gt;=9,"Promoter", N263&gt;=7,"Passive", N263&lt;=6,"Detractor")</f>
        <v>Promoter</v>
      </c>
    </row>
    <row r="264" spans="1:19" ht="14.25" customHeight="1">
      <c r="A264" s="3" t="s">
        <v>295</v>
      </c>
      <c r="B264" s="3" t="s">
        <v>26</v>
      </c>
      <c r="C264" s="3" t="s">
        <v>27</v>
      </c>
      <c r="D264" s="4">
        <v>45956</v>
      </c>
      <c r="H264" s="3" t="s">
        <v>28</v>
      </c>
      <c r="I264" s="3" t="s">
        <v>29</v>
      </c>
      <c r="O264">
        <v>1</v>
      </c>
      <c r="P264">
        <f t="shared" si="12"/>
        <v>0</v>
      </c>
      <c r="Q264">
        <f t="shared" si="13"/>
        <v>0</v>
      </c>
      <c r="R264">
        <f t="shared" si="14"/>
        <v>0</v>
      </c>
      <c r="S264" s="10" t="str" cm="1">
        <f t="array" ref="S264">_xlfn.IFS(N264="", "", N264&gt;=9,"Promoter", N264&gt;=7,"Passive", N264&lt;=6,"Detractor")</f>
        <v/>
      </c>
    </row>
    <row r="265" spans="1:19" ht="14.25" customHeight="1">
      <c r="A265" s="3" t="s">
        <v>296</v>
      </c>
      <c r="B265" s="3" t="s">
        <v>26</v>
      </c>
      <c r="C265" s="3" t="s">
        <v>21</v>
      </c>
      <c r="D265" s="4">
        <v>45960</v>
      </c>
      <c r="E265" s="4">
        <v>45964</v>
      </c>
      <c r="F265" s="4">
        <v>45965</v>
      </c>
      <c r="G265" s="4">
        <v>45972</v>
      </c>
      <c r="H265" s="3" t="s">
        <v>22</v>
      </c>
      <c r="J265" s="4">
        <v>45999</v>
      </c>
      <c r="K265" s="3">
        <v>4</v>
      </c>
      <c r="L265" s="3">
        <v>1</v>
      </c>
      <c r="M265" s="3">
        <v>7</v>
      </c>
      <c r="N265" s="3">
        <v>5</v>
      </c>
      <c r="O265">
        <v>1</v>
      </c>
      <c r="P265">
        <f t="shared" si="12"/>
        <v>1</v>
      </c>
      <c r="Q265">
        <f t="shared" si="13"/>
        <v>1</v>
      </c>
      <c r="R265">
        <f t="shared" si="14"/>
        <v>1</v>
      </c>
      <c r="S265" s="10" t="str" cm="1">
        <f t="array" ref="S265">_xlfn.IFS(N265="", "", N265&gt;=9,"Promoter", N265&gt;=7,"Passive", N265&lt;=6,"Detractor")</f>
        <v>Detractor</v>
      </c>
    </row>
    <row r="266" spans="1:19" ht="14.25" customHeight="1">
      <c r="A266" s="3" t="s">
        <v>297</v>
      </c>
      <c r="B266" s="3" t="s">
        <v>37</v>
      </c>
      <c r="C266" s="3" t="s">
        <v>21</v>
      </c>
      <c r="D266" s="4">
        <v>45937</v>
      </c>
      <c r="E266" s="4">
        <v>45938</v>
      </c>
      <c r="F266" s="4">
        <v>45941</v>
      </c>
      <c r="G266" s="4">
        <v>45946</v>
      </c>
      <c r="H266" s="3" t="s">
        <v>22</v>
      </c>
      <c r="J266" s="4">
        <v>45968</v>
      </c>
      <c r="K266" s="3">
        <v>1</v>
      </c>
      <c r="L266" s="3">
        <v>3</v>
      </c>
      <c r="M266" s="3">
        <v>5</v>
      </c>
      <c r="N266" s="3">
        <v>7</v>
      </c>
      <c r="O266">
        <v>1</v>
      </c>
      <c r="P266">
        <f t="shared" si="12"/>
        <v>1</v>
      </c>
      <c r="Q266">
        <f t="shared" si="13"/>
        <v>1</v>
      </c>
      <c r="R266">
        <f t="shared" si="14"/>
        <v>1</v>
      </c>
      <c r="S266" s="10" t="str" cm="1">
        <f t="array" ref="S266">_xlfn.IFS(N266="", "", N266&gt;=9,"Promoter", N266&gt;=7,"Passive", N266&lt;=6,"Detractor")</f>
        <v>Passive</v>
      </c>
    </row>
    <row r="267" spans="1:19" ht="14.25" customHeight="1">
      <c r="A267" s="3" t="s">
        <v>298</v>
      </c>
      <c r="B267" s="3" t="s">
        <v>20</v>
      </c>
      <c r="C267" s="3" t="s">
        <v>21</v>
      </c>
      <c r="D267" s="4">
        <v>45944</v>
      </c>
      <c r="E267" s="4">
        <v>45948</v>
      </c>
      <c r="F267" s="4">
        <v>45951</v>
      </c>
      <c r="G267" s="4">
        <v>45956</v>
      </c>
      <c r="H267" s="3" t="s">
        <v>22</v>
      </c>
      <c r="J267" s="4">
        <v>45971</v>
      </c>
      <c r="K267" s="3">
        <v>4</v>
      </c>
      <c r="L267" s="3">
        <v>3</v>
      </c>
      <c r="M267" s="3">
        <v>5</v>
      </c>
      <c r="N267" s="3">
        <v>5</v>
      </c>
      <c r="O267">
        <v>1</v>
      </c>
      <c r="P267">
        <f t="shared" si="12"/>
        <v>1</v>
      </c>
      <c r="Q267">
        <f t="shared" si="13"/>
        <v>1</v>
      </c>
      <c r="R267">
        <f t="shared" si="14"/>
        <v>1</v>
      </c>
      <c r="S267" s="10" t="str" cm="1">
        <f t="array" ref="S267">_xlfn.IFS(N267="", "", N267&gt;=9,"Promoter", N267&gt;=7,"Passive", N267&lt;=6,"Detractor")</f>
        <v>Detractor</v>
      </c>
    </row>
    <row r="268" spans="1:19" ht="14.25" customHeight="1">
      <c r="A268" s="3" t="s">
        <v>299</v>
      </c>
      <c r="B268" s="3" t="s">
        <v>26</v>
      </c>
      <c r="C268" s="3" t="s">
        <v>27</v>
      </c>
      <c r="D268" s="4">
        <v>45934</v>
      </c>
      <c r="H268" s="3" t="s">
        <v>28</v>
      </c>
      <c r="I268" s="3" t="s">
        <v>38</v>
      </c>
      <c r="O268">
        <v>1</v>
      </c>
      <c r="P268">
        <f t="shared" si="12"/>
        <v>0</v>
      </c>
      <c r="Q268">
        <f t="shared" si="13"/>
        <v>0</v>
      </c>
      <c r="R268">
        <f t="shared" si="14"/>
        <v>0</v>
      </c>
      <c r="S268" s="10" t="str" cm="1">
        <f t="array" ref="S268">_xlfn.IFS(N268="", "", N268&gt;=9,"Promoter", N268&gt;=7,"Passive", N268&lt;=6,"Detractor")</f>
        <v/>
      </c>
    </row>
    <row r="269" spans="1:19" ht="14.25" customHeight="1">
      <c r="A269" s="3" t="s">
        <v>300</v>
      </c>
      <c r="B269" s="3" t="s">
        <v>20</v>
      </c>
      <c r="C269" s="3" t="s">
        <v>27</v>
      </c>
      <c r="D269" s="4">
        <v>45948</v>
      </c>
      <c r="H269" s="3" t="s">
        <v>28</v>
      </c>
      <c r="I269" s="3" t="s">
        <v>31</v>
      </c>
      <c r="O269">
        <v>1</v>
      </c>
      <c r="P269">
        <f t="shared" si="12"/>
        <v>0</v>
      </c>
      <c r="Q269">
        <f t="shared" si="13"/>
        <v>0</v>
      </c>
      <c r="R269">
        <f t="shared" si="14"/>
        <v>0</v>
      </c>
      <c r="S269" s="10" t="str" cm="1">
        <f t="array" ref="S269">_xlfn.IFS(N269="", "", N269&gt;=9,"Promoter", N269&gt;=7,"Passive", N269&lt;=6,"Detractor")</f>
        <v/>
      </c>
    </row>
    <row r="270" spans="1:19" ht="14.25" customHeight="1">
      <c r="A270" s="3" t="s">
        <v>301</v>
      </c>
      <c r="B270" s="3" t="s">
        <v>37</v>
      </c>
      <c r="C270" s="3" t="s">
        <v>21</v>
      </c>
      <c r="D270" s="4">
        <v>45938</v>
      </c>
      <c r="E270" s="4">
        <v>45942</v>
      </c>
      <c r="F270" s="4">
        <v>45947</v>
      </c>
      <c r="G270" s="4">
        <v>45952</v>
      </c>
      <c r="H270" s="3" t="s">
        <v>22</v>
      </c>
      <c r="J270" s="4">
        <v>45973</v>
      </c>
      <c r="K270" s="3">
        <v>4</v>
      </c>
      <c r="L270" s="3">
        <v>5</v>
      </c>
      <c r="M270" s="3">
        <v>5</v>
      </c>
      <c r="N270" s="3">
        <v>6</v>
      </c>
      <c r="O270">
        <v>1</v>
      </c>
      <c r="P270">
        <f t="shared" si="12"/>
        <v>1</v>
      </c>
      <c r="Q270">
        <f t="shared" si="13"/>
        <v>1</v>
      </c>
      <c r="R270">
        <f t="shared" si="14"/>
        <v>1</v>
      </c>
      <c r="S270" s="10" t="str" cm="1">
        <f t="array" ref="S270">_xlfn.IFS(N270="", "", N270&gt;=9,"Promoter", N270&gt;=7,"Passive", N270&lt;=6,"Detractor")</f>
        <v>Detractor</v>
      </c>
    </row>
    <row r="271" spans="1:19" ht="14.25" customHeight="1">
      <c r="A271" s="3" t="s">
        <v>302</v>
      </c>
      <c r="B271" s="3" t="s">
        <v>24</v>
      </c>
      <c r="C271" s="3" t="s">
        <v>21</v>
      </c>
      <c r="D271" s="4">
        <v>45951</v>
      </c>
      <c r="E271" s="4">
        <v>45954</v>
      </c>
      <c r="F271" s="4">
        <v>45956</v>
      </c>
      <c r="G271" s="4">
        <v>45958</v>
      </c>
      <c r="H271" s="3" t="s">
        <v>22</v>
      </c>
      <c r="J271" s="4">
        <v>45980</v>
      </c>
      <c r="K271" s="3">
        <v>3</v>
      </c>
      <c r="L271" s="3">
        <v>2</v>
      </c>
      <c r="M271" s="3">
        <v>2</v>
      </c>
      <c r="N271" s="3">
        <v>1</v>
      </c>
      <c r="O271">
        <v>1</v>
      </c>
      <c r="P271">
        <f t="shared" si="12"/>
        <v>1</v>
      </c>
      <c r="Q271">
        <f t="shared" si="13"/>
        <v>1</v>
      </c>
      <c r="R271">
        <f t="shared" si="14"/>
        <v>1</v>
      </c>
      <c r="S271" s="10" t="str" cm="1">
        <f t="array" ref="S271">_xlfn.IFS(N271="", "", N271&gt;=9,"Promoter", N271&gt;=7,"Passive", N271&lt;=6,"Detractor")</f>
        <v>Detractor</v>
      </c>
    </row>
    <row r="272" spans="1:19" ht="14.25" customHeight="1">
      <c r="A272" s="3" t="s">
        <v>303</v>
      </c>
      <c r="B272" s="3" t="s">
        <v>26</v>
      </c>
      <c r="C272" s="3" t="s">
        <v>35</v>
      </c>
      <c r="D272" s="4">
        <v>45935</v>
      </c>
      <c r="E272" s="4">
        <v>45938</v>
      </c>
      <c r="F272" s="4">
        <v>45940</v>
      </c>
      <c r="G272" s="4">
        <v>45947</v>
      </c>
      <c r="H272" s="3" t="s">
        <v>22</v>
      </c>
      <c r="J272" s="4">
        <v>45968</v>
      </c>
      <c r="K272" s="3">
        <v>3</v>
      </c>
      <c r="L272" s="3">
        <v>2</v>
      </c>
      <c r="M272" s="3">
        <v>7</v>
      </c>
      <c r="N272" s="3">
        <v>5</v>
      </c>
      <c r="O272">
        <v>1</v>
      </c>
      <c r="P272">
        <f t="shared" si="12"/>
        <v>1</v>
      </c>
      <c r="Q272">
        <f t="shared" si="13"/>
        <v>1</v>
      </c>
      <c r="R272">
        <f t="shared" si="14"/>
        <v>1</v>
      </c>
      <c r="S272" s="10" t="str" cm="1">
        <f t="array" ref="S272">_xlfn.IFS(N272="", "", N272&gt;=9,"Promoter", N272&gt;=7,"Passive", N272&lt;=6,"Detractor")</f>
        <v>Detractor</v>
      </c>
    </row>
    <row r="273" spans="1:19" ht="14.25" customHeight="1">
      <c r="A273" s="3" t="s">
        <v>304</v>
      </c>
      <c r="B273" s="3" t="s">
        <v>20</v>
      </c>
      <c r="C273" s="3" t="s">
        <v>35</v>
      </c>
      <c r="D273" s="4">
        <v>45960</v>
      </c>
      <c r="E273" s="4">
        <v>45965</v>
      </c>
      <c r="F273" s="4">
        <v>45967</v>
      </c>
      <c r="G273" s="4">
        <v>45969</v>
      </c>
      <c r="H273" s="3" t="s">
        <v>22</v>
      </c>
      <c r="J273" s="4">
        <v>45984</v>
      </c>
      <c r="K273" s="3">
        <v>5</v>
      </c>
      <c r="L273" s="3">
        <v>2</v>
      </c>
      <c r="M273" s="3">
        <v>2</v>
      </c>
      <c r="N273" s="3">
        <v>6</v>
      </c>
      <c r="O273">
        <v>1</v>
      </c>
      <c r="P273">
        <f t="shared" si="12"/>
        <v>1</v>
      </c>
      <c r="Q273">
        <f t="shared" si="13"/>
        <v>1</v>
      </c>
      <c r="R273">
        <f t="shared" si="14"/>
        <v>1</v>
      </c>
      <c r="S273" s="10" t="str" cm="1">
        <f t="array" ref="S273">_xlfn.IFS(N273="", "", N273&gt;=9,"Promoter", N273&gt;=7,"Passive", N273&lt;=6,"Detractor")</f>
        <v>Detractor</v>
      </c>
    </row>
    <row r="274" spans="1:19" ht="14.25" customHeight="1">
      <c r="A274" s="3" t="s">
        <v>305</v>
      </c>
      <c r="B274" s="3" t="s">
        <v>20</v>
      </c>
      <c r="C274" s="3" t="s">
        <v>21</v>
      </c>
      <c r="D274" s="4">
        <v>45939</v>
      </c>
      <c r="E274" s="4">
        <v>45940</v>
      </c>
      <c r="F274" s="4">
        <v>45944</v>
      </c>
      <c r="G274" s="4">
        <v>45949</v>
      </c>
      <c r="H274" s="3" t="s">
        <v>22</v>
      </c>
      <c r="J274" s="4">
        <v>45973</v>
      </c>
      <c r="K274" s="3">
        <v>1</v>
      </c>
      <c r="L274" s="3">
        <v>4</v>
      </c>
      <c r="M274" s="3">
        <v>5</v>
      </c>
      <c r="N274" s="3">
        <v>9</v>
      </c>
      <c r="O274">
        <v>1</v>
      </c>
      <c r="P274">
        <f t="shared" si="12"/>
        <v>1</v>
      </c>
      <c r="Q274">
        <f t="shared" si="13"/>
        <v>1</v>
      </c>
      <c r="R274">
        <f t="shared" si="14"/>
        <v>1</v>
      </c>
      <c r="S274" s="10" t="str" cm="1">
        <f t="array" ref="S274">_xlfn.IFS(N274="", "", N274&gt;=9,"Promoter", N274&gt;=7,"Passive", N274&lt;=6,"Detractor")</f>
        <v>Promoter</v>
      </c>
    </row>
    <row r="275" spans="1:19" ht="14.25" customHeight="1">
      <c r="A275" s="3" t="s">
        <v>306</v>
      </c>
      <c r="B275" s="3" t="s">
        <v>26</v>
      </c>
      <c r="C275" s="3" t="s">
        <v>35</v>
      </c>
      <c r="D275" s="4">
        <v>45957</v>
      </c>
      <c r="E275" s="4">
        <v>45960</v>
      </c>
      <c r="F275" s="4">
        <v>45962</v>
      </c>
      <c r="G275" s="4">
        <v>45968</v>
      </c>
      <c r="H275" s="3" t="s">
        <v>22</v>
      </c>
      <c r="J275" s="4">
        <v>45979</v>
      </c>
      <c r="K275" s="3">
        <v>3</v>
      </c>
      <c r="L275" s="3">
        <v>2</v>
      </c>
      <c r="M275" s="3">
        <v>6</v>
      </c>
      <c r="N275" s="3">
        <v>2</v>
      </c>
      <c r="O275">
        <v>1</v>
      </c>
      <c r="P275">
        <f t="shared" si="12"/>
        <v>1</v>
      </c>
      <c r="Q275">
        <f t="shared" si="13"/>
        <v>1</v>
      </c>
      <c r="R275">
        <f t="shared" si="14"/>
        <v>1</v>
      </c>
      <c r="S275" s="10" t="str" cm="1">
        <f t="array" ref="S275">_xlfn.IFS(N275="", "", N275&gt;=9,"Promoter", N275&gt;=7,"Passive", N275&lt;=6,"Detractor")</f>
        <v>Detractor</v>
      </c>
    </row>
    <row r="276" spans="1:19" ht="14.25" customHeight="1">
      <c r="A276" s="3" t="s">
        <v>307</v>
      </c>
      <c r="B276" s="3" t="s">
        <v>24</v>
      </c>
      <c r="C276" s="3" t="s">
        <v>21</v>
      </c>
      <c r="D276" s="4">
        <v>45935</v>
      </c>
      <c r="E276" s="4">
        <v>45940</v>
      </c>
      <c r="F276" s="4">
        <v>45944</v>
      </c>
      <c r="G276" s="4">
        <v>45951</v>
      </c>
      <c r="H276" s="3" t="s">
        <v>22</v>
      </c>
      <c r="J276" s="4">
        <v>45969</v>
      </c>
      <c r="K276" s="3">
        <v>5</v>
      </c>
      <c r="L276" s="3">
        <v>4</v>
      </c>
      <c r="M276" s="3">
        <v>7</v>
      </c>
      <c r="N276" s="3">
        <v>3</v>
      </c>
      <c r="O276">
        <v>1</v>
      </c>
      <c r="P276">
        <f t="shared" si="12"/>
        <v>1</v>
      </c>
      <c r="Q276">
        <f t="shared" si="13"/>
        <v>1</v>
      </c>
      <c r="R276">
        <f t="shared" si="14"/>
        <v>1</v>
      </c>
      <c r="S276" s="10" t="str" cm="1">
        <f t="array" ref="S276">_xlfn.IFS(N276="", "", N276&gt;=9,"Promoter", N276&gt;=7,"Passive", N276&lt;=6,"Detractor")</f>
        <v>Detractor</v>
      </c>
    </row>
    <row r="277" spans="1:19" ht="14.25" customHeight="1">
      <c r="A277" s="3" t="s">
        <v>308</v>
      </c>
      <c r="B277" s="3" t="s">
        <v>24</v>
      </c>
      <c r="C277" s="3" t="s">
        <v>35</v>
      </c>
      <c r="D277" s="4">
        <v>45933</v>
      </c>
      <c r="E277" s="4">
        <v>45934</v>
      </c>
      <c r="F277" s="4">
        <v>45939</v>
      </c>
      <c r="G277" s="4">
        <v>45943</v>
      </c>
      <c r="H277" s="3" t="s">
        <v>22</v>
      </c>
      <c r="J277" s="4">
        <v>45967</v>
      </c>
      <c r="K277" s="3">
        <v>1</v>
      </c>
      <c r="L277" s="3">
        <v>5</v>
      </c>
      <c r="M277" s="3">
        <v>4</v>
      </c>
      <c r="N277" s="3">
        <v>10</v>
      </c>
      <c r="O277">
        <v>1</v>
      </c>
      <c r="P277">
        <f t="shared" si="12"/>
        <v>1</v>
      </c>
      <c r="Q277">
        <f t="shared" si="13"/>
        <v>1</v>
      </c>
      <c r="R277">
        <f t="shared" si="14"/>
        <v>1</v>
      </c>
      <c r="S277" s="10" t="str" cm="1">
        <f t="array" ref="S277">_xlfn.IFS(N277="", "", N277&gt;=9,"Promoter", N277&gt;=7,"Passive", N277&lt;=6,"Detractor")</f>
        <v>Promoter</v>
      </c>
    </row>
    <row r="278" spans="1:19" ht="14.25" customHeight="1">
      <c r="A278" s="3" t="s">
        <v>309</v>
      </c>
      <c r="B278" s="3" t="s">
        <v>24</v>
      </c>
      <c r="C278" s="3" t="s">
        <v>21</v>
      </c>
      <c r="D278" s="4">
        <v>45932</v>
      </c>
      <c r="E278" s="4">
        <v>45935</v>
      </c>
      <c r="F278" s="4">
        <v>45938</v>
      </c>
      <c r="G278" s="4">
        <v>45945</v>
      </c>
      <c r="H278" s="3" t="s">
        <v>22</v>
      </c>
      <c r="J278" s="4">
        <v>45969</v>
      </c>
      <c r="K278" s="3">
        <v>3</v>
      </c>
      <c r="L278" s="3">
        <v>3</v>
      </c>
      <c r="M278" s="3">
        <v>7</v>
      </c>
      <c r="N278" s="3">
        <v>8</v>
      </c>
      <c r="O278">
        <v>1</v>
      </c>
      <c r="P278">
        <f t="shared" si="12"/>
        <v>1</v>
      </c>
      <c r="Q278">
        <f t="shared" si="13"/>
        <v>1</v>
      </c>
      <c r="R278">
        <f t="shared" si="14"/>
        <v>1</v>
      </c>
      <c r="S278" s="10" t="str" cm="1">
        <f t="array" ref="S278">_xlfn.IFS(N278="", "", N278&gt;=9,"Promoter", N278&gt;=7,"Passive", N278&lt;=6,"Detractor")</f>
        <v>Passive</v>
      </c>
    </row>
    <row r="279" spans="1:19" ht="14.25" customHeight="1">
      <c r="A279" s="3" t="s">
        <v>310</v>
      </c>
      <c r="B279" s="3" t="s">
        <v>37</v>
      </c>
      <c r="C279" s="3" t="s">
        <v>21</v>
      </c>
      <c r="D279" s="4">
        <v>45936</v>
      </c>
      <c r="E279" s="4">
        <v>45940</v>
      </c>
      <c r="F279" s="4">
        <v>45944</v>
      </c>
      <c r="G279" s="4">
        <v>45948</v>
      </c>
      <c r="H279" s="3" t="s">
        <v>22</v>
      </c>
      <c r="J279" s="4">
        <v>45966</v>
      </c>
      <c r="K279" s="3">
        <v>4</v>
      </c>
      <c r="L279" s="3">
        <v>4</v>
      </c>
      <c r="M279" s="3">
        <v>4</v>
      </c>
      <c r="N279" s="3">
        <v>1</v>
      </c>
      <c r="O279">
        <v>1</v>
      </c>
      <c r="P279">
        <f t="shared" si="12"/>
        <v>1</v>
      </c>
      <c r="Q279">
        <f t="shared" si="13"/>
        <v>1</v>
      </c>
      <c r="R279">
        <f t="shared" si="14"/>
        <v>1</v>
      </c>
      <c r="S279" s="10" t="str" cm="1">
        <f t="array" ref="S279">_xlfn.IFS(N279="", "", N279&gt;=9,"Promoter", N279&gt;=7,"Passive", N279&lt;=6,"Detractor")</f>
        <v>Detractor</v>
      </c>
    </row>
    <row r="280" spans="1:19" ht="14.25" customHeight="1">
      <c r="A280" s="3" t="s">
        <v>311</v>
      </c>
      <c r="B280" s="3" t="s">
        <v>20</v>
      </c>
      <c r="C280" s="3" t="s">
        <v>27</v>
      </c>
      <c r="D280" s="4">
        <v>45956</v>
      </c>
      <c r="H280" s="3" t="s">
        <v>28</v>
      </c>
      <c r="I280" s="3" t="s">
        <v>29</v>
      </c>
      <c r="O280">
        <v>1</v>
      </c>
      <c r="P280">
        <f t="shared" si="12"/>
        <v>0</v>
      </c>
      <c r="Q280">
        <f t="shared" si="13"/>
        <v>0</v>
      </c>
      <c r="R280">
        <f t="shared" si="14"/>
        <v>0</v>
      </c>
      <c r="S280" s="10" t="str" cm="1">
        <f t="array" ref="S280">_xlfn.IFS(N280="", "", N280&gt;=9,"Promoter", N280&gt;=7,"Passive", N280&lt;=6,"Detractor")</f>
        <v/>
      </c>
    </row>
    <row r="281" spans="1:19" ht="14.25" customHeight="1">
      <c r="A281" s="3" t="s">
        <v>312</v>
      </c>
      <c r="B281" s="3" t="s">
        <v>20</v>
      </c>
      <c r="C281" s="3" t="s">
        <v>35</v>
      </c>
      <c r="D281" s="4">
        <v>45940</v>
      </c>
      <c r="E281" s="4">
        <v>45944</v>
      </c>
      <c r="F281" s="4">
        <v>45949</v>
      </c>
      <c r="G281" s="4">
        <v>45954</v>
      </c>
      <c r="H281" s="3" t="s">
        <v>28</v>
      </c>
      <c r="I281" s="3" t="s">
        <v>29</v>
      </c>
      <c r="K281" s="3">
        <v>4</v>
      </c>
      <c r="L281" s="3">
        <v>5</v>
      </c>
      <c r="M281" s="3">
        <v>5</v>
      </c>
      <c r="O281">
        <v>1</v>
      </c>
      <c r="P281">
        <f t="shared" si="12"/>
        <v>1</v>
      </c>
      <c r="Q281">
        <f t="shared" si="13"/>
        <v>1</v>
      </c>
      <c r="R281">
        <f t="shared" si="14"/>
        <v>0</v>
      </c>
      <c r="S281" s="10" t="str" cm="1">
        <f t="array" ref="S281">_xlfn.IFS(N281="", "", N281&gt;=9,"Promoter", N281&gt;=7,"Passive", N281&lt;=6,"Detractor")</f>
        <v/>
      </c>
    </row>
    <row r="282" spans="1:19" ht="14.25" customHeight="1">
      <c r="A282" s="3" t="s">
        <v>313</v>
      </c>
      <c r="B282" s="3" t="s">
        <v>20</v>
      </c>
      <c r="C282" s="3" t="s">
        <v>21</v>
      </c>
      <c r="D282" s="4">
        <v>45950</v>
      </c>
      <c r="E282" s="4">
        <v>45951</v>
      </c>
      <c r="F282" s="4">
        <v>45955</v>
      </c>
      <c r="G282" s="4">
        <v>45960</v>
      </c>
      <c r="H282" s="3" t="s">
        <v>22</v>
      </c>
      <c r="J282" s="4">
        <v>45977</v>
      </c>
      <c r="K282" s="3">
        <v>1</v>
      </c>
      <c r="L282" s="3">
        <v>4</v>
      </c>
      <c r="M282" s="3">
        <v>5</v>
      </c>
      <c r="N282" s="3">
        <v>8</v>
      </c>
      <c r="O282">
        <v>1</v>
      </c>
      <c r="P282">
        <f t="shared" si="12"/>
        <v>1</v>
      </c>
      <c r="Q282">
        <f t="shared" si="13"/>
        <v>1</v>
      </c>
      <c r="R282">
        <f t="shared" si="14"/>
        <v>1</v>
      </c>
      <c r="S282" s="10" t="str" cm="1">
        <f t="array" ref="S282">_xlfn.IFS(N282="", "", N282&gt;=9,"Promoter", N282&gt;=7,"Passive", N282&lt;=6,"Detractor")</f>
        <v>Passive</v>
      </c>
    </row>
    <row r="283" spans="1:19" ht="14.25" customHeight="1">
      <c r="A283" s="3" t="s">
        <v>314</v>
      </c>
      <c r="B283" s="3" t="s">
        <v>37</v>
      </c>
      <c r="C283" s="3" t="s">
        <v>27</v>
      </c>
      <c r="D283" s="4">
        <v>45954</v>
      </c>
      <c r="H283" s="3" t="s">
        <v>28</v>
      </c>
      <c r="I283" s="3" t="s">
        <v>38</v>
      </c>
      <c r="O283">
        <v>1</v>
      </c>
      <c r="P283">
        <f t="shared" si="12"/>
        <v>0</v>
      </c>
      <c r="Q283">
        <f t="shared" si="13"/>
        <v>0</v>
      </c>
      <c r="R283">
        <f t="shared" si="14"/>
        <v>0</v>
      </c>
      <c r="S283" s="10" t="str" cm="1">
        <f t="array" ref="S283">_xlfn.IFS(N283="", "", N283&gt;=9,"Promoter", N283&gt;=7,"Passive", N283&lt;=6,"Detractor")</f>
        <v/>
      </c>
    </row>
    <row r="284" spans="1:19" ht="14.25" customHeight="1">
      <c r="A284" s="3" t="s">
        <v>315</v>
      </c>
      <c r="B284" s="3" t="s">
        <v>20</v>
      </c>
      <c r="C284" s="3" t="s">
        <v>35</v>
      </c>
      <c r="D284" s="4">
        <v>45957</v>
      </c>
      <c r="E284" s="4">
        <v>45958</v>
      </c>
      <c r="F284" s="4">
        <v>45963</v>
      </c>
      <c r="G284" s="4">
        <v>45967</v>
      </c>
      <c r="H284" s="3" t="s">
        <v>28</v>
      </c>
      <c r="I284" s="3" t="s">
        <v>31</v>
      </c>
      <c r="K284" s="3">
        <v>1</v>
      </c>
      <c r="L284" s="3">
        <v>5</v>
      </c>
      <c r="M284" s="3">
        <v>4</v>
      </c>
      <c r="O284">
        <v>1</v>
      </c>
      <c r="P284">
        <f t="shared" si="12"/>
        <v>1</v>
      </c>
      <c r="Q284">
        <f t="shared" si="13"/>
        <v>1</v>
      </c>
      <c r="R284">
        <f t="shared" si="14"/>
        <v>0</v>
      </c>
      <c r="S284" s="10" t="str" cm="1">
        <f t="array" ref="S284">_xlfn.IFS(N284="", "", N284&gt;=9,"Promoter", N284&gt;=7,"Passive", N284&lt;=6,"Detractor")</f>
        <v/>
      </c>
    </row>
    <row r="285" spans="1:19" ht="14.25" customHeight="1">
      <c r="A285" s="3" t="s">
        <v>316</v>
      </c>
      <c r="B285" s="3" t="s">
        <v>37</v>
      </c>
      <c r="C285" s="3" t="s">
        <v>27</v>
      </c>
      <c r="D285" s="4">
        <v>45949</v>
      </c>
      <c r="H285" s="3" t="s">
        <v>28</v>
      </c>
      <c r="I285" s="3" t="s">
        <v>38</v>
      </c>
      <c r="O285">
        <v>1</v>
      </c>
      <c r="P285">
        <f t="shared" si="12"/>
        <v>0</v>
      </c>
      <c r="Q285">
        <f t="shared" si="13"/>
        <v>0</v>
      </c>
      <c r="R285">
        <f t="shared" si="14"/>
        <v>0</v>
      </c>
      <c r="S285" s="10" t="str" cm="1">
        <f t="array" ref="S285">_xlfn.IFS(N285="", "", N285&gt;=9,"Promoter", N285&gt;=7,"Passive", N285&lt;=6,"Detractor")</f>
        <v/>
      </c>
    </row>
    <row r="286" spans="1:19" ht="14.25" customHeight="1">
      <c r="A286" s="3" t="s">
        <v>317</v>
      </c>
      <c r="B286" s="3" t="s">
        <v>24</v>
      </c>
      <c r="C286" s="3" t="s">
        <v>21</v>
      </c>
      <c r="D286" s="4">
        <v>45960</v>
      </c>
      <c r="E286" s="4">
        <v>45963</v>
      </c>
      <c r="F286" s="4">
        <v>45965</v>
      </c>
      <c r="G286" s="4">
        <v>45971</v>
      </c>
      <c r="H286" s="3" t="s">
        <v>22</v>
      </c>
      <c r="J286" s="4">
        <v>45989</v>
      </c>
      <c r="K286" s="3">
        <v>3</v>
      </c>
      <c r="L286" s="3">
        <v>2</v>
      </c>
      <c r="M286" s="3">
        <v>6</v>
      </c>
      <c r="N286" s="3">
        <v>4</v>
      </c>
      <c r="O286">
        <v>1</v>
      </c>
      <c r="P286">
        <f t="shared" si="12"/>
        <v>1</v>
      </c>
      <c r="Q286">
        <f t="shared" si="13"/>
        <v>1</v>
      </c>
      <c r="R286">
        <f t="shared" si="14"/>
        <v>1</v>
      </c>
      <c r="S286" s="10" t="str" cm="1">
        <f t="array" ref="S286">_xlfn.IFS(N286="", "", N286&gt;=9,"Promoter", N286&gt;=7,"Passive", N286&lt;=6,"Detractor")</f>
        <v>Detractor</v>
      </c>
    </row>
    <row r="287" spans="1:19" ht="14.25" customHeight="1">
      <c r="A287" s="3" t="s">
        <v>318</v>
      </c>
      <c r="B287" s="3" t="s">
        <v>26</v>
      </c>
      <c r="C287" s="3" t="s">
        <v>21</v>
      </c>
      <c r="D287" s="4">
        <v>45940</v>
      </c>
      <c r="E287" s="4">
        <v>45943</v>
      </c>
      <c r="F287" s="4">
        <v>45945</v>
      </c>
      <c r="G287" s="4">
        <v>45947</v>
      </c>
      <c r="H287" s="3" t="s">
        <v>22</v>
      </c>
      <c r="J287" s="4">
        <v>45975</v>
      </c>
      <c r="K287" s="3">
        <v>3</v>
      </c>
      <c r="L287" s="3">
        <v>2</v>
      </c>
      <c r="M287" s="3">
        <v>2</v>
      </c>
      <c r="N287" s="3">
        <v>9</v>
      </c>
      <c r="O287">
        <v>1</v>
      </c>
      <c r="P287">
        <f t="shared" si="12"/>
        <v>1</v>
      </c>
      <c r="Q287">
        <f t="shared" si="13"/>
        <v>1</v>
      </c>
      <c r="R287">
        <f t="shared" si="14"/>
        <v>1</v>
      </c>
      <c r="S287" s="10" t="str" cm="1">
        <f t="array" ref="S287">_xlfn.IFS(N287="", "", N287&gt;=9,"Promoter", N287&gt;=7,"Passive", N287&lt;=6,"Detractor")</f>
        <v>Promoter</v>
      </c>
    </row>
    <row r="288" spans="1:19" ht="14.25" customHeight="1">
      <c r="A288" s="3" t="s">
        <v>319</v>
      </c>
      <c r="B288" s="3" t="s">
        <v>20</v>
      </c>
      <c r="C288" s="3" t="s">
        <v>27</v>
      </c>
      <c r="D288" s="4">
        <v>45945</v>
      </c>
      <c r="H288" s="3" t="s">
        <v>28</v>
      </c>
      <c r="I288" s="3" t="s">
        <v>31</v>
      </c>
      <c r="O288">
        <v>1</v>
      </c>
      <c r="P288">
        <f t="shared" si="12"/>
        <v>0</v>
      </c>
      <c r="Q288">
        <f t="shared" si="13"/>
        <v>0</v>
      </c>
      <c r="R288">
        <f t="shared" si="14"/>
        <v>0</v>
      </c>
      <c r="S288" s="10" t="str" cm="1">
        <f t="array" ref="S288">_xlfn.IFS(N288="", "", N288&gt;=9,"Promoter", N288&gt;=7,"Passive", N288&lt;=6,"Detractor")</f>
        <v/>
      </c>
    </row>
    <row r="289" spans="1:19" ht="14.25" customHeight="1">
      <c r="A289" s="3" t="s">
        <v>320</v>
      </c>
      <c r="B289" s="3" t="s">
        <v>20</v>
      </c>
      <c r="C289" s="3" t="s">
        <v>35</v>
      </c>
      <c r="D289" s="4">
        <v>45934</v>
      </c>
      <c r="E289" s="4">
        <v>45935</v>
      </c>
      <c r="F289" s="4">
        <v>45940</v>
      </c>
      <c r="G289" s="4">
        <v>45947</v>
      </c>
      <c r="H289" s="3" t="s">
        <v>22</v>
      </c>
      <c r="J289" s="4">
        <v>45958</v>
      </c>
      <c r="K289" s="3">
        <v>1</v>
      </c>
      <c r="L289" s="3">
        <v>5</v>
      </c>
      <c r="M289" s="3">
        <v>7</v>
      </c>
      <c r="N289" s="3">
        <v>2</v>
      </c>
      <c r="O289">
        <v>1</v>
      </c>
      <c r="P289">
        <f t="shared" si="12"/>
        <v>1</v>
      </c>
      <c r="Q289">
        <f t="shared" si="13"/>
        <v>1</v>
      </c>
      <c r="R289">
        <f t="shared" si="14"/>
        <v>1</v>
      </c>
      <c r="S289" s="10" t="str" cm="1">
        <f t="array" ref="S289">_xlfn.IFS(N289="", "", N289&gt;=9,"Promoter", N289&gt;=7,"Passive", N289&lt;=6,"Detractor")</f>
        <v>Detractor</v>
      </c>
    </row>
    <row r="290" spans="1:19" ht="14.25" customHeight="1">
      <c r="A290" s="3" t="s">
        <v>321</v>
      </c>
      <c r="B290" s="3" t="s">
        <v>24</v>
      </c>
      <c r="C290" s="3" t="s">
        <v>21</v>
      </c>
      <c r="D290" s="4">
        <v>45945</v>
      </c>
      <c r="E290" s="4">
        <v>45946</v>
      </c>
      <c r="F290" s="4">
        <v>45947</v>
      </c>
      <c r="G290" s="4">
        <v>45949</v>
      </c>
      <c r="H290" s="3" t="s">
        <v>28</v>
      </c>
      <c r="I290" s="3" t="s">
        <v>38</v>
      </c>
      <c r="K290" s="3">
        <v>1</v>
      </c>
      <c r="L290" s="3">
        <v>1</v>
      </c>
      <c r="M290" s="3">
        <v>2</v>
      </c>
      <c r="O290">
        <v>1</v>
      </c>
      <c r="P290">
        <f t="shared" si="12"/>
        <v>1</v>
      </c>
      <c r="Q290">
        <f t="shared" si="13"/>
        <v>1</v>
      </c>
      <c r="R290">
        <f t="shared" si="14"/>
        <v>0</v>
      </c>
      <c r="S290" s="10" t="str" cm="1">
        <f t="array" ref="S290">_xlfn.IFS(N290="", "", N290&gt;=9,"Promoter", N290&gt;=7,"Passive", N290&lt;=6,"Detractor")</f>
        <v/>
      </c>
    </row>
    <row r="291" spans="1:19" ht="14.25" customHeight="1">
      <c r="A291" s="3" t="s">
        <v>322</v>
      </c>
      <c r="B291" s="3" t="s">
        <v>26</v>
      </c>
      <c r="C291" s="3" t="s">
        <v>27</v>
      </c>
      <c r="D291" s="4">
        <v>45953</v>
      </c>
      <c r="H291" s="3" t="s">
        <v>28</v>
      </c>
      <c r="I291" s="3" t="s">
        <v>29</v>
      </c>
      <c r="O291">
        <v>1</v>
      </c>
      <c r="P291">
        <f t="shared" si="12"/>
        <v>0</v>
      </c>
      <c r="Q291">
        <f t="shared" si="13"/>
        <v>0</v>
      </c>
      <c r="R291">
        <f t="shared" si="14"/>
        <v>0</v>
      </c>
      <c r="S291" s="10" t="str" cm="1">
        <f t="array" ref="S291">_xlfn.IFS(N291="", "", N291&gt;=9,"Promoter", N291&gt;=7,"Passive", N291&lt;=6,"Detractor")</f>
        <v/>
      </c>
    </row>
    <row r="292" spans="1:19" ht="14.25" customHeight="1">
      <c r="A292" s="3" t="s">
        <v>323</v>
      </c>
      <c r="B292" s="3" t="s">
        <v>37</v>
      </c>
      <c r="C292" s="3" t="s">
        <v>35</v>
      </c>
      <c r="D292" s="4">
        <v>45940</v>
      </c>
      <c r="E292" s="4">
        <v>45945</v>
      </c>
      <c r="F292" s="4">
        <v>45950</v>
      </c>
      <c r="G292" s="4">
        <v>45957</v>
      </c>
      <c r="H292" s="3" t="s">
        <v>22</v>
      </c>
      <c r="J292" s="4">
        <v>45971</v>
      </c>
      <c r="K292" s="3">
        <v>5</v>
      </c>
      <c r="L292" s="3">
        <v>5</v>
      </c>
      <c r="M292" s="3">
        <v>7</v>
      </c>
      <c r="N292" s="3">
        <v>4</v>
      </c>
      <c r="O292">
        <v>1</v>
      </c>
      <c r="P292">
        <f t="shared" si="12"/>
        <v>1</v>
      </c>
      <c r="Q292">
        <f t="shared" si="13"/>
        <v>1</v>
      </c>
      <c r="R292">
        <f t="shared" si="14"/>
        <v>1</v>
      </c>
      <c r="S292" s="10" t="str" cm="1">
        <f t="array" ref="S292">_xlfn.IFS(N292="", "", N292&gt;=9,"Promoter", N292&gt;=7,"Passive", N292&lt;=6,"Detractor")</f>
        <v>Detractor</v>
      </c>
    </row>
    <row r="293" spans="1:19" ht="14.25" customHeight="1">
      <c r="A293" s="3" t="s">
        <v>324</v>
      </c>
      <c r="B293" s="3" t="s">
        <v>26</v>
      </c>
      <c r="C293" s="3" t="s">
        <v>21</v>
      </c>
      <c r="D293" s="4">
        <v>45953</v>
      </c>
      <c r="E293" s="4">
        <v>45958</v>
      </c>
      <c r="F293" s="4">
        <v>45962</v>
      </c>
      <c r="G293" s="4">
        <v>45967</v>
      </c>
      <c r="H293" s="3" t="s">
        <v>22</v>
      </c>
      <c r="J293" s="4">
        <v>45980</v>
      </c>
      <c r="K293" s="3">
        <v>5</v>
      </c>
      <c r="L293" s="3">
        <v>4</v>
      </c>
      <c r="M293" s="3">
        <v>5</v>
      </c>
      <c r="N293" s="3">
        <v>1</v>
      </c>
      <c r="O293">
        <v>1</v>
      </c>
      <c r="P293">
        <f t="shared" si="12"/>
        <v>1</v>
      </c>
      <c r="Q293">
        <f t="shared" si="13"/>
        <v>1</v>
      </c>
      <c r="R293">
        <f t="shared" si="14"/>
        <v>1</v>
      </c>
      <c r="S293" s="10" t="str" cm="1">
        <f t="array" ref="S293">_xlfn.IFS(N293="", "", N293&gt;=9,"Promoter", N293&gt;=7,"Passive", N293&lt;=6,"Detractor")</f>
        <v>Detractor</v>
      </c>
    </row>
    <row r="294" spans="1:19" ht="14.25" customHeight="1">
      <c r="A294" s="3" t="s">
        <v>325</v>
      </c>
      <c r="B294" s="3" t="s">
        <v>24</v>
      </c>
      <c r="C294" s="3" t="s">
        <v>27</v>
      </c>
      <c r="D294" s="4">
        <v>45943</v>
      </c>
      <c r="H294" s="3" t="s">
        <v>28</v>
      </c>
      <c r="I294" s="3" t="s">
        <v>29</v>
      </c>
      <c r="O294">
        <v>1</v>
      </c>
      <c r="P294">
        <f t="shared" si="12"/>
        <v>0</v>
      </c>
      <c r="Q294">
        <f t="shared" si="13"/>
        <v>0</v>
      </c>
      <c r="R294">
        <f t="shared" si="14"/>
        <v>0</v>
      </c>
      <c r="S294" s="10" t="str" cm="1">
        <f t="array" ref="S294">_xlfn.IFS(N294="", "", N294&gt;=9,"Promoter", N294&gt;=7,"Passive", N294&lt;=6,"Detractor")</f>
        <v/>
      </c>
    </row>
    <row r="295" spans="1:19" ht="14.25" customHeight="1">
      <c r="A295" s="3" t="s">
        <v>326</v>
      </c>
      <c r="B295" s="3" t="s">
        <v>24</v>
      </c>
      <c r="C295" s="3" t="s">
        <v>35</v>
      </c>
      <c r="D295" s="4">
        <v>45961</v>
      </c>
      <c r="E295" s="4">
        <v>45966</v>
      </c>
      <c r="F295" s="4">
        <v>45971</v>
      </c>
      <c r="G295" s="4">
        <v>45978</v>
      </c>
      <c r="H295" s="3" t="s">
        <v>22</v>
      </c>
      <c r="J295" s="4">
        <v>45990</v>
      </c>
      <c r="K295" s="3">
        <v>5</v>
      </c>
      <c r="L295" s="3">
        <v>5</v>
      </c>
      <c r="M295" s="3">
        <v>7</v>
      </c>
      <c r="N295" s="3">
        <v>6</v>
      </c>
      <c r="O295">
        <v>1</v>
      </c>
      <c r="P295">
        <f t="shared" si="12"/>
        <v>1</v>
      </c>
      <c r="Q295">
        <f t="shared" si="13"/>
        <v>1</v>
      </c>
      <c r="R295">
        <f t="shared" si="14"/>
        <v>1</v>
      </c>
      <c r="S295" s="10" t="str" cm="1">
        <f t="array" ref="S295">_xlfn.IFS(N295="", "", N295&gt;=9,"Promoter", N295&gt;=7,"Passive", N295&lt;=6,"Detractor")</f>
        <v>Detractor</v>
      </c>
    </row>
    <row r="296" spans="1:19" ht="14.25" customHeight="1">
      <c r="A296" s="3" t="s">
        <v>327</v>
      </c>
      <c r="B296" s="3" t="s">
        <v>26</v>
      </c>
      <c r="C296" s="3" t="s">
        <v>27</v>
      </c>
      <c r="D296" s="4">
        <v>45939</v>
      </c>
      <c r="H296" s="3" t="s">
        <v>28</v>
      </c>
      <c r="I296" s="3" t="s">
        <v>106</v>
      </c>
      <c r="O296">
        <v>1</v>
      </c>
      <c r="P296">
        <f t="shared" si="12"/>
        <v>0</v>
      </c>
      <c r="Q296">
        <f t="shared" si="13"/>
        <v>0</v>
      </c>
      <c r="R296">
        <f t="shared" si="14"/>
        <v>0</v>
      </c>
      <c r="S296" s="10" t="str" cm="1">
        <f t="array" ref="S296">_xlfn.IFS(N296="", "", N296&gt;=9,"Promoter", N296&gt;=7,"Passive", N296&lt;=6,"Detractor")</f>
        <v/>
      </c>
    </row>
    <row r="297" spans="1:19" ht="14.25" customHeight="1">
      <c r="A297" s="3" t="s">
        <v>328</v>
      </c>
      <c r="B297" s="3" t="s">
        <v>37</v>
      </c>
      <c r="C297" s="3" t="s">
        <v>21</v>
      </c>
      <c r="D297" s="4">
        <v>45947</v>
      </c>
      <c r="E297" s="4">
        <v>45951</v>
      </c>
      <c r="F297" s="4">
        <v>45954</v>
      </c>
      <c r="G297" s="4">
        <v>45961</v>
      </c>
      <c r="H297" s="3" t="s">
        <v>28</v>
      </c>
      <c r="I297" s="3" t="s">
        <v>68</v>
      </c>
      <c r="K297" s="3">
        <v>4</v>
      </c>
      <c r="L297" s="3">
        <v>3</v>
      </c>
      <c r="M297" s="3">
        <v>7</v>
      </c>
      <c r="O297">
        <v>1</v>
      </c>
      <c r="P297">
        <f t="shared" si="12"/>
        <v>1</v>
      </c>
      <c r="Q297">
        <f t="shared" si="13"/>
        <v>1</v>
      </c>
      <c r="R297">
        <f t="shared" si="14"/>
        <v>0</v>
      </c>
      <c r="S297" s="10" t="str" cm="1">
        <f t="array" ref="S297">_xlfn.IFS(N297="", "", N297&gt;=9,"Promoter", N297&gt;=7,"Passive", N297&lt;=6,"Detractor")</f>
        <v/>
      </c>
    </row>
    <row r="298" spans="1:19" ht="14.25" customHeight="1">
      <c r="A298" s="3" t="s">
        <v>329</v>
      </c>
      <c r="B298" s="3" t="s">
        <v>37</v>
      </c>
      <c r="C298" s="3" t="s">
        <v>21</v>
      </c>
      <c r="D298" s="4">
        <v>45948</v>
      </c>
      <c r="E298" s="4">
        <v>45952</v>
      </c>
      <c r="F298" s="4">
        <v>45953</v>
      </c>
      <c r="G298" s="4">
        <v>45960</v>
      </c>
      <c r="H298" s="3" t="s">
        <v>22</v>
      </c>
      <c r="J298" s="4">
        <v>45981</v>
      </c>
      <c r="K298" s="3">
        <v>4</v>
      </c>
      <c r="L298" s="3">
        <v>1</v>
      </c>
      <c r="M298" s="3">
        <v>7</v>
      </c>
      <c r="N298" s="3">
        <v>6</v>
      </c>
      <c r="O298">
        <v>1</v>
      </c>
      <c r="P298">
        <f t="shared" si="12"/>
        <v>1</v>
      </c>
      <c r="Q298">
        <f t="shared" si="13"/>
        <v>1</v>
      </c>
      <c r="R298">
        <f t="shared" si="14"/>
        <v>1</v>
      </c>
      <c r="S298" s="10" t="str" cm="1">
        <f t="array" ref="S298">_xlfn.IFS(N298="", "", N298&gt;=9,"Promoter", N298&gt;=7,"Passive", N298&lt;=6,"Detractor")</f>
        <v>Detractor</v>
      </c>
    </row>
    <row r="299" spans="1:19" ht="14.25" customHeight="1">
      <c r="A299" s="3" t="s">
        <v>330</v>
      </c>
      <c r="B299" s="3" t="s">
        <v>20</v>
      </c>
      <c r="C299" s="3" t="s">
        <v>21</v>
      </c>
      <c r="D299" s="4">
        <v>45946</v>
      </c>
      <c r="E299" s="4">
        <v>45951</v>
      </c>
      <c r="F299" s="4">
        <v>45956</v>
      </c>
      <c r="G299" s="4">
        <v>45960</v>
      </c>
      <c r="H299" s="3" t="s">
        <v>22</v>
      </c>
      <c r="J299" s="4">
        <v>45987</v>
      </c>
      <c r="K299" s="3">
        <v>5</v>
      </c>
      <c r="L299" s="3">
        <v>5</v>
      </c>
      <c r="M299" s="3">
        <v>4</v>
      </c>
      <c r="N299" s="3">
        <v>10</v>
      </c>
      <c r="O299">
        <v>1</v>
      </c>
      <c r="P299">
        <f t="shared" si="12"/>
        <v>1</v>
      </c>
      <c r="Q299">
        <f t="shared" si="13"/>
        <v>1</v>
      </c>
      <c r="R299">
        <f t="shared" si="14"/>
        <v>1</v>
      </c>
      <c r="S299" s="10" t="str" cm="1">
        <f t="array" ref="S299">_xlfn.IFS(N299="", "", N299&gt;=9,"Promoter", N299&gt;=7,"Passive", N299&lt;=6,"Detractor")</f>
        <v>Promoter</v>
      </c>
    </row>
    <row r="300" spans="1:19" ht="14.25" customHeight="1">
      <c r="A300" s="3" t="s">
        <v>331</v>
      </c>
      <c r="B300" s="3" t="s">
        <v>37</v>
      </c>
      <c r="C300" s="3" t="s">
        <v>35</v>
      </c>
      <c r="D300" s="4">
        <v>45945</v>
      </c>
      <c r="E300" s="4">
        <v>45950</v>
      </c>
      <c r="F300" s="4">
        <v>45951</v>
      </c>
      <c r="G300" s="4">
        <v>45953</v>
      </c>
      <c r="H300" s="3" t="s">
        <v>22</v>
      </c>
      <c r="J300" s="4">
        <v>45976</v>
      </c>
      <c r="K300" s="3">
        <v>5</v>
      </c>
      <c r="L300" s="3">
        <v>1</v>
      </c>
      <c r="M300" s="3">
        <v>2</v>
      </c>
      <c r="N300" s="3">
        <v>10</v>
      </c>
      <c r="O300">
        <v>1</v>
      </c>
      <c r="P300">
        <f t="shared" si="12"/>
        <v>1</v>
      </c>
      <c r="Q300">
        <f t="shared" si="13"/>
        <v>1</v>
      </c>
      <c r="R300">
        <f t="shared" si="14"/>
        <v>1</v>
      </c>
      <c r="S300" s="10" t="str" cm="1">
        <f t="array" ref="S300">_xlfn.IFS(N300="", "", N300&gt;=9,"Promoter", N300&gt;=7,"Passive", N300&lt;=6,"Detractor")</f>
        <v>Promoter</v>
      </c>
    </row>
    <row r="301" spans="1:19" ht="14.25" customHeight="1">
      <c r="A301" s="3" t="s">
        <v>332</v>
      </c>
      <c r="B301" s="3" t="s">
        <v>26</v>
      </c>
      <c r="C301" s="3" t="s">
        <v>27</v>
      </c>
      <c r="D301" s="4">
        <v>45933</v>
      </c>
      <c r="H301" s="3" t="s">
        <v>28</v>
      </c>
      <c r="I301" s="3" t="s">
        <v>38</v>
      </c>
      <c r="O301">
        <v>1</v>
      </c>
      <c r="P301">
        <f t="shared" si="12"/>
        <v>0</v>
      </c>
      <c r="Q301">
        <f t="shared" si="13"/>
        <v>0</v>
      </c>
      <c r="R301">
        <f t="shared" si="14"/>
        <v>0</v>
      </c>
      <c r="S301" s="10" t="str" cm="1">
        <f t="array" ref="S301">_xlfn.IFS(N301="", "", N301&gt;=9,"Promoter", N301&gt;=7,"Passive", N301&lt;=6,"Detractor")</f>
        <v/>
      </c>
    </row>
    <row r="302" spans="1:19" ht="14.25" customHeight="1">
      <c r="A302" s="3" t="s">
        <v>333</v>
      </c>
      <c r="B302" s="3" t="s">
        <v>24</v>
      </c>
      <c r="C302" s="3" t="s">
        <v>27</v>
      </c>
      <c r="D302" s="4">
        <v>45950</v>
      </c>
      <c r="H302" s="3" t="s">
        <v>28</v>
      </c>
      <c r="I302" s="3" t="s">
        <v>106</v>
      </c>
      <c r="O302">
        <v>1</v>
      </c>
      <c r="P302">
        <f t="shared" si="12"/>
        <v>0</v>
      </c>
      <c r="Q302">
        <f t="shared" si="13"/>
        <v>0</v>
      </c>
      <c r="R302">
        <f t="shared" si="14"/>
        <v>0</v>
      </c>
      <c r="S302" s="10" t="str" cm="1">
        <f t="array" ref="S302">_xlfn.IFS(N302="", "", N302&gt;=9,"Promoter", N302&gt;=7,"Passive", N302&lt;=6,"Detractor")</f>
        <v/>
      </c>
    </row>
    <row r="303" spans="1:19" ht="14.25" customHeight="1">
      <c r="A303" s="3" t="s">
        <v>334</v>
      </c>
      <c r="B303" s="3" t="s">
        <v>20</v>
      </c>
      <c r="C303" s="3" t="s">
        <v>21</v>
      </c>
      <c r="D303" s="4">
        <v>45932</v>
      </c>
      <c r="E303" s="4">
        <v>45933</v>
      </c>
      <c r="F303" s="4">
        <v>45934</v>
      </c>
      <c r="G303" s="4">
        <v>45940</v>
      </c>
      <c r="H303" s="3" t="s">
        <v>22</v>
      </c>
      <c r="J303" s="4">
        <v>45968</v>
      </c>
      <c r="K303" s="3">
        <v>1</v>
      </c>
      <c r="L303" s="3">
        <v>1</v>
      </c>
      <c r="M303" s="3">
        <v>6</v>
      </c>
      <c r="N303" s="3">
        <v>8</v>
      </c>
      <c r="O303">
        <v>1</v>
      </c>
      <c r="P303">
        <f t="shared" si="12"/>
        <v>1</v>
      </c>
      <c r="Q303">
        <f t="shared" si="13"/>
        <v>1</v>
      </c>
      <c r="R303">
        <f t="shared" si="14"/>
        <v>1</v>
      </c>
      <c r="S303" s="10" t="str" cm="1">
        <f t="array" ref="S303">_xlfn.IFS(N303="", "", N303&gt;=9,"Promoter", N303&gt;=7,"Passive", N303&lt;=6,"Detractor")</f>
        <v>Passive</v>
      </c>
    </row>
    <row r="304" spans="1:19" ht="14.25" customHeight="1">
      <c r="A304" s="3" t="s">
        <v>335</v>
      </c>
      <c r="B304" s="3" t="s">
        <v>20</v>
      </c>
      <c r="C304" s="3" t="s">
        <v>21</v>
      </c>
      <c r="D304" s="4">
        <v>45959</v>
      </c>
      <c r="E304" s="4">
        <v>45963</v>
      </c>
      <c r="F304" s="4">
        <v>45968</v>
      </c>
      <c r="G304" s="4">
        <v>45973</v>
      </c>
      <c r="H304" s="3" t="s">
        <v>22</v>
      </c>
      <c r="J304" s="4">
        <v>45990</v>
      </c>
      <c r="K304" s="3">
        <v>4</v>
      </c>
      <c r="L304" s="3">
        <v>5</v>
      </c>
      <c r="M304" s="3">
        <v>5</v>
      </c>
      <c r="N304" s="3">
        <v>5</v>
      </c>
      <c r="O304">
        <v>1</v>
      </c>
      <c r="P304">
        <f t="shared" si="12"/>
        <v>1</v>
      </c>
      <c r="Q304">
        <f t="shared" si="13"/>
        <v>1</v>
      </c>
      <c r="R304">
        <f t="shared" si="14"/>
        <v>1</v>
      </c>
      <c r="S304" s="10" t="str" cm="1">
        <f t="array" ref="S304">_xlfn.IFS(N304="", "", N304&gt;=9,"Promoter", N304&gt;=7,"Passive", N304&lt;=6,"Detractor")</f>
        <v>Detractor</v>
      </c>
    </row>
    <row r="305" spans="1:19" ht="14.25" customHeight="1">
      <c r="A305" s="3" t="s">
        <v>336</v>
      </c>
      <c r="B305" s="3" t="s">
        <v>24</v>
      </c>
      <c r="C305" s="3" t="s">
        <v>21</v>
      </c>
      <c r="D305" s="4">
        <v>45944</v>
      </c>
      <c r="E305" s="4">
        <v>45949</v>
      </c>
      <c r="F305" s="4">
        <v>45954</v>
      </c>
      <c r="G305" s="4">
        <v>45957</v>
      </c>
      <c r="H305" s="3" t="s">
        <v>22</v>
      </c>
      <c r="J305" s="4">
        <v>45984</v>
      </c>
      <c r="K305" s="3">
        <v>5</v>
      </c>
      <c r="L305" s="3">
        <v>5</v>
      </c>
      <c r="M305" s="3">
        <v>3</v>
      </c>
      <c r="N305" s="3">
        <v>6</v>
      </c>
      <c r="O305">
        <v>1</v>
      </c>
      <c r="P305">
        <f t="shared" si="12"/>
        <v>1</v>
      </c>
      <c r="Q305">
        <f t="shared" si="13"/>
        <v>1</v>
      </c>
      <c r="R305">
        <f t="shared" si="14"/>
        <v>1</v>
      </c>
      <c r="S305" s="10" t="str" cm="1">
        <f t="array" ref="S305">_xlfn.IFS(N305="", "", N305&gt;=9,"Promoter", N305&gt;=7,"Passive", N305&lt;=6,"Detractor")</f>
        <v>Detractor</v>
      </c>
    </row>
    <row r="306" spans="1:19" ht="14.25" customHeight="1">
      <c r="A306" s="3" t="s">
        <v>337</v>
      </c>
      <c r="B306" s="3" t="s">
        <v>37</v>
      </c>
      <c r="C306" s="3" t="s">
        <v>21</v>
      </c>
      <c r="D306" s="4">
        <v>45954</v>
      </c>
      <c r="E306" s="4">
        <v>45956</v>
      </c>
      <c r="F306" s="4">
        <v>45958</v>
      </c>
      <c r="G306" s="4">
        <v>45963</v>
      </c>
      <c r="H306" s="3" t="s">
        <v>22</v>
      </c>
      <c r="J306" s="4">
        <v>45974</v>
      </c>
      <c r="K306" s="3">
        <v>2</v>
      </c>
      <c r="L306" s="3">
        <v>2</v>
      </c>
      <c r="M306" s="3">
        <v>5</v>
      </c>
      <c r="N306" s="3">
        <v>1</v>
      </c>
      <c r="O306">
        <v>1</v>
      </c>
      <c r="P306">
        <f t="shared" si="12"/>
        <v>1</v>
      </c>
      <c r="Q306">
        <f t="shared" si="13"/>
        <v>1</v>
      </c>
      <c r="R306">
        <f t="shared" si="14"/>
        <v>1</v>
      </c>
      <c r="S306" s="10" t="str" cm="1">
        <f t="array" ref="S306">_xlfn.IFS(N306="", "", N306&gt;=9,"Promoter", N306&gt;=7,"Passive", N306&lt;=6,"Detractor")</f>
        <v>Detractor</v>
      </c>
    </row>
    <row r="307" spans="1:19" ht="14.25" customHeight="1">
      <c r="A307" s="3" t="s">
        <v>338</v>
      </c>
      <c r="B307" s="3" t="s">
        <v>24</v>
      </c>
      <c r="C307" s="3" t="s">
        <v>21</v>
      </c>
      <c r="D307" s="4">
        <v>45941</v>
      </c>
      <c r="E307" s="4">
        <v>45944</v>
      </c>
      <c r="F307" s="4">
        <v>45949</v>
      </c>
      <c r="G307" s="4">
        <v>45952</v>
      </c>
      <c r="H307" s="3" t="s">
        <v>22</v>
      </c>
      <c r="J307" s="4">
        <v>45974</v>
      </c>
      <c r="K307" s="3">
        <v>3</v>
      </c>
      <c r="L307" s="3">
        <v>5</v>
      </c>
      <c r="M307" s="3">
        <v>3</v>
      </c>
      <c r="N307" s="3">
        <v>1</v>
      </c>
      <c r="O307">
        <v>1</v>
      </c>
      <c r="P307">
        <f t="shared" si="12"/>
        <v>1</v>
      </c>
      <c r="Q307">
        <f t="shared" si="13"/>
        <v>1</v>
      </c>
      <c r="R307">
        <f t="shared" si="14"/>
        <v>1</v>
      </c>
      <c r="S307" s="10" t="str" cm="1">
        <f t="array" ref="S307">_xlfn.IFS(N307="", "", N307&gt;=9,"Promoter", N307&gt;=7,"Passive", N307&lt;=6,"Detractor")</f>
        <v>Detractor</v>
      </c>
    </row>
    <row r="308" spans="1:19" ht="14.25" customHeight="1">
      <c r="A308" s="3" t="s">
        <v>339</v>
      </c>
      <c r="B308" s="3" t="s">
        <v>37</v>
      </c>
      <c r="C308" s="3" t="s">
        <v>21</v>
      </c>
      <c r="D308" s="4">
        <v>45950</v>
      </c>
      <c r="E308" s="4">
        <v>45955</v>
      </c>
      <c r="F308" s="4">
        <v>45960</v>
      </c>
      <c r="G308" s="4">
        <v>45965</v>
      </c>
      <c r="H308" s="3" t="s">
        <v>22</v>
      </c>
      <c r="J308" s="4">
        <v>45991</v>
      </c>
      <c r="K308" s="3">
        <v>5</v>
      </c>
      <c r="L308" s="3">
        <v>5</v>
      </c>
      <c r="M308" s="3">
        <v>5</v>
      </c>
      <c r="N308" s="3">
        <v>8</v>
      </c>
      <c r="O308">
        <v>1</v>
      </c>
      <c r="P308">
        <f t="shared" si="12"/>
        <v>1</v>
      </c>
      <c r="Q308">
        <f t="shared" si="13"/>
        <v>1</v>
      </c>
      <c r="R308">
        <f t="shared" si="14"/>
        <v>1</v>
      </c>
      <c r="S308" s="10" t="str" cm="1">
        <f t="array" ref="S308">_xlfn.IFS(N308="", "", N308&gt;=9,"Promoter", N308&gt;=7,"Passive", N308&lt;=6,"Detractor")</f>
        <v>Passive</v>
      </c>
    </row>
    <row r="309" spans="1:19" ht="14.25" customHeight="1">
      <c r="A309" s="3" t="s">
        <v>340</v>
      </c>
      <c r="B309" s="3" t="s">
        <v>24</v>
      </c>
      <c r="C309" s="3" t="s">
        <v>21</v>
      </c>
      <c r="D309" s="4">
        <v>45939</v>
      </c>
      <c r="E309" s="4">
        <v>45943</v>
      </c>
      <c r="F309" s="4">
        <v>45945</v>
      </c>
      <c r="G309" s="4">
        <v>45949</v>
      </c>
      <c r="H309" s="3" t="s">
        <v>22</v>
      </c>
      <c r="J309" s="4">
        <v>45972</v>
      </c>
      <c r="K309" s="3">
        <v>4</v>
      </c>
      <c r="L309" s="3">
        <v>2</v>
      </c>
      <c r="M309" s="3">
        <v>4</v>
      </c>
      <c r="N309" s="3">
        <v>9</v>
      </c>
      <c r="O309">
        <v>1</v>
      </c>
      <c r="P309">
        <f t="shared" si="12"/>
        <v>1</v>
      </c>
      <c r="Q309">
        <f t="shared" si="13"/>
        <v>1</v>
      </c>
      <c r="R309">
        <f t="shared" si="14"/>
        <v>1</v>
      </c>
      <c r="S309" s="10" t="str" cm="1">
        <f t="array" ref="S309">_xlfn.IFS(N309="", "", N309&gt;=9,"Promoter", N309&gt;=7,"Passive", N309&lt;=6,"Detractor")</f>
        <v>Promoter</v>
      </c>
    </row>
    <row r="310" spans="1:19" ht="14.25" customHeight="1">
      <c r="A310" s="3" t="s">
        <v>341</v>
      </c>
      <c r="B310" s="3" t="s">
        <v>26</v>
      </c>
      <c r="C310" s="3" t="s">
        <v>21</v>
      </c>
      <c r="D310" s="4">
        <v>45931</v>
      </c>
      <c r="E310" s="4">
        <v>45936</v>
      </c>
      <c r="F310" s="4">
        <v>45938</v>
      </c>
      <c r="G310" s="4">
        <v>45942</v>
      </c>
      <c r="H310" s="3" t="s">
        <v>22</v>
      </c>
      <c r="J310" s="4">
        <v>45969</v>
      </c>
      <c r="K310" s="3">
        <v>5</v>
      </c>
      <c r="L310" s="3">
        <v>2</v>
      </c>
      <c r="M310" s="3">
        <v>4</v>
      </c>
      <c r="N310" s="3">
        <v>6</v>
      </c>
      <c r="O310">
        <v>1</v>
      </c>
      <c r="P310">
        <f t="shared" si="12"/>
        <v>1</v>
      </c>
      <c r="Q310">
        <f t="shared" si="13"/>
        <v>1</v>
      </c>
      <c r="R310">
        <f t="shared" si="14"/>
        <v>1</v>
      </c>
      <c r="S310" s="10" t="str" cm="1">
        <f t="array" ref="S310">_xlfn.IFS(N310="", "", N310&gt;=9,"Promoter", N310&gt;=7,"Passive", N310&lt;=6,"Detractor")</f>
        <v>Detractor</v>
      </c>
    </row>
    <row r="311" spans="1:19" ht="14.25" customHeight="1">
      <c r="A311" s="3" t="s">
        <v>342</v>
      </c>
      <c r="B311" s="3" t="s">
        <v>37</v>
      </c>
      <c r="C311" s="3" t="s">
        <v>21</v>
      </c>
      <c r="D311" s="4">
        <v>45933</v>
      </c>
      <c r="E311" s="4">
        <v>45935</v>
      </c>
      <c r="F311" s="4">
        <v>45938</v>
      </c>
      <c r="G311" s="4">
        <v>45942</v>
      </c>
      <c r="H311" s="3" t="s">
        <v>22</v>
      </c>
      <c r="J311" s="4">
        <v>45967</v>
      </c>
      <c r="K311" s="3">
        <v>2</v>
      </c>
      <c r="L311" s="3">
        <v>3</v>
      </c>
      <c r="M311" s="3">
        <v>4</v>
      </c>
      <c r="N311" s="3">
        <v>5</v>
      </c>
      <c r="O311">
        <v>1</v>
      </c>
      <c r="P311">
        <f t="shared" si="12"/>
        <v>1</v>
      </c>
      <c r="Q311">
        <f t="shared" si="13"/>
        <v>1</v>
      </c>
      <c r="R311">
        <f t="shared" si="14"/>
        <v>1</v>
      </c>
      <c r="S311" s="10" t="str" cm="1">
        <f t="array" ref="S311">_xlfn.IFS(N311="", "", N311&gt;=9,"Promoter", N311&gt;=7,"Passive", N311&lt;=6,"Detractor")</f>
        <v>Detractor</v>
      </c>
    </row>
    <row r="312" spans="1:19" ht="14.25" customHeight="1">
      <c r="A312" s="3" t="s">
        <v>343</v>
      </c>
      <c r="B312" s="3" t="s">
        <v>26</v>
      </c>
      <c r="C312" s="3" t="s">
        <v>35</v>
      </c>
      <c r="D312" s="4">
        <v>45938</v>
      </c>
      <c r="E312" s="4">
        <v>45939</v>
      </c>
      <c r="F312" s="4">
        <v>45944</v>
      </c>
      <c r="G312" s="4">
        <v>45948</v>
      </c>
      <c r="H312" s="3" t="s">
        <v>22</v>
      </c>
      <c r="J312" s="4">
        <v>45976</v>
      </c>
      <c r="K312" s="3">
        <v>1</v>
      </c>
      <c r="L312" s="3">
        <v>5</v>
      </c>
      <c r="M312" s="3">
        <v>4</v>
      </c>
      <c r="N312" s="3">
        <v>3</v>
      </c>
      <c r="O312">
        <v>1</v>
      </c>
      <c r="P312">
        <f t="shared" si="12"/>
        <v>1</v>
      </c>
      <c r="Q312">
        <f t="shared" si="13"/>
        <v>1</v>
      </c>
      <c r="R312">
        <f t="shared" si="14"/>
        <v>1</v>
      </c>
      <c r="S312" s="10" t="str" cm="1">
        <f t="array" ref="S312">_xlfn.IFS(N312="", "", N312&gt;=9,"Promoter", N312&gt;=7,"Passive", N312&lt;=6,"Detractor")</f>
        <v>Detractor</v>
      </c>
    </row>
    <row r="313" spans="1:19" ht="14.25" customHeight="1">
      <c r="A313" s="3" t="s">
        <v>344</v>
      </c>
      <c r="B313" s="3" t="s">
        <v>20</v>
      </c>
      <c r="C313" s="3" t="s">
        <v>35</v>
      </c>
      <c r="D313" s="4">
        <v>45961</v>
      </c>
      <c r="E313" s="4">
        <v>45965</v>
      </c>
      <c r="F313" s="4">
        <v>45969</v>
      </c>
      <c r="G313" s="4">
        <v>45975</v>
      </c>
      <c r="H313" s="3" t="s">
        <v>22</v>
      </c>
      <c r="J313" s="4">
        <v>45992</v>
      </c>
      <c r="K313" s="3">
        <v>4</v>
      </c>
      <c r="L313" s="3">
        <v>4</v>
      </c>
      <c r="M313" s="3">
        <v>6</v>
      </c>
      <c r="N313" s="3">
        <v>6</v>
      </c>
      <c r="O313">
        <v>1</v>
      </c>
      <c r="P313">
        <f t="shared" si="12"/>
        <v>1</v>
      </c>
      <c r="Q313">
        <f t="shared" si="13"/>
        <v>1</v>
      </c>
      <c r="R313">
        <f t="shared" si="14"/>
        <v>1</v>
      </c>
      <c r="S313" s="10" t="str" cm="1">
        <f t="array" ref="S313">_xlfn.IFS(N313="", "", N313&gt;=9,"Promoter", N313&gt;=7,"Passive", N313&lt;=6,"Detractor")</f>
        <v>Detractor</v>
      </c>
    </row>
    <row r="314" spans="1:19" ht="14.25" customHeight="1">
      <c r="A314" s="3" t="s">
        <v>345</v>
      </c>
      <c r="B314" s="3" t="s">
        <v>24</v>
      </c>
      <c r="C314" s="3" t="s">
        <v>21</v>
      </c>
      <c r="D314" s="4">
        <v>45952</v>
      </c>
      <c r="E314" s="4">
        <v>45953</v>
      </c>
      <c r="F314" s="4">
        <v>45954</v>
      </c>
      <c r="G314" s="4">
        <v>45960</v>
      </c>
      <c r="H314" s="3" t="s">
        <v>22</v>
      </c>
      <c r="J314" s="4">
        <v>45985</v>
      </c>
      <c r="K314" s="3">
        <v>1</v>
      </c>
      <c r="L314" s="3">
        <v>1</v>
      </c>
      <c r="M314" s="3">
        <v>6</v>
      </c>
      <c r="N314" s="3">
        <v>6</v>
      </c>
      <c r="O314">
        <v>1</v>
      </c>
      <c r="P314">
        <f t="shared" si="12"/>
        <v>1</v>
      </c>
      <c r="Q314">
        <f t="shared" si="13"/>
        <v>1</v>
      </c>
      <c r="R314">
        <f t="shared" si="14"/>
        <v>1</v>
      </c>
      <c r="S314" s="10" t="str" cm="1">
        <f t="array" ref="S314">_xlfn.IFS(N314="", "", N314&gt;=9,"Promoter", N314&gt;=7,"Passive", N314&lt;=6,"Detractor")</f>
        <v>Detractor</v>
      </c>
    </row>
    <row r="315" spans="1:19" ht="14.25" customHeight="1">
      <c r="A315" s="3" t="s">
        <v>346</v>
      </c>
      <c r="B315" s="3" t="s">
        <v>20</v>
      </c>
      <c r="C315" s="3" t="s">
        <v>21</v>
      </c>
      <c r="D315" s="4">
        <v>45957</v>
      </c>
      <c r="E315" s="4">
        <v>45960</v>
      </c>
      <c r="F315" s="4">
        <v>45962</v>
      </c>
      <c r="G315" s="4">
        <v>45965</v>
      </c>
      <c r="H315" s="3" t="s">
        <v>22</v>
      </c>
      <c r="J315" s="4">
        <v>45984</v>
      </c>
      <c r="K315" s="3">
        <v>3</v>
      </c>
      <c r="L315" s="3">
        <v>2</v>
      </c>
      <c r="M315" s="3">
        <v>3</v>
      </c>
      <c r="N315" s="3">
        <v>6</v>
      </c>
      <c r="O315">
        <v>1</v>
      </c>
      <c r="P315">
        <f t="shared" si="12"/>
        <v>1</v>
      </c>
      <c r="Q315">
        <f t="shared" si="13"/>
        <v>1</v>
      </c>
      <c r="R315">
        <f t="shared" si="14"/>
        <v>1</v>
      </c>
      <c r="S315" s="10" t="str" cm="1">
        <f t="array" ref="S315">_xlfn.IFS(N315="", "", N315&gt;=9,"Promoter", N315&gt;=7,"Passive", N315&lt;=6,"Detractor")</f>
        <v>Detractor</v>
      </c>
    </row>
    <row r="316" spans="1:19" ht="14.25" customHeight="1">
      <c r="A316" s="3" t="s">
        <v>347</v>
      </c>
      <c r="B316" s="3" t="s">
        <v>20</v>
      </c>
      <c r="C316" s="3" t="s">
        <v>21</v>
      </c>
      <c r="D316" s="4">
        <v>45958</v>
      </c>
      <c r="E316" s="4">
        <v>45959</v>
      </c>
      <c r="F316" s="4">
        <v>45964</v>
      </c>
      <c r="G316" s="4">
        <v>45970</v>
      </c>
      <c r="H316" s="3" t="s">
        <v>22</v>
      </c>
      <c r="J316" s="4">
        <v>45982</v>
      </c>
      <c r="K316" s="3">
        <v>1</v>
      </c>
      <c r="L316" s="3">
        <v>5</v>
      </c>
      <c r="M316" s="3">
        <v>6</v>
      </c>
      <c r="N316" s="3">
        <v>4</v>
      </c>
      <c r="O316">
        <v>1</v>
      </c>
      <c r="P316">
        <f t="shared" si="12"/>
        <v>1</v>
      </c>
      <c r="Q316">
        <f t="shared" si="13"/>
        <v>1</v>
      </c>
      <c r="R316">
        <f t="shared" si="14"/>
        <v>1</v>
      </c>
      <c r="S316" s="10" t="str" cm="1">
        <f t="array" ref="S316">_xlfn.IFS(N316="", "", N316&gt;=9,"Promoter", N316&gt;=7,"Passive", N316&lt;=6,"Detractor")</f>
        <v>Detractor</v>
      </c>
    </row>
    <row r="317" spans="1:19" ht="14.25" customHeight="1">
      <c r="A317" s="3" t="s">
        <v>348</v>
      </c>
      <c r="B317" s="3" t="s">
        <v>20</v>
      </c>
      <c r="C317" s="3" t="s">
        <v>21</v>
      </c>
      <c r="D317" s="4">
        <v>45949</v>
      </c>
      <c r="E317" s="4">
        <v>45954</v>
      </c>
      <c r="F317" s="4">
        <v>45958</v>
      </c>
      <c r="G317" s="4">
        <v>45963</v>
      </c>
      <c r="H317" s="3" t="s">
        <v>22</v>
      </c>
      <c r="J317" s="4">
        <v>45985</v>
      </c>
      <c r="K317" s="3">
        <v>5</v>
      </c>
      <c r="L317" s="3">
        <v>4</v>
      </c>
      <c r="M317" s="3">
        <v>5</v>
      </c>
      <c r="N317" s="3">
        <v>5</v>
      </c>
      <c r="O317">
        <v>1</v>
      </c>
      <c r="P317">
        <f t="shared" si="12"/>
        <v>1</v>
      </c>
      <c r="Q317">
        <f t="shared" si="13"/>
        <v>1</v>
      </c>
      <c r="R317">
        <f t="shared" si="14"/>
        <v>1</v>
      </c>
      <c r="S317" s="10" t="str" cm="1">
        <f t="array" ref="S317">_xlfn.IFS(N317="", "", N317&gt;=9,"Promoter", N317&gt;=7,"Passive", N317&lt;=6,"Detractor")</f>
        <v>Detractor</v>
      </c>
    </row>
    <row r="318" spans="1:19" ht="14.25" customHeight="1">
      <c r="A318" s="3" t="s">
        <v>349</v>
      </c>
      <c r="B318" s="3" t="s">
        <v>20</v>
      </c>
      <c r="C318" s="3" t="s">
        <v>21</v>
      </c>
      <c r="D318" s="4">
        <v>45949</v>
      </c>
      <c r="E318" s="4">
        <v>45951</v>
      </c>
      <c r="F318" s="4">
        <v>45952</v>
      </c>
      <c r="G318" s="4">
        <v>45956</v>
      </c>
      <c r="H318" s="3" t="s">
        <v>22</v>
      </c>
      <c r="J318" s="4">
        <v>45967</v>
      </c>
      <c r="K318" s="3">
        <v>2</v>
      </c>
      <c r="L318" s="3">
        <v>1</v>
      </c>
      <c r="M318" s="3">
        <v>4</v>
      </c>
      <c r="N318" s="3">
        <v>9</v>
      </c>
      <c r="O318">
        <v>1</v>
      </c>
      <c r="P318">
        <f t="shared" si="12"/>
        <v>1</v>
      </c>
      <c r="Q318">
        <f t="shared" si="13"/>
        <v>1</v>
      </c>
      <c r="R318">
        <f t="shared" si="14"/>
        <v>1</v>
      </c>
      <c r="S318" s="10" t="str" cm="1">
        <f t="array" ref="S318">_xlfn.IFS(N318="", "", N318&gt;=9,"Promoter", N318&gt;=7,"Passive", N318&lt;=6,"Detractor")</f>
        <v>Promoter</v>
      </c>
    </row>
    <row r="319" spans="1:19" ht="14.25" customHeight="1">
      <c r="A319" s="3" t="s">
        <v>350</v>
      </c>
      <c r="B319" s="3" t="s">
        <v>24</v>
      </c>
      <c r="C319" s="3" t="s">
        <v>21</v>
      </c>
      <c r="D319" s="4">
        <v>45961</v>
      </c>
      <c r="E319" s="4">
        <v>45962</v>
      </c>
      <c r="F319" s="4">
        <v>45967</v>
      </c>
      <c r="G319" s="4">
        <v>45974</v>
      </c>
      <c r="H319" s="3" t="s">
        <v>28</v>
      </c>
      <c r="I319" s="3" t="s">
        <v>68</v>
      </c>
      <c r="K319" s="3">
        <v>1</v>
      </c>
      <c r="L319" s="3">
        <v>5</v>
      </c>
      <c r="M319" s="3">
        <v>7</v>
      </c>
      <c r="O319">
        <v>1</v>
      </c>
      <c r="P319">
        <f t="shared" si="12"/>
        <v>1</v>
      </c>
      <c r="Q319">
        <f t="shared" si="13"/>
        <v>1</v>
      </c>
      <c r="R319">
        <f t="shared" si="14"/>
        <v>0</v>
      </c>
      <c r="S319" s="10" t="str" cm="1">
        <f t="array" ref="S319">_xlfn.IFS(N319="", "", N319&gt;=9,"Promoter", N319&gt;=7,"Passive", N319&lt;=6,"Detractor")</f>
        <v/>
      </c>
    </row>
    <row r="320" spans="1:19" ht="14.25" customHeight="1">
      <c r="A320" s="3" t="s">
        <v>351</v>
      </c>
      <c r="B320" s="3" t="s">
        <v>20</v>
      </c>
      <c r="C320" s="3" t="s">
        <v>21</v>
      </c>
      <c r="D320" s="4">
        <v>45931</v>
      </c>
      <c r="E320" s="4">
        <v>45933</v>
      </c>
      <c r="F320" s="4">
        <v>45937</v>
      </c>
      <c r="G320" s="4">
        <v>45939</v>
      </c>
      <c r="H320" s="3" t="s">
        <v>22</v>
      </c>
      <c r="J320" s="4">
        <v>45965</v>
      </c>
      <c r="K320" s="3">
        <v>2</v>
      </c>
      <c r="L320" s="3">
        <v>4</v>
      </c>
      <c r="M320" s="3">
        <v>2</v>
      </c>
      <c r="N320" s="3">
        <v>6</v>
      </c>
      <c r="O320">
        <v>1</v>
      </c>
      <c r="P320">
        <f t="shared" si="12"/>
        <v>1</v>
      </c>
      <c r="Q320">
        <f t="shared" si="13"/>
        <v>1</v>
      </c>
      <c r="R320">
        <f t="shared" si="14"/>
        <v>1</v>
      </c>
      <c r="S320" s="10" t="str" cm="1">
        <f t="array" ref="S320">_xlfn.IFS(N320="", "", N320&gt;=9,"Promoter", N320&gt;=7,"Passive", N320&lt;=6,"Detractor")</f>
        <v>Detractor</v>
      </c>
    </row>
    <row r="321" spans="1:19" ht="14.25" customHeight="1">
      <c r="A321" s="3" t="s">
        <v>352</v>
      </c>
      <c r="B321" s="3" t="s">
        <v>24</v>
      </c>
      <c r="C321" s="3" t="s">
        <v>21</v>
      </c>
      <c r="D321" s="4">
        <v>45955</v>
      </c>
      <c r="E321" s="4">
        <v>45959</v>
      </c>
      <c r="F321" s="4">
        <v>45960</v>
      </c>
      <c r="G321" s="4">
        <v>45962</v>
      </c>
      <c r="H321" s="3" t="s">
        <v>28</v>
      </c>
      <c r="I321" s="3" t="s">
        <v>38</v>
      </c>
      <c r="K321" s="3">
        <v>4</v>
      </c>
      <c r="L321" s="3">
        <v>1</v>
      </c>
      <c r="M321" s="3">
        <v>2</v>
      </c>
      <c r="O321">
        <v>1</v>
      </c>
      <c r="P321">
        <f t="shared" si="12"/>
        <v>1</v>
      </c>
      <c r="Q321">
        <f t="shared" si="13"/>
        <v>1</v>
      </c>
      <c r="R321">
        <f t="shared" si="14"/>
        <v>0</v>
      </c>
      <c r="S321" s="10" t="str" cm="1">
        <f t="array" ref="S321">_xlfn.IFS(N321="", "", N321&gt;=9,"Promoter", N321&gt;=7,"Passive", N321&lt;=6,"Detractor")</f>
        <v/>
      </c>
    </row>
    <row r="322" spans="1:19" ht="14.25" customHeight="1">
      <c r="A322" s="3" t="s">
        <v>353</v>
      </c>
      <c r="B322" s="3" t="s">
        <v>24</v>
      </c>
      <c r="C322" s="3" t="s">
        <v>21</v>
      </c>
      <c r="D322" s="4">
        <v>45952</v>
      </c>
      <c r="E322" s="4">
        <v>45956</v>
      </c>
      <c r="F322" s="4">
        <v>45960</v>
      </c>
      <c r="G322" s="4">
        <v>45962</v>
      </c>
      <c r="H322" s="3" t="s">
        <v>22</v>
      </c>
      <c r="J322" s="4">
        <v>45990</v>
      </c>
      <c r="K322" s="3">
        <v>4</v>
      </c>
      <c r="L322" s="3">
        <v>4</v>
      </c>
      <c r="M322" s="3">
        <v>2</v>
      </c>
      <c r="N322" s="3">
        <v>4</v>
      </c>
      <c r="O322">
        <v>1</v>
      </c>
      <c r="P322">
        <f t="shared" si="12"/>
        <v>1</v>
      </c>
      <c r="Q322">
        <f t="shared" si="13"/>
        <v>1</v>
      </c>
      <c r="R322">
        <f t="shared" si="14"/>
        <v>1</v>
      </c>
      <c r="S322" s="10" t="str" cm="1">
        <f t="array" ref="S322">_xlfn.IFS(N322="", "", N322&gt;=9,"Promoter", N322&gt;=7,"Passive", N322&lt;=6,"Detractor")</f>
        <v>Detractor</v>
      </c>
    </row>
    <row r="323" spans="1:19" ht="14.25" customHeight="1">
      <c r="A323" s="3" t="s">
        <v>354</v>
      </c>
      <c r="B323" s="3" t="s">
        <v>26</v>
      </c>
      <c r="C323" s="3" t="s">
        <v>27</v>
      </c>
      <c r="D323" s="4">
        <v>45957</v>
      </c>
      <c r="H323" s="3" t="s">
        <v>28</v>
      </c>
      <c r="I323" s="3" t="s">
        <v>31</v>
      </c>
      <c r="O323">
        <v>1</v>
      </c>
      <c r="P323">
        <f t="shared" ref="P323:P386" si="15">IF(E323&lt;&gt;"", 1, 0)</f>
        <v>0</v>
      </c>
      <c r="Q323">
        <f t="shared" ref="Q323:Q386" si="16">IF(G323&lt;&gt;"",1,0)</f>
        <v>0</v>
      </c>
      <c r="R323">
        <f t="shared" ref="R323:R386" si="17">IF(AND(G323&lt;&gt;"", H323="No"), 1, 0)</f>
        <v>0</v>
      </c>
      <c r="S323" s="10" t="str" cm="1">
        <f t="array" ref="S323">_xlfn.IFS(N323="", "", N323&gt;=9,"Promoter", N323&gt;=7,"Passive", N323&lt;=6,"Detractor")</f>
        <v/>
      </c>
    </row>
    <row r="324" spans="1:19" ht="14.25" customHeight="1">
      <c r="A324" s="3" t="s">
        <v>355</v>
      </c>
      <c r="B324" s="3" t="s">
        <v>37</v>
      </c>
      <c r="C324" s="3" t="s">
        <v>21</v>
      </c>
      <c r="D324" s="4">
        <v>45939</v>
      </c>
      <c r="E324" s="4">
        <v>45944</v>
      </c>
      <c r="F324" s="4">
        <v>45946</v>
      </c>
      <c r="G324" s="4">
        <v>45953</v>
      </c>
      <c r="H324" s="3" t="s">
        <v>28</v>
      </c>
      <c r="I324" s="3" t="s">
        <v>68</v>
      </c>
      <c r="K324" s="3">
        <v>5</v>
      </c>
      <c r="L324" s="3">
        <v>2</v>
      </c>
      <c r="M324" s="3">
        <v>7</v>
      </c>
      <c r="O324">
        <v>1</v>
      </c>
      <c r="P324">
        <f t="shared" si="15"/>
        <v>1</v>
      </c>
      <c r="Q324">
        <f t="shared" si="16"/>
        <v>1</v>
      </c>
      <c r="R324">
        <f t="shared" si="17"/>
        <v>0</v>
      </c>
      <c r="S324" s="10" t="str" cm="1">
        <f t="array" ref="S324">_xlfn.IFS(N324="", "", N324&gt;=9,"Promoter", N324&gt;=7,"Passive", N324&lt;=6,"Detractor")</f>
        <v/>
      </c>
    </row>
    <row r="325" spans="1:19" ht="14.25" customHeight="1">
      <c r="A325" s="3" t="s">
        <v>356</v>
      </c>
      <c r="B325" s="3" t="s">
        <v>37</v>
      </c>
      <c r="C325" s="3" t="s">
        <v>35</v>
      </c>
      <c r="D325" s="4">
        <v>45949</v>
      </c>
      <c r="E325" s="4">
        <v>45954</v>
      </c>
      <c r="F325" s="4">
        <v>45959</v>
      </c>
      <c r="G325" s="4">
        <v>45964</v>
      </c>
      <c r="H325" s="3" t="s">
        <v>22</v>
      </c>
      <c r="J325" s="4">
        <v>45990</v>
      </c>
      <c r="K325" s="3">
        <v>5</v>
      </c>
      <c r="L325" s="3">
        <v>5</v>
      </c>
      <c r="M325" s="3">
        <v>5</v>
      </c>
      <c r="N325" s="3">
        <v>2</v>
      </c>
      <c r="O325">
        <v>1</v>
      </c>
      <c r="P325">
        <f t="shared" si="15"/>
        <v>1</v>
      </c>
      <c r="Q325">
        <f t="shared" si="16"/>
        <v>1</v>
      </c>
      <c r="R325">
        <f t="shared" si="17"/>
        <v>1</v>
      </c>
      <c r="S325" s="10" t="str" cm="1">
        <f t="array" ref="S325">_xlfn.IFS(N325="", "", N325&gt;=9,"Promoter", N325&gt;=7,"Passive", N325&lt;=6,"Detractor")</f>
        <v>Detractor</v>
      </c>
    </row>
    <row r="326" spans="1:19" ht="14.25" customHeight="1">
      <c r="A326" s="3" t="s">
        <v>357</v>
      </c>
      <c r="B326" s="3" t="s">
        <v>24</v>
      </c>
      <c r="C326" s="3" t="s">
        <v>35</v>
      </c>
      <c r="D326" s="4">
        <v>45932</v>
      </c>
      <c r="E326" s="4">
        <v>45937</v>
      </c>
      <c r="F326" s="4">
        <v>45941</v>
      </c>
      <c r="G326" s="4">
        <v>45943</v>
      </c>
      <c r="H326" s="3" t="s">
        <v>28</v>
      </c>
      <c r="I326" s="3" t="s">
        <v>29</v>
      </c>
      <c r="K326" s="3">
        <v>5</v>
      </c>
      <c r="L326" s="3">
        <v>4</v>
      </c>
      <c r="M326" s="3">
        <v>2</v>
      </c>
      <c r="O326">
        <v>1</v>
      </c>
      <c r="P326">
        <f t="shared" si="15"/>
        <v>1</v>
      </c>
      <c r="Q326">
        <f t="shared" si="16"/>
        <v>1</v>
      </c>
      <c r="R326">
        <f t="shared" si="17"/>
        <v>0</v>
      </c>
      <c r="S326" s="10" t="str" cm="1">
        <f t="array" ref="S326">_xlfn.IFS(N326="", "", N326&gt;=9,"Promoter", N326&gt;=7,"Passive", N326&lt;=6,"Detractor")</f>
        <v/>
      </c>
    </row>
    <row r="327" spans="1:19" ht="14.25" customHeight="1">
      <c r="A327" s="3" t="s">
        <v>358</v>
      </c>
      <c r="B327" s="3" t="s">
        <v>26</v>
      </c>
      <c r="C327" s="3" t="s">
        <v>35</v>
      </c>
      <c r="D327" s="4">
        <v>45955</v>
      </c>
      <c r="E327" s="4">
        <v>45957</v>
      </c>
      <c r="F327" s="4">
        <v>45961</v>
      </c>
      <c r="G327" s="4">
        <v>45963</v>
      </c>
      <c r="H327" s="3" t="s">
        <v>22</v>
      </c>
      <c r="J327" s="4">
        <v>45991</v>
      </c>
      <c r="K327" s="3">
        <v>2</v>
      </c>
      <c r="L327" s="3">
        <v>4</v>
      </c>
      <c r="M327" s="3">
        <v>2</v>
      </c>
      <c r="N327" s="3">
        <v>10</v>
      </c>
      <c r="O327">
        <v>1</v>
      </c>
      <c r="P327">
        <f t="shared" si="15"/>
        <v>1</v>
      </c>
      <c r="Q327">
        <f t="shared" si="16"/>
        <v>1</v>
      </c>
      <c r="R327">
        <f t="shared" si="17"/>
        <v>1</v>
      </c>
      <c r="S327" s="10" t="str" cm="1">
        <f t="array" ref="S327">_xlfn.IFS(N327="", "", N327&gt;=9,"Promoter", N327&gt;=7,"Passive", N327&lt;=6,"Detractor")</f>
        <v>Promoter</v>
      </c>
    </row>
    <row r="328" spans="1:19" ht="14.25" customHeight="1">
      <c r="A328" s="3" t="s">
        <v>359</v>
      </c>
      <c r="B328" s="3" t="s">
        <v>24</v>
      </c>
      <c r="C328" s="3" t="s">
        <v>21</v>
      </c>
      <c r="D328" s="4">
        <v>45955</v>
      </c>
      <c r="E328" s="4">
        <v>45958</v>
      </c>
      <c r="F328" s="4">
        <v>45963</v>
      </c>
      <c r="G328" s="4">
        <v>45966</v>
      </c>
      <c r="H328" s="3" t="s">
        <v>22</v>
      </c>
      <c r="J328" s="4">
        <v>45995</v>
      </c>
      <c r="K328" s="3">
        <v>3</v>
      </c>
      <c r="L328" s="3">
        <v>5</v>
      </c>
      <c r="M328" s="3">
        <v>3</v>
      </c>
      <c r="N328" s="3">
        <v>6</v>
      </c>
      <c r="O328">
        <v>1</v>
      </c>
      <c r="P328">
        <f t="shared" si="15"/>
        <v>1</v>
      </c>
      <c r="Q328">
        <f t="shared" si="16"/>
        <v>1</v>
      </c>
      <c r="R328">
        <f t="shared" si="17"/>
        <v>1</v>
      </c>
      <c r="S328" s="10" t="str" cm="1">
        <f t="array" ref="S328">_xlfn.IFS(N328="", "", N328&gt;=9,"Promoter", N328&gt;=7,"Passive", N328&lt;=6,"Detractor")</f>
        <v>Detractor</v>
      </c>
    </row>
    <row r="329" spans="1:19" ht="14.25" customHeight="1">
      <c r="A329" s="3" t="s">
        <v>360</v>
      </c>
      <c r="B329" s="3" t="s">
        <v>24</v>
      </c>
      <c r="C329" s="3" t="s">
        <v>21</v>
      </c>
      <c r="D329" s="4">
        <v>45936</v>
      </c>
      <c r="E329" s="4">
        <v>45939</v>
      </c>
      <c r="F329" s="4">
        <v>45940</v>
      </c>
      <c r="G329" s="4">
        <v>45945</v>
      </c>
      <c r="H329" s="3" t="s">
        <v>22</v>
      </c>
      <c r="J329" s="4">
        <v>45959</v>
      </c>
      <c r="K329" s="3">
        <v>3</v>
      </c>
      <c r="L329" s="3">
        <v>1</v>
      </c>
      <c r="M329" s="3">
        <v>5</v>
      </c>
      <c r="N329" s="3">
        <v>7</v>
      </c>
      <c r="O329">
        <v>1</v>
      </c>
      <c r="P329">
        <f t="shared" si="15"/>
        <v>1</v>
      </c>
      <c r="Q329">
        <f t="shared" si="16"/>
        <v>1</v>
      </c>
      <c r="R329">
        <f t="shared" si="17"/>
        <v>1</v>
      </c>
      <c r="S329" s="10" t="str" cm="1">
        <f t="array" ref="S329">_xlfn.IFS(N329="", "", N329&gt;=9,"Promoter", N329&gt;=7,"Passive", N329&lt;=6,"Detractor")</f>
        <v>Passive</v>
      </c>
    </row>
    <row r="330" spans="1:19" ht="14.25" customHeight="1">
      <c r="A330" s="3" t="s">
        <v>361</v>
      </c>
      <c r="B330" s="3" t="s">
        <v>24</v>
      </c>
      <c r="C330" s="3" t="s">
        <v>21</v>
      </c>
      <c r="D330" s="4">
        <v>45946</v>
      </c>
      <c r="E330" s="4">
        <v>45949</v>
      </c>
      <c r="F330" s="4">
        <v>45954</v>
      </c>
      <c r="G330" s="4">
        <v>45959</v>
      </c>
      <c r="H330" s="3" t="s">
        <v>22</v>
      </c>
      <c r="J330" s="4">
        <v>45972</v>
      </c>
      <c r="K330" s="3">
        <v>3</v>
      </c>
      <c r="L330" s="3">
        <v>5</v>
      </c>
      <c r="M330" s="3">
        <v>5</v>
      </c>
      <c r="N330" s="3">
        <v>3</v>
      </c>
      <c r="O330">
        <v>1</v>
      </c>
      <c r="P330">
        <f t="shared" si="15"/>
        <v>1</v>
      </c>
      <c r="Q330">
        <f t="shared" si="16"/>
        <v>1</v>
      </c>
      <c r="R330">
        <f t="shared" si="17"/>
        <v>1</v>
      </c>
      <c r="S330" s="10" t="str" cm="1">
        <f t="array" ref="S330">_xlfn.IFS(N330="", "", N330&gt;=9,"Promoter", N330&gt;=7,"Passive", N330&lt;=6,"Detractor")</f>
        <v>Detractor</v>
      </c>
    </row>
    <row r="331" spans="1:19" ht="14.25" customHeight="1">
      <c r="A331" s="3" t="s">
        <v>362</v>
      </c>
      <c r="B331" s="3" t="s">
        <v>26</v>
      </c>
      <c r="C331" s="3" t="s">
        <v>21</v>
      </c>
      <c r="D331" s="4">
        <v>45947</v>
      </c>
      <c r="E331" s="4">
        <v>45951</v>
      </c>
      <c r="F331" s="4">
        <v>45955</v>
      </c>
      <c r="G331" s="4">
        <v>45957</v>
      </c>
      <c r="H331" s="3" t="s">
        <v>22</v>
      </c>
      <c r="J331" s="4">
        <v>45981</v>
      </c>
      <c r="K331" s="3">
        <v>4</v>
      </c>
      <c r="L331" s="3">
        <v>4</v>
      </c>
      <c r="M331" s="3">
        <v>2</v>
      </c>
      <c r="N331" s="3">
        <v>2</v>
      </c>
      <c r="O331">
        <v>1</v>
      </c>
      <c r="P331">
        <f t="shared" si="15"/>
        <v>1</v>
      </c>
      <c r="Q331">
        <f t="shared" si="16"/>
        <v>1</v>
      </c>
      <c r="R331">
        <f t="shared" si="17"/>
        <v>1</v>
      </c>
      <c r="S331" s="10" t="str" cm="1">
        <f t="array" ref="S331">_xlfn.IFS(N331="", "", N331&gt;=9,"Promoter", N331&gt;=7,"Passive", N331&lt;=6,"Detractor")</f>
        <v>Detractor</v>
      </c>
    </row>
    <row r="332" spans="1:19" ht="14.25" customHeight="1">
      <c r="A332" s="3" t="s">
        <v>363</v>
      </c>
      <c r="B332" s="3" t="s">
        <v>37</v>
      </c>
      <c r="C332" s="3" t="s">
        <v>35</v>
      </c>
      <c r="D332" s="4">
        <v>45951</v>
      </c>
      <c r="E332" s="4">
        <v>45955</v>
      </c>
      <c r="F332" s="4">
        <v>45958</v>
      </c>
      <c r="G332" s="4">
        <v>45963</v>
      </c>
      <c r="H332" s="3" t="s">
        <v>22</v>
      </c>
      <c r="J332" s="4">
        <v>45978</v>
      </c>
      <c r="K332" s="3">
        <v>4</v>
      </c>
      <c r="L332" s="3">
        <v>3</v>
      </c>
      <c r="M332" s="3">
        <v>5</v>
      </c>
      <c r="N332" s="3">
        <v>1</v>
      </c>
      <c r="O332">
        <v>1</v>
      </c>
      <c r="P332">
        <f t="shared" si="15"/>
        <v>1</v>
      </c>
      <c r="Q332">
        <f t="shared" si="16"/>
        <v>1</v>
      </c>
      <c r="R332">
        <f t="shared" si="17"/>
        <v>1</v>
      </c>
      <c r="S332" s="10" t="str" cm="1">
        <f t="array" ref="S332">_xlfn.IFS(N332="", "", N332&gt;=9,"Promoter", N332&gt;=7,"Passive", N332&lt;=6,"Detractor")</f>
        <v>Detractor</v>
      </c>
    </row>
    <row r="333" spans="1:19" ht="14.25" customHeight="1">
      <c r="A333" s="3" t="s">
        <v>364</v>
      </c>
      <c r="B333" s="3" t="s">
        <v>26</v>
      </c>
      <c r="C333" s="3" t="s">
        <v>21</v>
      </c>
      <c r="D333" s="4">
        <v>45945</v>
      </c>
      <c r="E333" s="4">
        <v>45948</v>
      </c>
      <c r="F333" s="4">
        <v>45949</v>
      </c>
      <c r="G333" s="4">
        <v>45952</v>
      </c>
      <c r="H333" s="3" t="s">
        <v>22</v>
      </c>
      <c r="J333" s="4">
        <v>45967</v>
      </c>
      <c r="K333" s="3">
        <v>3</v>
      </c>
      <c r="L333" s="3">
        <v>1</v>
      </c>
      <c r="M333" s="3">
        <v>3</v>
      </c>
      <c r="N333" s="3">
        <v>0</v>
      </c>
      <c r="O333">
        <v>1</v>
      </c>
      <c r="P333">
        <f t="shared" si="15"/>
        <v>1</v>
      </c>
      <c r="Q333">
        <f t="shared" si="16"/>
        <v>1</v>
      </c>
      <c r="R333">
        <f t="shared" si="17"/>
        <v>1</v>
      </c>
      <c r="S333" s="10" t="str" cm="1">
        <f t="array" ref="S333">_xlfn.IFS(N333="", "", N333&gt;=9,"Promoter", N333&gt;=7,"Passive", N333&lt;=6,"Detractor")</f>
        <v>Detractor</v>
      </c>
    </row>
    <row r="334" spans="1:19" ht="14.25" customHeight="1">
      <c r="A334" s="3" t="s">
        <v>365</v>
      </c>
      <c r="B334" s="3" t="s">
        <v>20</v>
      </c>
      <c r="C334" s="3" t="s">
        <v>35</v>
      </c>
      <c r="D334" s="4">
        <v>45960</v>
      </c>
      <c r="E334" s="4">
        <v>45965</v>
      </c>
      <c r="F334" s="4">
        <v>45969</v>
      </c>
      <c r="G334" s="4">
        <v>45976</v>
      </c>
      <c r="H334" s="3" t="s">
        <v>22</v>
      </c>
      <c r="J334" s="4">
        <v>45992</v>
      </c>
      <c r="K334" s="3">
        <v>5</v>
      </c>
      <c r="L334" s="3">
        <v>4</v>
      </c>
      <c r="M334" s="3">
        <v>7</v>
      </c>
      <c r="N334" s="3">
        <v>2</v>
      </c>
      <c r="O334">
        <v>1</v>
      </c>
      <c r="P334">
        <f t="shared" si="15"/>
        <v>1</v>
      </c>
      <c r="Q334">
        <f t="shared" si="16"/>
        <v>1</v>
      </c>
      <c r="R334">
        <f t="shared" si="17"/>
        <v>1</v>
      </c>
      <c r="S334" s="10" t="str" cm="1">
        <f t="array" ref="S334">_xlfn.IFS(N334="", "", N334&gt;=9,"Promoter", N334&gt;=7,"Passive", N334&lt;=6,"Detractor")</f>
        <v>Detractor</v>
      </c>
    </row>
    <row r="335" spans="1:19" ht="14.25" customHeight="1">
      <c r="A335" s="3" t="s">
        <v>366</v>
      </c>
      <c r="B335" s="3" t="s">
        <v>26</v>
      </c>
      <c r="C335" s="3" t="s">
        <v>21</v>
      </c>
      <c r="D335" s="4">
        <v>45939</v>
      </c>
      <c r="E335" s="4">
        <v>45940</v>
      </c>
      <c r="F335" s="4">
        <v>45943</v>
      </c>
      <c r="G335" s="4">
        <v>45946</v>
      </c>
      <c r="H335" s="3" t="s">
        <v>22</v>
      </c>
      <c r="J335" s="4">
        <v>45962</v>
      </c>
      <c r="K335" s="3">
        <v>1</v>
      </c>
      <c r="L335" s="3">
        <v>3</v>
      </c>
      <c r="M335" s="3">
        <v>3</v>
      </c>
      <c r="N335" s="3">
        <v>2</v>
      </c>
      <c r="O335">
        <v>1</v>
      </c>
      <c r="P335">
        <f t="shared" si="15"/>
        <v>1</v>
      </c>
      <c r="Q335">
        <f t="shared" si="16"/>
        <v>1</v>
      </c>
      <c r="R335">
        <f t="shared" si="17"/>
        <v>1</v>
      </c>
      <c r="S335" s="10" t="str" cm="1">
        <f t="array" ref="S335">_xlfn.IFS(N335="", "", N335&gt;=9,"Promoter", N335&gt;=7,"Passive", N335&lt;=6,"Detractor")</f>
        <v>Detractor</v>
      </c>
    </row>
    <row r="336" spans="1:19" ht="14.25" customHeight="1">
      <c r="A336" s="3" t="s">
        <v>367</v>
      </c>
      <c r="B336" s="3" t="s">
        <v>26</v>
      </c>
      <c r="C336" s="3" t="s">
        <v>35</v>
      </c>
      <c r="D336" s="4">
        <v>45936</v>
      </c>
      <c r="E336" s="4">
        <v>45939</v>
      </c>
      <c r="F336" s="4">
        <v>45940</v>
      </c>
      <c r="G336" s="4">
        <v>45947</v>
      </c>
      <c r="H336" s="3" t="s">
        <v>22</v>
      </c>
      <c r="J336" s="4">
        <v>45961</v>
      </c>
      <c r="K336" s="3">
        <v>3</v>
      </c>
      <c r="L336" s="3">
        <v>1</v>
      </c>
      <c r="M336" s="3">
        <v>7</v>
      </c>
      <c r="N336" s="3">
        <v>1</v>
      </c>
      <c r="O336">
        <v>1</v>
      </c>
      <c r="P336">
        <f t="shared" si="15"/>
        <v>1</v>
      </c>
      <c r="Q336">
        <f t="shared" si="16"/>
        <v>1</v>
      </c>
      <c r="R336">
        <f t="shared" si="17"/>
        <v>1</v>
      </c>
      <c r="S336" s="10" t="str" cm="1">
        <f t="array" ref="S336">_xlfn.IFS(N336="", "", N336&gt;=9,"Promoter", N336&gt;=7,"Passive", N336&lt;=6,"Detractor")</f>
        <v>Detractor</v>
      </c>
    </row>
    <row r="337" spans="1:19" ht="14.25" customHeight="1">
      <c r="A337" s="3" t="s">
        <v>368</v>
      </c>
      <c r="B337" s="3" t="s">
        <v>26</v>
      </c>
      <c r="C337" s="3" t="s">
        <v>27</v>
      </c>
      <c r="D337" s="4">
        <v>45949</v>
      </c>
      <c r="H337" s="3" t="s">
        <v>28</v>
      </c>
      <c r="I337" s="3" t="s">
        <v>106</v>
      </c>
      <c r="O337">
        <v>1</v>
      </c>
      <c r="P337">
        <f t="shared" si="15"/>
        <v>0</v>
      </c>
      <c r="Q337">
        <f t="shared" si="16"/>
        <v>0</v>
      </c>
      <c r="R337">
        <f t="shared" si="17"/>
        <v>0</v>
      </c>
      <c r="S337" s="10" t="str" cm="1">
        <f t="array" ref="S337">_xlfn.IFS(N337="", "", N337&gt;=9,"Promoter", N337&gt;=7,"Passive", N337&lt;=6,"Detractor")</f>
        <v/>
      </c>
    </row>
    <row r="338" spans="1:19" ht="14.25" customHeight="1">
      <c r="A338" s="3" t="s">
        <v>369</v>
      </c>
      <c r="B338" s="3" t="s">
        <v>26</v>
      </c>
      <c r="C338" s="3" t="s">
        <v>35</v>
      </c>
      <c r="D338" s="4">
        <v>45944</v>
      </c>
      <c r="E338" s="4">
        <v>45945</v>
      </c>
      <c r="F338" s="4">
        <v>45947</v>
      </c>
      <c r="G338" s="4">
        <v>45951</v>
      </c>
      <c r="H338" s="3" t="s">
        <v>22</v>
      </c>
      <c r="J338" s="4">
        <v>45962</v>
      </c>
      <c r="K338" s="3">
        <v>1</v>
      </c>
      <c r="L338" s="3">
        <v>2</v>
      </c>
      <c r="M338" s="3">
        <v>4</v>
      </c>
      <c r="N338" s="3">
        <v>7</v>
      </c>
      <c r="O338">
        <v>1</v>
      </c>
      <c r="P338">
        <f t="shared" si="15"/>
        <v>1</v>
      </c>
      <c r="Q338">
        <f t="shared" si="16"/>
        <v>1</v>
      </c>
      <c r="R338">
        <f t="shared" si="17"/>
        <v>1</v>
      </c>
      <c r="S338" s="10" t="str" cm="1">
        <f t="array" ref="S338">_xlfn.IFS(N338="", "", N338&gt;=9,"Promoter", N338&gt;=7,"Passive", N338&lt;=6,"Detractor")</f>
        <v>Passive</v>
      </c>
    </row>
    <row r="339" spans="1:19" ht="14.25" customHeight="1">
      <c r="A339" s="3" t="s">
        <v>370</v>
      </c>
      <c r="B339" s="3" t="s">
        <v>37</v>
      </c>
      <c r="C339" s="3" t="s">
        <v>27</v>
      </c>
      <c r="D339" s="4">
        <v>45951</v>
      </c>
      <c r="H339" s="3" t="s">
        <v>28</v>
      </c>
      <c r="I339" s="3" t="s">
        <v>68</v>
      </c>
      <c r="O339">
        <v>1</v>
      </c>
      <c r="P339">
        <f t="shared" si="15"/>
        <v>0</v>
      </c>
      <c r="Q339">
        <f t="shared" si="16"/>
        <v>0</v>
      </c>
      <c r="R339">
        <f t="shared" si="17"/>
        <v>0</v>
      </c>
      <c r="S339" s="10" t="str" cm="1">
        <f t="array" ref="S339">_xlfn.IFS(N339="", "", N339&gt;=9,"Promoter", N339&gt;=7,"Passive", N339&lt;=6,"Detractor")</f>
        <v/>
      </c>
    </row>
    <row r="340" spans="1:19" ht="14.25" customHeight="1">
      <c r="A340" s="3" t="s">
        <v>371</v>
      </c>
      <c r="B340" s="3" t="s">
        <v>20</v>
      </c>
      <c r="C340" s="3" t="s">
        <v>21</v>
      </c>
      <c r="D340" s="4">
        <v>45957</v>
      </c>
      <c r="E340" s="4">
        <v>45960</v>
      </c>
      <c r="F340" s="4">
        <v>45965</v>
      </c>
      <c r="G340" s="4">
        <v>45968</v>
      </c>
      <c r="H340" s="3" t="s">
        <v>22</v>
      </c>
      <c r="J340" s="4">
        <v>45991</v>
      </c>
      <c r="K340" s="3">
        <v>3</v>
      </c>
      <c r="L340" s="3">
        <v>5</v>
      </c>
      <c r="M340" s="3">
        <v>3</v>
      </c>
      <c r="N340" s="3">
        <v>3</v>
      </c>
      <c r="O340">
        <v>1</v>
      </c>
      <c r="P340">
        <f t="shared" si="15"/>
        <v>1</v>
      </c>
      <c r="Q340">
        <f t="shared" si="16"/>
        <v>1</v>
      </c>
      <c r="R340">
        <f t="shared" si="17"/>
        <v>1</v>
      </c>
      <c r="S340" s="10" t="str" cm="1">
        <f t="array" ref="S340">_xlfn.IFS(N340="", "", N340&gt;=9,"Promoter", N340&gt;=7,"Passive", N340&lt;=6,"Detractor")</f>
        <v>Detractor</v>
      </c>
    </row>
    <row r="341" spans="1:19" ht="14.25" customHeight="1">
      <c r="A341" s="3" t="s">
        <v>372</v>
      </c>
      <c r="B341" s="3" t="s">
        <v>37</v>
      </c>
      <c r="C341" s="3" t="s">
        <v>27</v>
      </c>
      <c r="D341" s="4">
        <v>45946</v>
      </c>
      <c r="H341" s="3" t="s">
        <v>28</v>
      </c>
      <c r="I341" s="3" t="s">
        <v>68</v>
      </c>
      <c r="O341">
        <v>1</v>
      </c>
      <c r="P341">
        <f t="shared" si="15"/>
        <v>0</v>
      </c>
      <c r="Q341">
        <f t="shared" si="16"/>
        <v>0</v>
      </c>
      <c r="R341">
        <f t="shared" si="17"/>
        <v>0</v>
      </c>
      <c r="S341" s="10" t="str" cm="1">
        <f t="array" ref="S341">_xlfn.IFS(N341="", "", N341&gt;=9,"Promoter", N341&gt;=7,"Passive", N341&lt;=6,"Detractor")</f>
        <v/>
      </c>
    </row>
    <row r="342" spans="1:19" ht="14.25" customHeight="1">
      <c r="A342" s="3" t="s">
        <v>373</v>
      </c>
      <c r="B342" s="3" t="s">
        <v>37</v>
      </c>
      <c r="C342" s="3" t="s">
        <v>21</v>
      </c>
      <c r="D342" s="4">
        <v>45933</v>
      </c>
      <c r="E342" s="4">
        <v>45934</v>
      </c>
      <c r="F342" s="4">
        <v>45935</v>
      </c>
      <c r="G342" s="4">
        <v>45939</v>
      </c>
      <c r="H342" s="3" t="s">
        <v>22</v>
      </c>
      <c r="J342" s="4">
        <v>45951</v>
      </c>
      <c r="K342" s="3">
        <v>1</v>
      </c>
      <c r="L342" s="3">
        <v>1</v>
      </c>
      <c r="M342" s="3">
        <v>4</v>
      </c>
      <c r="N342" s="3">
        <v>10</v>
      </c>
      <c r="O342">
        <v>1</v>
      </c>
      <c r="P342">
        <f t="shared" si="15"/>
        <v>1</v>
      </c>
      <c r="Q342">
        <f t="shared" si="16"/>
        <v>1</v>
      </c>
      <c r="R342">
        <f t="shared" si="17"/>
        <v>1</v>
      </c>
      <c r="S342" s="10" t="str" cm="1">
        <f t="array" ref="S342">_xlfn.IFS(N342="", "", N342&gt;=9,"Promoter", N342&gt;=7,"Passive", N342&lt;=6,"Detractor")</f>
        <v>Promoter</v>
      </c>
    </row>
    <row r="343" spans="1:19" ht="14.25" customHeight="1">
      <c r="A343" s="3" t="s">
        <v>374</v>
      </c>
      <c r="B343" s="3" t="s">
        <v>26</v>
      </c>
      <c r="C343" s="3" t="s">
        <v>21</v>
      </c>
      <c r="D343" s="4">
        <v>45946</v>
      </c>
      <c r="E343" s="4">
        <v>45951</v>
      </c>
      <c r="F343" s="4">
        <v>45952</v>
      </c>
      <c r="G343" s="4">
        <v>45954</v>
      </c>
      <c r="H343" s="3" t="s">
        <v>22</v>
      </c>
      <c r="J343" s="4">
        <v>45977</v>
      </c>
      <c r="K343" s="3">
        <v>5</v>
      </c>
      <c r="L343" s="3">
        <v>1</v>
      </c>
      <c r="M343" s="3">
        <v>2</v>
      </c>
      <c r="N343" s="3">
        <v>1</v>
      </c>
      <c r="O343">
        <v>1</v>
      </c>
      <c r="P343">
        <f t="shared" si="15"/>
        <v>1</v>
      </c>
      <c r="Q343">
        <f t="shared" si="16"/>
        <v>1</v>
      </c>
      <c r="R343">
        <f t="shared" si="17"/>
        <v>1</v>
      </c>
      <c r="S343" s="10" t="str" cm="1">
        <f t="array" ref="S343">_xlfn.IFS(N343="", "", N343&gt;=9,"Promoter", N343&gt;=7,"Passive", N343&lt;=6,"Detractor")</f>
        <v>Detractor</v>
      </c>
    </row>
    <row r="344" spans="1:19" ht="14.25" customHeight="1">
      <c r="A344" s="3" t="s">
        <v>375</v>
      </c>
      <c r="B344" s="3" t="s">
        <v>24</v>
      </c>
      <c r="C344" s="3" t="s">
        <v>21</v>
      </c>
      <c r="D344" s="4">
        <v>45942</v>
      </c>
      <c r="E344" s="4">
        <v>45946</v>
      </c>
      <c r="F344" s="4">
        <v>45950</v>
      </c>
      <c r="G344" s="4">
        <v>45957</v>
      </c>
      <c r="H344" s="3" t="s">
        <v>22</v>
      </c>
      <c r="J344" s="4">
        <v>45973</v>
      </c>
      <c r="K344" s="3">
        <v>4</v>
      </c>
      <c r="L344" s="3">
        <v>4</v>
      </c>
      <c r="M344" s="3">
        <v>7</v>
      </c>
      <c r="N344" s="3">
        <v>4</v>
      </c>
      <c r="O344">
        <v>1</v>
      </c>
      <c r="P344">
        <f t="shared" si="15"/>
        <v>1</v>
      </c>
      <c r="Q344">
        <f t="shared" si="16"/>
        <v>1</v>
      </c>
      <c r="R344">
        <f t="shared" si="17"/>
        <v>1</v>
      </c>
      <c r="S344" s="10" t="str" cm="1">
        <f t="array" ref="S344">_xlfn.IFS(N344="", "", N344&gt;=9,"Promoter", N344&gt;=7,"Passive", N344&lt;=6,"Detractor")</f>
        <v>Detractor</v>
      </c>
    </row>
    <row r="345" spans="1:19" ht="14.25" customHeight="1">
      <c r="A345" s="3" t="s">
        <v>376</v>
      </c>
      <c r="B345" s="3" t="s">
        <v>24</v>
      </c>
      <c r="C345" s="3" t="s">
        <v>21</v>
      </c>
      <c r="D345" s="4">
        <v>45944</v>
      </c>
      <c r="E345" s="4">
        <v>45947</v>
      </c>
      <c r="F345" s="4">
        <v>45950</v>
      </c>
      <c r="G345" s="4">
        <v>45954</v>
      </c>
      <c r="H345" s="3" t="s">
        <v>22</v>
      </c>
      <c r="J345" s="4">
        <v>45984</v>
      </c>
      <c r="K345" s="3">
        <v>3</v>
      </c>
      <c r="L345" s="3">
        <v>3</v>
      </c>
      <c r="M345" s="3">
        <v>4</v>
      </c>
      <c r="N345" s="3">
        <v>8</v>
      </c>
      <c r="O345">
        <v>1</v>
      </c>
      <c r="P345">
        <f t="shared" si="15"/>
        <v>1</v>
      </c>
      <c r="Q345">
        <f t="shared" si="16"/>
        <v>1</v>
      </c>
      <c r="R345">
        <f t="shared" si="17"/>
        <v>1</v>
      </c>
      <c r="S345" s="10" t="str" cm="1">
        <f t="array" ref="S345">_xlfn.IFS(N345="", "", N345&gt;=9,"Promoter", N345&gt;=7,"Passive", N345&lt;=6,"Detractor")</f>
        <v>Passive</v>
      </c>
    </row>
    <row r="346" spans="1:19" ht="14.25" customHeight="1">
      <c r="A346" s="3" t="s">
        <v>377</v>
      </c>
      <c r="B346" s="3" t="s">
        <v>37</v>
      </c>
      <c r="C346" s="3" t="s">
        <v>21</v>
      </c>
      <c r="D346" s="4">
        <v>45941</v>
      </c>
      <c r="E346" s="4">
        <v>45944</v>
      </c>
      <c r="F346" s="4">
        <v>45945</v>
      </c>
      <c r="G346" s="4">
        <v>45949</v>
      </c>
      <c r="H346" s="3" t="s">
        <v>22</v>
      </c>
      <c r="J346" s="4">
        <v>45963</v>
      </c>
      <c r="K346" s="3">
        <v>3</v>
      </c>
      <c r="L346" s="3">
        <v>1</v>
      </c>
      <c r="M346" s="3">
        <v>4</v>
      </c>
      <c r="N346" s="3">
        <v>3</v>
      </c>
      <c r="O346">
        <v>1</v>
      </c>
      <c r="P346">
        <f t="shared" si="15"/>
        <v>1</v>
      </c>
      <c r="Q346">
        <f t="shared" si="16"/>
        <v>1</v>
      </c>
      <c r="R346">
        <f t="shared" si="17"/>
        <v>1</v>
      </c>
      <c r="S346" s="10" t="str" cm="1">
        <f t="array" ref="S346">_xlfn.IFS(N346="", "", N346&gt;=9,"Promoter", N346&gt;=7,"Passive", N346&lt;=6,"Detractor")</f>
        <v>Detractor</v>
      </c>
    </row>
    <row r="347" spans="1:19" ht="14.25" customHeight="1">
      <c r="A347" s="3" t="s">
        <v>378</v>
      </c>
      <c r="B347" s="3" t="s">
        <v>37</v>
      </c>
      <c r="C347" s="3" t="s">
        <v>21</v>
      </c>
      <c r="D347" s="4">
        <v>45941</v>
      </c>
      <c r="E347" s="4">
        <v>45946</v>
      </c>
      <c r="F347" s="4">
        <v>45951</v>
      </c>
      <c r="G347" s="4">
        <v>45953</v>
      </c>
      <c r="H347" s="3" t="s">
        <v>22</v>
      </c>
      <c r="J347" s="4">
        <v>45982</v>
      </c>
      <c r="K347" s="3">
        <v>5</v>
      </c>
      <c r="L347" s="3">
        <v>5</v>
      </c>
      <c r="M347" s="3">
        <v>2</v>
      </c>
      <c r="N347" s="3">
        <v>6</v>
      </c>
      <c r="O347">
        <v>1</v>
      </c>
      <c r="P347">
        <f t="shared" si="15"/>
        <v>1</v>
      </c>
      <c r="Q347">
        <f t="shared" si="16"/>
        <v>1</v>
      </c>
      <c r="R347">
        <f t="shared" si="17"/>
        <v>1</v>
      </c>
      <c r="S347" s="10" t="str" cm="1">
        <f t="array" ref="S347">_xlfn.IFS(N347="", "", N347&gt;=9,"Promoter", N347&gt;=7,"Passive", N347&lt;=6,"Detractor")</f>
        <v>Detractor</v>
      </c>
    </row>
    <row r="348" spans="1:19" ht="14.25" customHeight="1">
      <c r="A348" s="3" t="s">
        <v>379</v>
      </c>
      <c r="B348" s="3" t="s">
        <v>26</v>
      </c>
      <c r="C348" s="3" t="s">
        <v>21</v>
      </c>
      <c r="D348" s="4">
        <v>45952</v>
      </c>
      <c r="E348" s="4">
        <v>45954</v>
      </c>
      <c r="F348" s="4">
        <v>45955</v>
      </c>
      <c r="G348" s="4">
        <v>45959</v>
      </c>
      <c r="H348" s="3" t="s">
        <v>22</v>
      </c>
      <c r="J348" s="4">
        <v>45977</v>
      </c>
      <c r="K348" s="3">
        <v>2</v>
      </c>
      <c r="L348" s="3">
        <v>1</v>
      </c>
      <c r="M348" s="3">
        <v>4</v>
      </c>
      <c r="N348" s="3">
        <v>4</v>
      </c>
      <c r="O348">
        <v>1</v>
      </c>
      <c r="P348">
        <f t="shared" si="15"/>
        <v>1</v>
      </c>
      <c r="Q348">
        <f t="shared" si="16"/>
        <v>1</v>
      </c>
      <c r="R348">
        <f t="shared" si="17"/>
        <v>1</v>
      </c>
      <c r="S348" s="10" t="str" cm="1">
        <f t="array" ref="S348">_xlfn.IFS(N348="", "", N348&gt;=9,"Promoter", N348&gt;=7,"Passive", N348&lt;=6,"Detractor")</f>
        <v>Detractor</v>
      </c>
    </row>
    <row r="349" spans="1:19" ht="14.25" customHeight="1">
      <c r="A349" s="3" t="s">
        <v>380</v>
      </c>
      <c r="B349" s="3" t="s">
        <v>37</v>
      </c>
      <c r="C349" s="3" t="s">
        <v>35</v>
      </c>
      <c r="D349" s="4">
        <v>45934</v>
      </c>
      <c r="E349" s="4">
        <v>45937</v>
      </c>
      <c r="F349" s="4">
        <v>45938</v>
      </c>
      <c r="G349" s="4">
        <v>45945</v>
      </c>
      <c r="H349" s="3" t="s">
        <v>22</v>
      </c>
      <c r="J349" s="4">
        <v>45965</v>
      </c>
      <c r="K349" s="3">
        <v>3</v>
      </c>
      <c r="L349" s="3">
        <v>1</v>
      </c>
      <c r="M349" s="3">
        <v>7</v>
      </c>
      <c r="N349" s="3">
        <v>8</v>
      </c>
      <c r="O349">
        <v>1</v>
      </c>
      <c r="P349">
        <f t="shared" si="15"/>
        <v>1</v>
      </c>
      <c r="Q349">
        <f t="shared" si="16"/>
        <v>1</v>
      </c>
      <c r="R349">
        <f t="shared" si="17"/>
        <v>1</v>
      </c>
      <c r="S349" s="10" t="str" cm="1">
        <f t="array" ref="S349">_xlfn.IFS(N349="", "", N349&gt;=9,"Promoter", N349&gt;=7,"Passive", N349&lt;=6,"Detractor")</f>
        <v>Passive</v>
      </c>
    </row>
    <row r="350" spans="1:19" ht="14.25" customHeight="1">
      <c r="A350" s="3" t="s">
        <v>381</v>
      </c>
      <c r="B350" s="3" t="s">
        <v>26</v>
      </c>
      <c r="C350" s="3" t="s">
        <v>21</v>
      </c>
      <c r="D350" s="4">
        <v>45958</v>
      </c>
      <c r="E350" s="4">
        <v>45959</v>
      </c>
      <c r="F350" s="4">
        <v>45963</v>
      </c>
      <c r="G350" s="4">
        <v>45970</v>
      </c>
      <c r="H350" s="3" t="s">
        <v>22</v>
      </c>
      <c r="J350" s="4">
        <v>45982</v>
      </c>
      <c r="K350" s="3">
        <v>1</v>
      </c>
      <c r="L350" s="3">
        <v>4</v>
      </c>
      <c r="M350" s="3">
        <v>7</v>
      </c>
      <c r="N350" s="3">
        <v>4</v>
      </c>
      <c r="O350">
        <v>1</v>
      </c>
      <c r="P350">
        <f t="shared" si="15"/>
        <v>1</v>
      </c>
      <c r="Q350">
        <f t="shared" si="16"/>
        <v>1</v>
      </c>
      <c r="R350">
        <f t="shared" si="17"/>
        <v>1</v>
      </c>
      <c r="S350" s="10" t="str" cm="1">
        <f t="array" ref="S350">_xlfn.IFS(N350="", "", N350&gt;=9,"Promoter", N350&gt;=7,"Passive", N350&lt;=6,"Detractor")</f>
        <v>Detractor</v>
      </c>
    </row>
    <row r="351" spans="1:19" ht="14.25" customHeight="1">
      <c r="A351" s="3" t="s">
        <v>382</v>
      </c>
      <c r="B351" s="3" t="s">
        <v>24</v>
      </c>
      <c r="C351" s="3" t="s">
        <v>21</v>
      </c>
      <c r="D351" s="4">
        <v>45936</v>
      </c>
      <c r="E351" s="4">
        <v>45941</v>
      </c>
      <c r="F351" s="4">
        <v>45942</v>
      </c>
      <c r="G351" s="4">
        <v>45945</v>
      </c>
      <c r="H351" s="3" t="s">
        <v>22</v>
      </c>
      <c r="J351" s="4">
        <v>45957</v>
      </c>
      <c r="K351" s="3">
        <v>5</v>
      </c>
      <c r="L351" s="3">
        <v>1</v>
      </c>
      <c r="M351" s="3">
        <v>3</v>
      </c>
      <c r="N351" s="3">
        <v>6</v>
      </c>
      <c r="O351">
        <v>1</v>
      </c>
      <c r="P351">
        <f t="shared" si="15"/>
        <v>1</v>
      </c>
      <c r="Q351">
        <f t="shared" si="16"/>
        <v>1</v>
      </c>
      <c r="R351">
        <f t="shared" si="17"/>
        <v>1</v>
      </c>
      <c r="S351" s="10" t="str" cm="1">
        <f t="array" ref="S351">_xlfn.IFS(N351="", "", N351&gt;=9,"Promoter", N351&gt;=7,"Passive", N351&lt;=6,"Detractor")</f>
        <v>Detractor</v>
      </c>
    </row>
    <row r="352" spans="1:19" ht="14.25" customHeight="1">
      <c r="A352" s="3" t="s">
        <v>383</v>
      </c>
      <c r="B352" s="3" t="s">
        <v>24</v>
      </c>
      <c r="C352" s="3" t="s">
        <v>21</v>
      </c>
      <c r="D352" s="4">
        <v>45941</v>
      </c>
      <c r="E352" s="4">
        <v>45943</v>
      </c>
      <c r="F352" s="4">
        <v>45946</v>
      </c>
      <c r="G352" s="4">
        <v>45948</v>
      </c>
      <c r="H352" s="3" t="s">
        <v>28</v>
      </c>
      <c r="I352" s="3" t="s">
        <v>29</v>
      </c>
      <c r="K352" s="3">
        <v>2</v>
      </c>
      <c r="L352" s="3">
        <v>3</v>
      </c>
      <c r="M352" s="3">
        <v>2</v>
      </c>
      <c r="O352">
        <v>1</v>
      </c>
      <c r="P352">
        <f t="shared" si="15"/>
        <v>1</v>
      </c>
      <c r="Q352">
        <f t="shared" si="16"/>
        <v>1</v>
      </c>
      <c r="R352">
        <f t="shared" si="17"/>
        <v>0</v>
      </c>
      <c r="S352" s="10" t="str" cm="1">
        <f t="array" ref="S352">_xlfn.IFS(N352="", "", N352&gt;=9,"Promoter", N352&gt;=7,"Passive", N352&lt;=6,"Detractor")</f>
        <v/>
      </c>
    </row>
    <row r="353" spans="1:19" ht="14.25" customHeight="1">
      <c r="A353" s="3" t="s">
        <v>384</v>
      </c>
      <c r="B353" s="3" t="s">
        <v>20</v>
      </c>
      <c r="C353" s="3" t="s">
        <v>21</v>
      </c>
      <c r="D353" s="4">
        <v>45944</v>
      </c>
      <c r="E353" s="4">
        <v>45947</v>
      </c>
      <c r="F353" s="4">
        <v>45951</v>
      </c>
      <c r="G353" s="4">
        <v>45956</v>
      </c>
      <c r="H353" s="3" t="s">
        <v>28</v>
      </c>
      <c r="I353" s="3" t="s">
        <v>38</v>
      </c>
      <c r="K353" s="3">
        <v>3</v>
      </c>
      <c r="L353" s="3">
        <v>4</v>
      </c>
      <c r="M353" s="3">
        <v>5</v>
      </c>
      <c r="O353">
        <v>1</v>
      </c>
      <c r="P353">
        <f t="shared" si="15"/>
        <v>1</v>
      </c>
      <c r="Q353">
        <f t="shared" si="16"/>
        <v>1</v>
      </c>
      <c r="R353">
        <f t="shared" si="17"/>
        <v>0</v>
      </c>
      <c r="S353" s="10" t="str" cm="1">
        <f t="array" ref="S353">_xlfn.IFS(N353="", "", N353&gt;=9,"Promoter", N353&gt;=7,"Passive", N353&lt;=6,"Detractor")</f>
        <v/>
      </c>
    </row>
    <row r="354" spans="1:19" ht="14.25" customHeight="1">
      <c r="A354" s="3" t="s">
        <v>385</v>
      </c>
      <c r="B354" s="3" t="s">
        <v>24</v>
      </c>
      <c r="C354" s="3" t="s">
        <v>21</v>
      </c>
      <c r="D354" s="4">
        <v>45953</v>
      </c>
      <c r="E354" s="4">
        <v>45956</v>
      </c>
      <c r="F354" s="4">
        <v>45958</v>
      </c>
      <c r="G354" s="4">
        <v>45965</v>
      </c>
      <c r="H354" s="3" t="s">
        <v>22</v>
      </c>
      <c r="J354" s="4">
        <v>45987</v>
      </c>
      <c r="K354" s="3">
        <v>3</v>
      </c>
      <c r="L354" s="3">
        <v>2</v>
      </c>
      <c r="M354" s="3">
        <v>7</v>
      </c>
      <c r="N354" s="3">
        <v>5</v>
      </c>
      <c r="O354">
        <v>1</v>
      </c>
      <c r="P354">
        <f t="shared" si="15"/>
        <v>1</v>
      </c>
      <c r="Q354">
        <f t="shared" si="16"/>
        <v>1</v>
      </c>
      <c r="R354">
        <f t="shared" si="17"/>
        <v>1</v>
      </c>
      <c r="S354" s="10" t="str" cm="1">
        <f t="array" ref="S354">_xlfn.IFS(N354="", "", N354&gt;=9,"Promoter", N354&gt;=7,"Passive", N354&lt;=6,"Detractor")</f>
        <v>Detractor</v>
      </c>
    </row>
    <row r="355" spans="1:19" ht="14.25" customHeight="1">
      <c r="A355" s="3" t="s">
        <v>386</v>
      </c>
      <c r="B355" s="3" t="s">
        <v>37</v>
      </c>
      <c r="C355" s="3" t="s">
        <v>27</v>
      </c>
      <c r="D355" s="4">
        <v>45946</v>
      </c>
      <c r="H355" s="3" t="s">
        <v>28</v>
      </c>
      <c r="I355" s="3" t="s">
        <v>31</v>
      </c>
      <c r="O355">
        <v>1</v>
      </c>
      <c r="P355">
        <f t="shared" si="15"/>
        <v>0</v>
      </c>
      <c r="Q355">
        <f t="shared" si="16"/>
        <v>0</v>
      </c>
      <c r="R355">
        <f t="shared" si="17"/>
        <v>0</v>
      </c>
      <c r="S355" s="10" t="str" cm="1">
        <f t="array" ref="S355">_xlfn.IFS(N355="", "", N355&gt;=9,"Promoter", N355&gt;=7,"Passive", N355&lt;=6,"Detractor")</f>
        <v/>
      </c>
    </row>
    <row r="356" spans="1:19" ht="14.25" customHeight="1">
      <c r="A356" s="3" t="s">
        <v>387</v>
      </c>
      <c r="B356" s="3" t="s">
        <v>24</v>
      </c>
      <c r="C356" s="3" t="s">
        <v>35</v>
      </c>
      <c r="D356" s="4">
        <v>45940</v>
      </c>
      <c r="E356" s="4">
        <v>45944</v>
      </c>
      <c r="F356" s="4">
        <v>45946</v>
      </c>
      <c r="G356" s="4">
        <v>45950</v>
      </c>
      <c r="H356" s="3" t="s">
        <v>22</v>
      </c>
      <c r="J356" s="4">
        <v>45977</v>
      </c>
      <c r="K356" s="3">
        <v>4</v>
      </c>
      <c r="L356" s="3">
        <v>2</v>
      </c>
      <c r="M356" s="3">
        <v>4</v>
      </c>
      <c r="N356" s="3">
        <v>2</v>
      </c>
      <c r="O356">
        <v>1</v>
      </c>
      <c r="P356">
        <f t="shared" si="15"/>
        <v>1</v>
      </c>
      <c r="Q356">
        <f t="shared" si="16"/>
        <v>1</v>
      </c>
      <c r="R356">
        <f t="shared" si="17"/>
        <v>1</v>
      </c>
      <c r="S356" s="10" t="str" cm="1">
        <f t="array" ref="S356">_xlfn.IFS(N356="", "", N356&gt;=9,"Promoter", N356&gt;=7,"Passive", N356&lt;=6,"Detractor")</f>
        <v>Detractor</v>
      </c>
    </row>
    <row r="357" spans="1:19" ht="14.25" customHeight="1">
      <c r="A357" s="3" t="s">
        <v>388</v>
      </c>
      <c r="B357" s="3" t="s">
        <v>26</v>
      </c>
      <c r="C357" s="3" t="s">
        <v>21</v>
      </c>
      <c r="D357" s="4">
        <v>45952</v>
      </c>
      <c r="E357" s="4">
        <v>45954</v>
      </c>
      <c r="F357" s="4">
        <v>45958</v>
      </c>
      <c r="G357" s="4">
        <v>45965</v>
      </c>
      <c r="H357" s="3" t="s">
        <v>22</v>
      </c>
      <c r="J357" s="4">
        <v>45987</v>
      </c>
      <c r="K357" s="3">
        <v>2</v>
      </c>
      <c r="L357" s="3">
        <v>4</v>
      </c>
      <c r="M357" s="3">
        <v>7</v>
      </c>
      <c r="N357" s="3">
        <v>3</v>
      </c>
      <c r="O357">
        <v>1</v>
      </c>
      <c r="P357">
        <f t="shared" si="15"/>
        <v>1</v>
      </c>
      <c r="Q357">
        <f t="shared" si="16"/>
        <v>1</v>
      </c>
      <c r="R357">
        <f t="shared" si="17"/>
        <v>1</v>
      </c>
      <c r="S357" s="10" t="str" cm="1">
        <f t="array" ref="S357">_xlfn.IFS(N357="", "", N357&gt;=9,"Promoter", N357&gt;=7,"Passive", N357&lt;=6,"Detractor")</f>
        <v>Detractor</v>
      </c>
    </row>
    <row r="358" spans="1:19" ht="14.25" customHeight="1">
      <c r="A358" s="3" t="s">
        <v>389</v>
      </c>
      <c r="B358" s="3" t="s">
        <v>24</v>
      </c>
      <c r="C358" s="3" t="s">
        <v>21</v>
      </c>
      <c r="D358" s="4">
        <v>45961</v>
      </c>
      <c r="E358" s="4">
        <v>45966</v>
      </c>
      <c r="F358" s="4">
        <v>45969</v>
      </c>
      <c r="G358" s="4">
        <v>45976</v>
      </c>
      <c r="H358" s="3" t="s">
        <v>22</v>
      </c>
      <c r="J358" s="4">
        <v>46003</v>
      </c>
      <c r="K358" s="3">
        <v>5</v>
      </c>
      <c r="L358" s="3">
        <v>3</v>
      </c>
      <c r="M358" s="3">
        <v>7</v>
      </c>
      <c r="N358" s="3">
        <v>10</v>
      </c>
      <c r="O358">
        <v>1</v>
      </c>
      <c r="P358">
        <f t="shared" si="15"/>
        <v>1</v>
      </c>
      <c r="Q358">
        <f t="shared" si="16"/>
        <v>1</v>
      </c>
      <c r="R358">
        <f t="shared" si="17"/>
        <v>1</v>
      </c>
      <c r="S358" s="10" t="str" cm="1">
        <f t="array" ref="S358">_xlfn.IFS(N358="", "", N358&gt;=9,"Promoter", N358&gt;=7,"Passive", N358&lt;=6,"Detractor")</f>
        <v>Promoter</v>
      </c>
    </row>
    <row r="359" spans="1:19" ht="14.25" customHeight="1">
      <c r="A359" s="3" t="s">
        <v>390</v>
      </c>
      <c r="B359" s="3" t="s">
        <v>20</v>
      </c>
      <c r="C359" s="3" t="s">
        <v>21</v>
      </c>
      <c r="D359" s="4">
        <v>45943</v>
      </c>
      <c r="E359" s="4">
        <v>45944</v>
      </c>
      <c r="F359" s="4">
        <v>45948</v>
      </c>
      <c r="G359" s="4">
        <v>45951</v>
      </c>
      <c r="H359" s="3" t="s">
        <v>22</v>
      </c>
      <c r="J359" s="4">
        <v>45971</v>
      </c>
      <c r="K359" s="3">
        <v>1</v>
      </c>
      <c r="L359" s="3">
        <v>4</v>
      </c>
      <c r="M359" s="3">
        <v>3</v>
      </c>
      <c r="N359" s="3">
        <v>3</v>
      </c>
      <c r="O359">
        <v>1</v>
      </c>
      <c r="P359">
        <f t="shared" si="15"/>
        <v>1</v>
      </c>
      <c r="Q359">
        <f t="shared" si="16"/>
        <v>1</v>
      </c>
      <c r="R359">
        <f t="shared" si="17"/>
        <v>1</v>
      </c>
      <c r="S359" s="10" t="str" cm="1">
        <f t="array" ref="S359">_xlfn.IFS(N359="", "", N359&gt;=9,"Promoter", N359&gt;=7,"Passive", N359&lt;=6,"Detractor")</f>
        <v>Detractor</v>
      </c>
    </row>
    <row r="360" spans="1:19" ht="14.25" customHeight="1">
      <c r="A360" s="3" t="s">
        <v>391</v>
      </c>
      <c r="B360" s="3" t="s">
        <v>24</v>
      </c>
      <c r="C360" s="3" t="s">
        <v>27</v>
      </c>
      <c r="D360" s="4">
        <v>45957</v>
      </c>
      <c r="H360" s="3" t="s">
        <v>28</v>
      </c>
      <c r="I360" s="3" t="s">
        <v>29</v>
      </c>
      <c r="O360">
        <v>1</v>
      </c>
      <c r="P360">
        <f t="shared" si="15"/>
        <v>0</v>
      </c>
      <c r="Q360">
        <f t="shared" si="16"/>
        <v>0</v>
      </c>
      <c r="R360">
        <f t="shared" si="17"/>
        <v>0</v>
      </c>
      <c r="S360" s="10" t="str" cm="1">
        <f t="array" ref="S360">_xlfn.IFS(N360="", "", N360&gt;=9,"Promoter", N360&gt;=7,"Passive", N360&lt;=6,"Detractor")</f>
        <v/>
      </c>
    </row>
    <row r="361" spans="1:19" ht="14.25" customHeight="1">
      <c r="A361" s="3" t="s">
        <v>392</v>
      </c>
      <c r="B361" s="3" t="s">
        <v>26</v>
      </c>
      <c r="C361" s="3" t="s">
        <v>35</v>
      </c>
      <c r="D361" s="4">
        <v>45955</v>
      </c>
      <c r="E361" s="4">
        <v>45958</v>
      </c>
      <c r="F361" s="4">
        <v>45962</v>
      </c>
      <c r="G361" s="4">
        <v>45967</v>
      </c>
      <c r="H361" s="3" t="s">
        <v>22</v>
      </c>
      <c r="J361" s="4">
        <v>45985</v>
      </c>
      <c r="K361" s="3">
        <v>3</v>
      </c>
      <c r="L361" s="3">
        <v>4</v>
      </c>
      <c r="M361" s="3">
        <v>5</v>
      </c>
      <c r="N361" s="3">
        <v>5</v>
      </c>
      <c r="O361">
        <v>1</v>
      </c>
      <c r="P361">
        <f t="shared" si="15"/>
        <v>1</v>
      </c>
      <c r="Q361">
        <f t="shared" si="16"/>
        <v>1</v>
      </c>
      <c r="R361">
        <f t="shared" si="17"/>
        <v>1</v>
      </c>
      <c r="S361" s="10" t="str" cm="1">
        <f t="array" ref="S361">_xlfn.IFS(N361="", "", N361&gt;=9,"Promoter", N361&gt;=7,"Passive", N361&lt;=6,"Detractor")</f>
        <v>Detractor</v>
      </c>
    </row>
    <row r="362" spans="1:19" ht="14.25" customHeight="1">
      <c r="A362" s="3" t="s">
        <v>393</v>
      </c>
      <c r="B362" s="3" t="s">
        <v>26</v>
      </c>
      <c r="C362" s="3" t="s">
        <v>21</v>
      </c>
      <c r="D362" s="4">
        <v>45948</v>
      </c>
      <c r="E362" s="4">
        <v>45953</v>
      </c>
      <c r="F362" s="4">
        <v>45957</v>
      </c>
      <c r="G362" s="4">
        <v>45964</v>
      </c>
      <c r="H362" s="3" t="s">
        <v>22</v>
      </c>
      <c r="J362" s="4">
        <v>45990</v>
      </c>
      <c r="K362" s="3">
        <v>5</v>
      </c>
      <c r="L362" s="3">
        <v>4</v>
      </c>
      <c r="M362" s="3">
        <v>7</v>
      </c>
      <c r="N362" s="3">
        <v>8</v>
      </c>
      <c r="O362">
        <v>1</v>
      </c>
      <c r="P362">
        <f t="shared" si="15"/>
        <v>1</v>
      </c>
      <c r="Q362">
        <f t="shared" si="16"/>
        <v>1</v>
      </c>
      <c r="R362">
        <f t="shared" si="17"/>
        <v>1</v>
      </c>
      <c r="S362" s="10" t="str" cm="1">
        <f t="array" ref="S362">_xlfn.IFS(N362="", "", N362&gt;=9,"Promoter", N362&gt;=7,"Passive", N362&lt;=6,"Detractor")</f>
        <v>Passive</v>
      </c>
    </row>
    <row r="363" spans="1:19" ht="14.25" customHeight="1">
      <c r="A363" s="3" t="s">
        <v>394</v>
      </c>
      <c r="B363" s="3" t="s">
        <v>37</v>
      </c>
      <c r="C363" s="3" t="s">
        <v>21</v>
      </c>
      <c r="D363" s="4">
        <v>45932</v>
      </c>
      <c r="E363" s="4">
        <v>45936</v>
      </c>
      <c r="F363" s="4">
        <v>45940</v>
      </c>
      <c r="G363" s="4">
        <v>45942</v>
      </c>
      <c r="H363" s="3" t="s">
        <v>22</v>
      </c>
      <c r="J363" s="4">
        <v>45966</v>
      </c>
      <c r="K363" s="3">
        <v>4</v>
      </c>
      <c r="L363" s="3">
        <v>4</v>
      </c>
      <c r="M363" s="3">
        <v>2</v>
      </c>
      <c r="N363" s="3">
        <v>0</v>
      </c>
      <c r="O363">
        <v>1</v>
      </c>
      <c r="P363">
        <f t="shared" si="15"/>
        <v>1</v>
      </c>
      <c r="Q363">
        <f t="shared" si="16"/>
        <v>1</v>
      </c>
      <c r="R363">
        <f t="shared" si="17"/>
        <v>1</v>
      </c>
      <c r="S363" s="10" t="str" cm="1">
        <f t="array" ref="S363">_xlfn.IFS(N363="", "", N363&gt;=9,"Promoter", N363&gt;=7,"Passive", N363&lt;=6,"Detractor")</f>
        <v>Detractor</v>
      </c>
    </row>
    <row r="364" spans="1:19" ht="14.25" customHeight="1">
      <c r="A364" s="3" t="s">
        <v>395</v>
      </c>
      <c r="B364" s="3" t="s">
        <v>24</v>
      </c>
      <c r="C364" s="3" t="s">
        <v>21</v>
      </c>
      <c r="D364" s="4">
        <v>45945</v>
      </c>
      <c r="E364" s="4">
        <v>45948</v>
      </c>
      <c r="F364" s="4">
        <v>45949</v>
      </c>
      <c r="G364" s="4">
        <v>45956</v>
      </c>
      <c r="H364" s="3" t="s">
        <v>22</v>
      </c>
      <c r="J364" s="4">
        <v>45966</v>
      </c>
      <c r="K364" s="3">
        <v>3</v>
      </c>
      <c r="L364" s="3">
        <v>1</v>
      </c>
      <c r="M364" s="3">
        <v>7</v>
      </c>
      <c r="N364" s="3">
        <v>1</v>
      </c>
      <c r="O364">
        <v>1</v>
      </c>
      <c r="P364">
        <f t="shared" si="15"/>
        <v>1</v>
      </c>
      <c r="Q364">
        <f t="shared" si="16"/>
        <v>1</v>
      </c>
      <c r="R364">
        <f t="shared" si="17"/>
        <v>1</v>
      </c>
      <c r="S364" s="10" t="str" cm="1">
        <f t="array" ref="S364">_xlfn.IFS(N364="", "", N364&gt;=9,"Promoter", N364&gt;=7,"Passive", N364&lt;=6,"Detractor")</f>
        <v>Detractor</v>
      </c>
    </row>
    <row r="365" spans="1:19" ht="14.25" customHeight="1">
      <c r="A365" s="3" t="s">
        <v>396</v>
      </c>
      <c r="B365" s="3" t="s">
        <v>26</v>
      </c>
      <c r="C365" s="3" t="s">
        <v>21</v>
      </c>
      <c r="D365" s="4">
        <v>45933</v>
      </c>
      <c r="E365" s="4">
        <v>45935</v>
      </c>
      <c r="F365" s="4">
        <v>45940</v>
      </c>
      <c r="G365" s="4">
        <v>45942</v>
      </c>
      <c r="H365" s="3" t="s">
        <v>22</v>
      </c>
      <c r="J365" s="4">
        <v>45971</v>
      </c>
      <c r="K365" s="3">
        <v>2</v>
      </c>
      <c r="L365" s="3">
        <v>5</v>
      </c>
      <c r="M365" s="3">
        <v>2</v>
      </c>
      <c r="N365" s="3">
        <v>4</v>
      </c>
      <c r="O365">
        <v>1</v>
      </c>
      <c r="P365">
        <f t="shared" si="15"/>
        <v>1</v>
      </c>
      <c r="Q365">
        <f t="shared" si="16"/>
        <v>1</v>
      </c>
      <c r="R365">
        <f t="shared" si="17"/>
        <v>1</v>
      </c>
      <c r="S365" s="10" t="str" cm="1">
        <f t="array" ref="S365">_xlfn.IFS(N365="", "", N365&gt;=9,"Promoter", N365&gt;=7,"Passive", N365&lt;=6,"Detractor")</f>
        <v>Detractor</v>
      </c>
    </row>
    <row r="366" spans="1:19" ht="14.25" customHeight="1">
      <c r="A366" s="3" t="s">
        <v>397</v>
      </c>
      <c r="B366" s="3" t="s">
        <v>20</v>
      </c>
      <c r="C366" s="3" t="s">
        <v>21</v>
      </c>
      <c r="D366" s="4">
        <v>45941</v>
      </c>
      <c r="E366" s="4">
        <v>45946</v>
      </c>
      <c r="F366" s="4">
        <v>45948</v>
      </c>
      <c r="G366" s="4">
        <v>45950</v>
      </c>
      <c r="H366" s="3" t="s">
        <v>22</v>
      </c>
      <c r="J366" s="4">
        <v>45978</v>
      </c>
      <c r="K366" s="3">
        <v>5</v>
      </c>
      <c r="L366" s="3">
        <v>2</v>
      </c>
      <c r="M366" s="3">
        <v>2</v>
      </c>
      <c r="N366" s="3">
        <v>5</v>
      </c>
      <c r="O366">
        <v>1</v>
      </c>
      <c r="P366">
        <f t="shared" si="15"/>
        <v>1</v>
      </c>
      <c r="Q366">
        <f t="shared" si="16"/>
        <v>1</v>
      </c>
      <c r="R366">
        <f t="shared" si="17"/>
        <v>1</v>
      </c>
      <c r="S366" s="10" t="str" cm="1">
        <f t="array" ref="S366">_xlfn.IFS(N366="", "", N366&gt;=9,"Promoter", N366&gt;=7,"Passive", N366&lt;=6,"Detractor")</f>
        <v>Detractor</v>
      </c>
    </row>
    <row r="367" spans="1:19" ht="14.25" customHeight="1">
      <c r="A367" s="3" t="s">
        <v>398</v>
      </c>
      <c r="B367" s="3" t="s">
        <v>37</v>
      </c>
      <c r="C367" s="3" t="s">
        <v>21</v>
      </c>
      <c r="D367" s="4">
        <v>45939</v>
      </c>
      <c r="E367" s="4">
        <v>45940</v>
      </c>
      <c r="F367" s="4">
        <v>45943</v>
      </c>
      <c r="G367" s="4">
        <v>45946</v>
      </c>
      <c r="H367" s="3" t="s">
        <v>22</v>
      </c>
      <c r="J367" s="4">
        <v>45972</v>
      </c>
      <c r="K367" s="3">
        <v>1</v>
      </c>
      <c r="L367" s="3">
        <v>3</v>
      </c>
      <c r="M367" s="3">
        <v>3</v>
      </c>
      <c r="N367" s="3">
        <v>10</v>
      </c>
      <c r="O367">
        <v>1</v>
      </c>
      <c r="P367">
        <f t="shared" si="15"/>
        <v>1</v>
      </c>
      <c r="Q367">
        <f t="shared" si="16"/>
        <v>1</v>
      </c>
      <c r="R367">
        <f t="shared" si="17"/>
        <v>1</v>
      </c>
      <c r="S367" s="10" t="str" cm="1">
        <f t="array" ref="S367">_xlfn.IFS(N367="", "", N367&gt;=9,"Promoter", N367&gt;=7,"Passive", N367&lt;=6,"Detractor")</f>
        <v>Promoter</v>
      </c>
    </row>
    <row r="368" spans="1:19" ht="14.25" customHeight="1">
      <c r="A368" s="3" t="s">
        <v>399</v>
      </c>
      <c r="B368" s="3" t="s">
        <v>20</v>
      </c>
      <c r="C368" s="3" t="s">
        <v>21</v>
      </c>
      <c r="D368" s="4">
        <v>45941</v>
      </c>
      <c r="E368" s="4">
        <v>45945</v>
      </c>
      <c r="F368" s="4">
        <v>45946</v>
      </c>
      <c r="G368" s="4">
        <v>45951</v>
      </c>
      <c r="H368" s="3" t="s">
        <v>22</v>
      </c>
      <c r="J368" s="4">
        <v>45974</v>
      </c>
      <c r="K368" s="3">
        <v>4</v>
      </c>
      <c r="L368" s="3">
        <v>1</v>
      </c>
      <c r="M368" s="3">
        <v>5</v>
      </c>
      <c r="N368" s="3">
        <v>3</v>
      </c>
      <c r="O368">
        <v>1</v>
      </c>
      <c r="P368">
        <f t="shared" si="15"/>
        <v>1</v>
      </c>
      <c r="Q368">
        <f t="shared" si="16"/>
        <v>1</v>
      </c>
      <c r="R368">
        <f t="shared" si="17"/>
        <v>1</v>
      </c>
      <c r="S368" s="10" t="str" cm="1">
        <f t="array" ref="S368">_xlfn.IFS(N368="", "", N368&gt;=9,"Promoter", N368&gt;=7,"Passive", N368&lt;=6,"Detractor")</f>
        <v>Detractor</v>
      </c>
    </row>
    <row r="369" spans="1:19" ht="14.25" customHeight="1">
      <c r="A369" s="3" t="s">
        <v>400</v>
      </c>
      <c r="B369" s="3" t="s">
        <v>24</v>
      </c>
      <c r="C369" s="3" t="s">
        <v>35</v>
      </c>
      <c r="D369" s="4">
        <v>45934</v>
      </c>
      <c r="E369" s="4">
        <v>45939</v>
      </c>
      <c r="F369" s="4">
        <v>45941</v>
      </c>
      <c r="G369" s="4">
        <v>45943</v>
      </c>
      <c r="H369" s="3" t="s">
        <v>28</v>
      </c>
      <c r="I369" s="3" t="s">
        <v>31</v>
      </c>
      <c r="K369" s="3">
        <v>5</v>
      </c>
      <c r="L369" s="3">
        <v>2</v>
      </c>
      <c r="M369" s="3">
        <v>2</v>
      </c>
      <c r="O369">
        <v>1</v>
      </c>
      <c r="P369">
        <f t="shared" si="15"/>
        <v>1</v>
      </c>
      <c r="Q369">
        <f t="shared" si="16"/>
        <v>1</v>
      </c>
      <c r="R369">
        <f t="shared" si="17"/>
        <v>0</v>
      </c>
      <c r="S369" s="10" t="str" cm="1">
        <f t="array" ref="S369">_xlfn.IFS(N369="", "", N369&gt;=9,"Promoter", N369&gt;=7,"Passive", N369&lt;=6,"Detractor")</f>
        <v/>
      </c>
    </row>
    <row r="370" spans="1:19" ht="14.25" customHeight="1">
      <c r="A370" s="3" t="s">
        <v>401</v>
      </c>
      <c r="B370" s="3" t="s">
        <v>24</v>
      </c>
      <c r="C370" s="3" t="s">
        <v>21</v>
      </c>
      <c r="D370" s="4">
        <v>45955</v>
      </c>
      <c r="E370" s="4">
        <v>45958</v>
      </c>
      <c r="F370" s="4">
        <v>45963</v>
      </c>
      <c r="G370" s="4">
        <v>45966</v>
      </c>
      <c r="H370" s="3" t="s">
        <v>22</v>
      </c>
      <c r="J370" s="4">
        <v>45979</v>
      </c>
      <c r="K370" s="3">
        <v>3</v>
      </c>
      <c r="L370" s="3">
        <v>5</v>
      </c>
      <c r="M370" s="3">
        <v>3</v>
      </c>
      <c r="N370" s="3">
        <v>10</v>
      </c>
      <c r="O370">
        <v>1</v>
      </c>
      <c r="P370">
        <f t="shared" si="15"/>
        <v>1</v>
      </c>
      <c r="Q370">
        <f t="shared" si="16"/>
        <v>1</v>
      </c>
      <c r="R370">
        <f t="shared" si="17"/>
        <v>1</v>
      </c>
      <c r="S370" s="10" t="str" cm="1">
        <f t="array" ref="S370">_xlfn.IFS(N370="", "", N370&gt;=9,"Promoter", N370&gt;=7,"Passive", N370&lt;=6,"Detractor")</f>
        <v>Promoter</v>
      </c>
    </row>
    <row r="371" spans="1:19" ht="14.25" customHeight="1">
      <c r="A371" s="3" t="s">
        <v>402</v>
      </c>
      <c r="B371" s="3" t="s">
        <v>24</v>
      </c>
      <c r="C371" s="3" t="s">
        <v>35</v>
      </c>
      <c r="D371" s="4">
        <v>45943</v>
      </c>
      <c r="E371" s="4">
        <v>45944</v>
      </c>
      <c r="F371" s="4">
        <v>45948</v>
      </c>
      <c r="G371" s="4">
        <v>45954</v>
      </c>
      <c r="H371" s="3" t="s">
        <v>22</v>
      </c>
      <c r="J371" s="4">
        <v>45977</v>
      </c>
      <c r="K371" s="3">
        <v>1</v>
      </c>
      <c r="L371" s="3">
        <v>4</v>
      </c>
      <c r="M371" s="3">
        <v>6</v>
      </c>
      <c r="N371" s="3">
        <v>4</v>
      </c>
      <c r="O371">
        <v>1</v>
      </c>
      <c r="P371">
        <f t="shared" si="15"/>
        <v>1</v>
      </c>
      <c r="Q371">
        <f t="shared" si="16"/>
        <v>1</v>
      </c>
      <c r="R371">
        <f t="shared" si="17"/>
        <v>1</v>
      </c>
      <c r="S371" s="10" t="str" cm="1">
        <f t="array" ref="S371">_xlfn.IFS(N371="", "", N371&gt;=9,"Promoter", N371&gt;=7,"Passive", N371&lt;=6,"Detractor")</f>
        <v>Detractor</v>
      </c>
    </row>
    <row r="372" spans="1:19" ht="14.25" customHeight="1">
      <c r="A372" s="3" t="s">
        <v>403</v>
      </c>
      <c r="B372" s="3" t="s">
        <v>37</v>
      </c>
      <c r="C372" s="3" t="s">
        <v>21</v>
      </c>
      <c r="D372" s="4">
        <v>45958</v>
      </c>
      <c r="E372" s="4">
        <v>45961</v>
      </c>
      <c r="F372" s="4">
        <v>45966</v>
      </c>
      <c r="G372" s="4">
        <v>45969</v>
      </c>
      <c r="H372" s="3" t="s">
        <v>22</v>
      </c>
      <c r="J372" s="4">
        <v>45983</v>
      </c>
      <c r="K372" s="3">
        <v>3</v>
      </c>
      <c r="L372" s="3">
        <v>5</v>
      </c>
      <c r="M372" s="3">
        <v>3</v>
      </c>
      <c r="N372" s="3">
        <v>7</v>
      </c>
      <c r="O372">
        <v>1</v>
      </c>
      <c r="P372">
        <f t="shared" si="15"/>
        <v>1</v>
      </c>
      <c r="Q372">
        <f t="shared" si="16"/>
        <v>1</v>
      </c>
      <c r="R372">
        <f t="shared" si="17"/>
        <v>1</v>
      </c>
      <c r="S372" s="10" t="str" cm="1">
        <f t="array" ref="S372">_xlfn.IFS(N372="", "", N372&gt;=9,"Promoter", N372&gt;=7,"Passive", N372&lt;=6,"Detractor")</f>
        <v>Passive</v>
      </c>
    </row>
    <row r="373" spans="1:19" ht="14.25" customHeight="1">
      <c r="A373" s="3" t="s">
        <v>404</v>
      </c>
      <c r="B373" s="3" t="s">
        <v>26</v>
      </c>
      <c r="C373" s="3" t="s">
        <v>21</v>
      </c>
      <c r="D373" s="4">
        <v>45947</v>
      </c>
      <c r="E373" s="4">
        <v>45950</v>
      </c>
      <c r="F373" s="4">
        <v>45952</v>
      </c>
      <c r="G373" s="4">
        <v>45958</v>
      </c>
      <c r="H373" s="3" t="s">
        <v>22</v>
      </c>
      <c r="J373" s="4">
        <v>45972</v>
      </c>
      <c r="K373" s="3">
        <v>3</v>
      </c>
      <c r="L373" s="3">
        <v>2</v>
      </c>
      <c r="M373" s="3">
        <v>6</v>
      </c>
      <c r="N373" s="3">
        <v>1</v>
      </c>
      <c r="O373">
        <v>1</v>
      </c>
      <c r="P373">
        <f t="shared" si="15"/>
        <v>1</v>
      </c>
      <c r="Q373">
        <f t="shared" si="16"/>
        <v>1</v>
      </c>
      <c r="R373">
        <f t="shared" si="17"/>
        <v>1</v>
      </c>
      <c r="S373" s="10" t="str" cm="1">
        <f t="array" ref="S373">_xlfn.IFS(N373="", "", N373&gt;=9,"Promoter", N373&gt;=7,"Passive", N373&lt;=6,"Detractor")</f>
        <v>Detractor</v>
      </c>
    </row>
    <row r="374" spans="1:19" ht="14.25" customHeight="1">
      <c r="A374" s="3" t="s">
        <v>405</v>
      </c>
      <c r="B374" s="3" t="s">
        <v>37</v>
      </c>
      <c r="C374" s="3" t="s">
        <v>21</v>
      </c>
      <c r="D374" s="4">
        <v>45957</v>
      </c>
      <c r="E374" s="4">
        <v>45959</v>
      </c>
      <c r="F374" s="4">
        <v>45961</v>
      </c>
      <c r="G374" s="4">
        <v>45968</v>
      </c>
      <c r="H374" s="3" t="s">
        <v>22</v>
      </c>
      <c r="J374" s="4">
        <v>45996</v>
      </c>
      <c r="K374" s="3">
        <v>2</v>
      </c>
      <c r="L374" s="3">
        <v>2</v>
      </c>
      <c r="M374" s="3">
        <v>7</v>
      </c>
      <c r="N374" s="3">
        <v>5</v>
      </c>
      <c r="O374">
        <v>1</v>
      </c>
      <c r="P374">
        <f t="shared" si="15"/>
        <v>1</v>
      </c>
      <c r="Q374">
        <f t="shared" si="16"/>
        <v>1</v>
      </c>
      <c r="R374">
        <f t="shared" si="17"/>
        <v>1</v>
      </c>
      <c r="S374" s="10" t="str" cm="1">
        <f t="array" ref="S374">_xlfn.IFS(N374="", "", N374&gt;=9,"Promoter", N374&gt;=7,"Passive", N374&lt;=6,"Detractor")</f>
        <v>Detractor</v>
      </c>
    </row>
    <row r="375" spans="1:19" ht="14.25" customHeight="1">
      <c r="A375" s="3" t="s">
        <v>406</v>
      </c>
      <c r="B375" s="3" t="s">
        <v>20</v>
      </c>
      <c r="C375" s="3" t="s">
        <v>21</v>
      </c>
      <c r="D375" s="4">
        <v>45931</v>
      </c>
      <c r="E375" s="4">
        <v>45933</v>
      </c>
      <c r="F375" s="4">
        <v>45934</v>
      </c>
      <c r="G375" s="4">
        <v>45939</v>
      </c>
      <c r="H375" s="3" t="s">
        <v>22</v>
      </c>
      <c r="J375" s="4">
        <v>45967</v>
      </c>
      <c r="K375" s="3">
        <v>2</v>
      </c>
      <c r="L375" s="3">
        <v>1</v>
      </c>
      <c r="M375" s="3">
        <v>5</v>
      </c>
      <c r="N375" s="3">
        <v>2</v>
      </c>
      <c r="O375">
        <v>1</v>
      </c>
      <c r="P375">
        <f t="shared" si="15"/>
        <v>1</v>
      </c>
      <c r="Q375">
        <f t="shared" si="16"/>
        <v>1</v>
      </c>
      <c r="R375">
        <f t="shared" si="17"/>
        <v>1</v>
      </c>
      <c r="S375" s="10" t="str" cm="1">
        <f t="array" ref="S375">_xlfn.IFS(N375="", "", N375&gt;=9,"Promoter", N375&gt;=7,"Passive", N375&lt;=6,"Detractor")</f>
        <v>Detractor</v>
      </c>
    </row>
    <row r="376" spans="1:19" ht="14.25" customHeight="1">
      <c r="A376" s="3" t="s">
        <v>407</v>
      </c>
      <c r="B376" s="3" t="s">
        <v>37</v>
      </c>
      <c r="C376" s="3" t="s">
        <v>35</v>
      </c>
      <c r="D376" s="4">
        <v>45952</v>
      </c>
      <c r="E376" s="4">
        <v>45955</v>
      </c>
      <c r="F376" s="4">
        <v>45956</v>
      </c>
      <c r="G376" s="4">
        <v>45958</v>
      </c>
      <c r="H376" s="3" t="s">
        <v>22</v>
      </c>
      <c r="J376" s="4">
        <v>45986</v>
      </c>
      <c r="K376" s="3">
        <v>3</v>
      </c>
      <c r="L376" s="3">
        <v>1</v>
      </c>
      <c r="M376" s="3">
        <v>2</v>
      </c>
      <c r="N376" s="3">
        <v>9</v>
      </c>
      <c r="O376">
        <v>1</v>
      </c>
      <c r="P376">
        <f t="shared" si="15"/>
        <v>1</v>
      </c>
      <c r="Q376">
        <f t="shared" si="16"/>
        <v>1</v>
      </c>
      <c r="R376">
        <f t="shared" si="17"/>
        <v>1</v>
      </c>
      <c r="S376" s="10" t="str" cm="1">
        <f t="array" ref="S376">_xlfn.IFS(N376="", "", N376&gt;=9,"Promoter", N376&gt;=7,"Passive", N376&lt;=6,"Detractor")</f>
        <v>Promoter</v>
      </c>
    </row>
    <row r="377" spans="1:19" ht="14.25" customHeight="1">
      <c r="A377" s="3" t="s">
        <v>408</v>
      </c>
      <c r="B377" s="3" t="s">
        <v>20</v>
      </c>
      <c r="C377" s="3" t="s">
        <v>21</v>
      </c>
      <c r="D377" s="4">
        <v>45958</v>
      </c>
      <c r="E377" s="4">
        <v>45962</v>
      </c>
      <c r="F377" s="4">
        <v>45965</v>
      </c>
      <c r="G377" s="4">
        <v>45967</v>
      </c>
      <c r="H377" s="3" t="s">
        <v>28</v>
      </c>
      <c r="I377" s="3" t="s">
        <v>38</v>
      </c>
      <c r="K377" s="3">
        <v>4</v>
      </c>
      <c r="L377" s="3">
        <v>3</v>
      </c>
      <c r="M377" s="3">
        <v>2</v>
      </c>
      <c r="O377">
        <v>1</v>
      </c>
      <c r="P377">
        <f t="shared" si="15"/>
        <v>1</v>
      </c>
      <c r="Q377">
        <f t="shared" si="16"/>
        <v>1</v>
      </c>
      <c r="R377">
        <f t="shared" si="17"/>
        <v>0</v>
      </c>
      <c r="S377" s="10" t="str" cm="1">
        <f t="array" ref="S377">_xlfn.IFS(N377="", "", N377&gt;=9,"Promoter", N377&gt;=7,"Passive", N377&lt;=6,"Detractor")</f>
        <v/>
      </c>
    </row>
    <row r="378" spans="1:19" ht="14.25" customHeight="1">
      <c r="A378" s="3" t="s">
        <v>409</v>
      </c>
      <c r="B378" s="3" t="s">
        <v>37</v>
      </c>
      <c r="C378" s="3" t="s">
        <v>21</v>
      </c>
      <c r="D378" s="4">
        <v>45948</v>
      </c>
      <c r="E378" s="4">
        <v>45950</v>
      </c>
      <c r="F378" s="4">
        <v>45954</v>
      </c>
      <c r="G378" s="4">
        <v>45961</v>
      </c>
      <c r="H378" s="3" t="s">
        <v>22</v>
      </c>
      <c r="J378" s="4">
        <v>45974</v>
      </c>
      <c r="K378" s="3">
        <v>2</v>
      </c>
      <c r="L378" s="3">
        <v>4</v>
      </c>
      <c r="M378" s="3">
        <v>7</v>
      </c>
      <c r="N378" s="3">
        <v>3</v>
      </c>
      <c r="O378">
        <v>1</v>
      </c>
      <c r="P378">
        <f t="shared" si="15"/>
        <v>1</v>
      </c>
      <c r="Q378">
        <f t="shared" si="16"/>
        <v>1</v>
      </c>
      <c r="R378">
        <f t="shared" si="17"/>
        <v>1</v>
      </c>
      <c r="S378" s="10" t="str" cm="1">
        <f t="array" ref="S378">_xlfn.IFS(N378="", "", N378&gt;=9,"Promoter", N378&gt;=7,"Passive", N378&lt;=6,"Detractor")</f>
        <v>Detractor</v>
      </c>
    </row>
    <row r="379" spans="1:19" ht="14.25" customHeight="1">
      <c r="A379" s="3" t="s">
        <v>410</v>
      </c>
      <c r="B379" s="3" t="s">
        <v>26</v>
      </c>
      <c r="C379" s="3" t="s">
        <v>21</v>
      </c>
      <c r="D379" s="4">
        <v>45945</v>
      </c>
      <c r="E379" s="4">
        <v>45947</v>
      </c>
      <c r="F379" s="4">
        <v>45952</v>
      </c>
      <c r="G379" s="4">
        <v>45956</v>
      </c>
      <c r="H379" s="3" t="s">
        <v>22</v>
      </c>
      <c r="J379" s="4">
        <v>45969</v>
      </c>
      <c r="K379" s="3">
        <v>2</v>
      </c>
      <c r="L379" s="3">
        <v>5</v>
      </c>
      <c r="M379" s="3">
        <v>4</v>
      </c>
      <c r="N379" s="3">
        <v>9</v>
      </c>
      <c r="O379">
        <v>1</v>
      </c>
      <c r="P379">
        <f t="shared" si="15"/>
        <v>1</v>
      </c>
      <c r="Q379">
        <f t="shared" si="16"/>
        <v>1</v>
      </c>
      <c r="R379">
        <f t="shared" si="17"/>
        <v>1</v>
      </c>
      <c r="S379" s="10" t="str" cm="1">
        <f t="array" ref="S379">_xlfn.IFS(N379="", "", N379&gt;=9,"Promoter", N379&gt;=7,"Passive", N379&lt;=6,"Detractor")</f>
        <v>Promoter</v>
      </c>
    </row>
    <row r="380" spans="1:19" ht="14.25" customHeight="1">
      <c r="A380" s="3" t="s">
        <v>411</v>
      </c>
      <c r="B380" s="3" t="s">
        <v>20</v>
      </c>
      <c r="C380" s="3" t="s">
        <v>27</v>
      </c>
      <c r="D380" s="4">
        <v>45944</v>
      </c>
      <c r="H380" s="3" t="s">
        <v>28</v>
      </c>
      <c r="I380" s="3" t="s">
        <v>68</v>
      </c>
      <c r="O380">
        <v>1</v>
      </c>
      <c r="P380">
        <f t="shared" si="15"/>
        <v>0</v>
      </c>
      <c r="Q380">
        <f t="shared" si="16"/>
        <v>0</v>
      </c>
      <c r="R380">
        <f t="shared" si="17"/>
        <v>0</v>
      </c>
      <c r="S380" s="10" t="str" cm="1">
        <f t="array" ref="S380">_xlfn.IFS(N380="", "", N380&gt;=9,"Promoter", N380&gt;=7,"Passive", N380&lt;=6,"Detractor")</f>
        <v/>
      </c>
    </row>
    <row r="381" spans="1:19" ht="14.25" customHeight="1">
      <c r="A381" s="3" t="s">
        <v>412</v>
      </c>
      <c r="B381" s="3" t="s">
        <v>24</v>
      </c>
      <c r="C381" s="3" t="s">
        <v>35</v>
      </c>
      <c r="D381" s="4">
        <v>45932</v>
      </c>
      <c r="E381" s="4">
        <v>45934</v>
      </c>
      <c r="F381" s="4">
        <v>45938</v>
      </c>
      <c r="G381" s="4">
        <v>45940</v>
      </c>
      <c r="H381" s="3" t="s">
        <v>22</v>
      </c>
      <c r="J381" s="4">
        <v>45968</v>
      </c>
      <c r="K381" s="3">
        <v>2</v>
      </c>
      <c r="L381" s="3">
        <v>4</v>
      </c>
      <c r="M381" s="3">
        <v>2</v>
      </c>
      <c r="N381" s="3">
        <v>10</v>
      </c>
      <c r="O381">
        <v>1</v>
      </c>
      <c r="P381">
        <f t="shared" si="15"/>
        <v>1</v>
      </c>
      <c r="Q381">
        <f t="shared" si="16"/>
        <v>1</v>
      </c>
      <c r="R381">
        <f t="shared" si="17"/>
        <v>1</v>
      </c>
      <c r="S381" s="10" t="str" cm="1">
        <f t="array" ref="S381">_xlfn.IFS(N381="", "", N381&gt;=9,"Promoter", N381&gt;=7,"Passive", N381&lt;=6,"Detractor")</f>
        <v>Promoter</v>
      </c>
    </row>
    <row r="382" spans="1:19" ht="14.25" customHeight="1">
      <c r="A382" s="3" t="s">
        <v>413</v>
      </c>
      <c r="B382" s="3" t="s">
        <v>24</v>
      </c>
      <c r="C382" s="3" t="s">
        <v>21</v>
      </c>
      <c r="D382" s="4">
        <v>45937</v>
      </c>
      <c r="E382" s="4">
        <v>45939</v>
      </c>
      <c r="F382" s="4">
        <v>45944</v>
      </c>
      <c r="G382" s="4">
        <v>45949</v>
      </c>
      <c r="H382" s="3" t="s">
        <v>22</v>
      </c>
      <c r="J382" s="4">
        <v>45962</v>
      </c>
      <c r="K382" s="3">
        <v>2</v>
      </c>
      <c r="L382" s="3">
        <v>5</v>
      </c>
      <c r="M382" s="3">
        <v>5</v>
      </c>
      <c r="N382" s="3">
        <v>1</v>
      </c>
      <c r="O382">
        <v>1</v>
      </c>
      <c r="P382">
        <f t="shared" si="15"/>
        <v>1</v>
      </c>
      <c r="Q382">
        <f t="shared" si="16"/>
        <v>1</v>
      </c>
      <c r="R382">
        <f t="shared" si="17"/>
        <v>1</v>
      </c>
      <c r="S382" s="10" t="str" cm="1">
        <f t="array" ref="S382">_xlfn.IFS(N382="", "", N382&gt;=9,"Promoter", N382&gt;=7,"Passive", N382&lt;=6,"Detractor")</f>
        <v>Detractor</v>
      </c>
    </row>
    <row r="383" spans="1:19" ht="14.25" customHeight="1">
      <c r="A383" s="3" t="s">
        <v>414</v>
      </c>
      <c r="B383" s="3" t="s">
        <v>37</v>
      </c>
      <c r="C383" s="3" t="s">
        <v>21</v>
      </c>
      <c r="D383" s="4">
        <v>45947</v>
      </c>
      <c r="E383" s="4">
        <v>45948</v>
      </c>
      <c r="F383" s="4">
        <v>45952</v>
      </c>
      <c r="G383" s="4">
        <v>45959</v>
      </c>
      <c r="H383" s="3" t="s">
        <v>22</v>
      </c>
      <c r="J383" s="4">
        <v>45978</v>
      </c>
      <c r="K383" s="3">
        <v>1</v>
      </c>
      <c r="L383" s="3">
        <v>4</v>
      </c>
      <c r="M383" s="3">
        <v>7</v>
      </c>
      <c r="N383" s="3">
        <v>8</v>
      </c>
      <c r="O383">
        <v>1</v>
      </c>
      <c r="P383">
        <f t="shared" si="15"/>
        <v>1</v>
      </c>
      <c r="Q383">
        <f t="shared" si="16"/>
        <v>1</v>
      </c>
      <c r="R383">
        <f t="shared" si="17"/>
        <v>1</v>
      </c>
      <c r="S383" s="10" t="str" cm="1">
        <f t="array" ref="S383">_xlfn.IFS(N383="", "", N383&gt;=9,"Promoter", N383&gt;=7,"Passive", N383&lt;=6,"Detractor")</f>
        <v>Passive</v>
      </c>
    </row>
    <row r="384" spans="1:19" ht="14.25" customHeight="1">
      <c r="A384" s="3" t="s">
        <v>415</v>
      </c>
      <c r="B384" s="3" t="s">
        <v>24</v>
      </c>
      <c r="C384" s="3" t="s">
        <v>21</v>
      </c>
      <c r="D384" s="4">
        <v>45942</v>
      </c>
      <c r="E384" s="4">
        <v>45945</v>
      </c>
      <c r="F384" s="4">
        <v>45947</v>
      </c>
      <c r="G384" s="4">
        <v>45950</v>
      </c>
      <c r="H384" s="3" t="s">
        <v>22</v>
      </c>
      <c r="J384" s="4">
        <v>45977</v>
      </c>
      <c r="K384" s="3">
        <v>3</v>
      </c>
      <c r="L384" s="3">
        <v>2</v>
      </c>
      <c r="M384" s="3">
        <v>3</v>
      </c>
      <c r="N384" s="3">
        <v>4</v>
      </c>
      <c r="O384">
        <v>1</v>
      </c>
      <c r="P384">
        <f t="shared" si="15"/>
        <v>1</v>
      </c>
      <c r="Q384">
        <f t="shared" si="16"/>
        <v>1</v>
      </c>
      <c r="R384">
        <f t="shared" si="17"/>
        <v>1</v>
      </c>
      <c r="S384" s="10" t="str" cm="1">
        <f t="array" ref="S384">_xlfn.IFS(N384="", "", N384&gt;=9,"Promoter", N384&gt;=7,"Passive", N384&lt;=6,"Detractor")</f>
        <v>Detractor</v>
      </c>
    </row>
    <row r="385" spans="1:19" ht="14.25" customHeight="1">
      <c r="A385" s="3" t="s">
        <v>416</v>
      </c>
      <c r="B385" s="3" t="s">
        <v>20</v>
      </c>
      <c r="C385" s="3" t="s">
        <v>35</v>
      </c>
      <c r="D385" s="4">
        <v>45950</v>
      </c>
      <c r="E385" s="4">
        <v>45951</v>
      </c>
      <c r="F385" s="4">
        <v>45953</v>
      </c>
      <c r="G385" s="4">
        <v>45958</v>
      </c>
      <c r="H385" s="3" t="s">
        <v>22</v>
      </c>
      <c r="J385" s="4">
        <v>45979</v>
      </c>
      <c r="K385" s="3">
        <v>1</v>
      </c>
      <c r="L385" s="3">
        <v>2</v>
      </c>
      <c r="M385" s="3">
        <v>5</v>
      </c>
      <c r="N385" s="3">
        <v>9</v>
      </c>
      <c r="O385">
        <v>1</v>
      </c>
      <c r="P385">
        <f t="shared" si="15"/>
        <v>1</v>
      </c>
      <c r="Q385">
        <f t="shared" si="16"/>
        <v>1</v>
      </c>
      <c r="R385">
        <f t="shared" si="17"/>
        <v>1</v>
      </c>
      <c r="S385" s="10" t="str" cm="1">
        <f t="array" ref="S385">_xlfn.IFS(N385="", "", N385&gt;=9,"Promoter", N385&gt;=7,"Passive", N385&lt;=6,"Detractor")</f>
        <v>Promoter</v>
      </c>
    </row>
    <row r="386" spans="1:19" ht="14.25" customHeight="1">
      <c r="A386" s="3" t="s">
        <v>417</v>
      </c>
      <c r="B386" s="3" t="s">
        <v>24</v>
      </c>
      <c r="C386" s="3" t="s">
        <v>35</v>
      </c>
      <c r="D386" s="4">
        <v>45955</v>
      </c>
      <c r="E386" s="4">
        <v>45960</v>
      </c>
      <c r="F386" s="4">
        <v>45964</v>
      </c>
      <c r="G386" s="4">
        <v>45966</v>
      </c>
      <c r="H386" s="3" t="s">
        <v>28</v>
      </c>
      <c r="I386" s="3" t="s">
        <v>31</v>
      </c>
      <c r="K386" s="3">
        <v>5</v>
      </c>
      <c r="L386" s="3">
        <v>4</v>
      </c>
      <c r="M386" s="3">
        <v>2</v>
      </c>
      <c r="O386">
        <v>1</v>
      </c>
      <c r="P386">
        <f t="shared" si="15"/>
        <v>1</v>
      </c>
      <c r="Q386">
        <f t="shared" si="16"/>
        <v>1</v>
      </c>
      <c r="R386">
        <f t="shared" si="17"/>
        <v>0</v>
      </c>
      <c r="S386" s="10" t="str" cm="1">
        <f t="array" ref="S386">_xlfn.IFS(N386="", "", N386&gt;=9,"Promoter", N386&gt;=7,"Passive", N386&lt;=6,"Detractor")</f>
        <v/>
      </c>
    </row>
    <row r="387" spans="1:19" ht="14.25" customHeight="1">
      <c r="A387" s="3" t="s">
        <v>418</v>
      </c>
      <c r="B387" s="3" t="s">
        <v>26</v>
      </c>
      <c r="C387" s="3" t="s">
        <v>27</v>
      </c>
      <c r="D387" s="4">
        <v>45946</v>
      </c>
      <c r="H387" s="3" t="s">
        <v>28</v>
      </c>
      <c r="I387" s="3" t="s">
        <v>106</v>
      </c>
      <c r="O387">
        <v>1</v>
      </c>
      <c r="P387">
        <f t="shared" ref="P387:P450" si="18">IF(E387&lt;&gt;"", 1, 0)</f>
        <v>0</v>
      </c>
      <c r="Q387">
        <f t="shared" ref="Q387:Q450" si="19">IF(G387&lt;&gt;"",1,0)</f>
        <v>0</v>
      </c>
      <c r="R387">
        <f t="shared" ref="R387:R450" si="20">IF(AND(G387&lt;&gt;"", H387="No"), 1, 0)</f>
        <v>0</v>
      </c>
      <c r="S387" s="10" t="str" cm="1">
        <f t="array" ref="S387">_xlfn.IFS(N387="", "", N387&gt;=9,"Promoter", N387&gt;=7,"Passive", N387&lt;=6,"Detractor")</f>
        <v/>
      </c>
    </row>
    <row r="388" spans="1:19" ht="14.25" customHeight="1">
      <c r="A388" s="3" t="s">
        <v>419</v>
      </c>
      <c r="B388" s="3" t="s">
        <v>26</v>
      </c>
      <c r="C388" s="3" t="s">
        <v>21</v>
      </c>
      <c r="D388" s="4">
        <v>45951</v>
      </c>
      <c r="E388" s="4">
        <v>45956</v>
      </c>
      <c r="F388" s="4">
        <v>45959</v>
      </c>
      <c r="G388" s="4">
        <v>45962</v>
      </c>
      <c r="H388" s="3" t="s">
        <v>22</v>
      </c>
      <c r="J388" s="4">
        <v>45985</v>
      </c>
      <c r="K388" s="3">
        <v>5</v>
      </c>
      <c r="L388" s="3">
        <v>3</v>
      </c>
      <c r="M388" s="3">
        <v>3</v>
      </c>
      <c r="N388" s="3">
        <v>5</v>
      </c>
      <c r="O388">
        <v>1</v>
      </c>
      <c r="P388">
        <f t="shared" si="18"/>
        <v>1</v>
      </c>
      <c r="Q388">
        <f t="shared" si="19"/>
        <v>1</v>
      </c>
      <c r="R388">
        <f t="shared" si="20"/>
        <v>1</v>
      </c>
      <c r="S388" s="10" t="str" cm="1">
        <f t="array" ref="S388">_xlfn.IFS(N388="", "", N388&gt;=9,"Promoter", N388&gt;=7,"Passive", N388&lt;=6,"Detractor")</f>
        <v>Detractor</v>
      </c>
    </row>
    <row r="389" spans="1:19" ht="14.25" customHeight="1">
      <c r="A389" s="3" t="s">
        <v>420</v>
      </c>
      <c r="B389" s="3" t="s">
        <v>37</v>
      </c>
      <c r="C389" s="3" t="s">
        <v>21</v>
      </c>
      <c r="D389" s="4">
        <v>45945</v>
      </c>
      <c r="E389" s="4">
        <v>45950</v>
      </c>
      <c r="F389" s="4">
        <v>45952</v>
      </c>
      <c r="G389" s="4">
        <v>45957</v>
      </c>
      <c r="H389" s="3" t="s">
        <v>28</v>
      </c>
      <c r="I389" s="3" t="s">
        <v>106</v>
      </c>
      <c r="K389" s="3">
        <v>5</v>
      </c>
      <c r="L389" s="3">
        <v>2</v>
      </c>
      <c r="M389" s="3">
        <v>5</v>
      </c>
      <c r="O389">
        <v>1</v>
      </c>
      <c r="P389">
        <f t="shared" si="18"/>
        <v>1</v>
      </c>
      <c r="Q389">
        <f t="shared" si="19"/>
        <v>1</v>
      </c>
      <c r="R389">
        <f t="shared" si="20"/>
        <v>0</v>
      </c>
      <c r="S389" s="10" t="str" cm="1">
        <f t="array" ref="S389">_xlfn.IFS(N389="", "", N389&gt;=9,"Promoter", N389&gt;=7,"Passive", N389&lt;=6,"Detractor")</f>
        <v/>
      </c>
    </row>
    <row r="390" spans="1:19" ht="14.25" customHeight="1">
      <c r="A390" s="3" t="s">
        <v>421</v>
      </c>
      <c r="B390" s="3" t="s">
        <v>20</v>
      </c>
      <c r="C390" s="3" t="s">
        <v>21</v>
      </c>
      <c r="D390" s="4">
        <v>45955</v>
      </c>
      <c r="E390" s="4">
        <v>45956</v>
      </c>
      <c r="F390" s="4">
        <v>45959</v>
      </c>
      <c r="G390" s="4">
        <v>45961</v>
      </c>
      <c r="H390" s="3" t="s">
        <v>22</v>
      </c>
      <c r="J390" s="4">
        <v>45979</v>
      </c>
      <c r="K390" s="3">
        <v>1</v>
      </c>
      <c r="L390" s="3">
        <v>3</v>
      </c>
      <c r="M390" s="3">
        <v>2</v>
      </c>
      <c r="N390" s="3">
        <v>3</v>
      </c>
      <c r="O390">
        <v>1</v>
      </c>
      <c r="P390">
        <f t="shared" si="18"/>
        <v>1</v>
      </c>
      <c r="Q390">
        <f t="shared" si="19"/>
        <v>1</v>
      </c>
      <c r="R390">
        <f t="shared" si="20"/>
        <v>1</v>
      </c>
      <c r="S390" s="10" t="str" cm="1">
        <f t="array" ref="S390">_xlfn.IFS(N390="", "", N390&gt;=9,"Promoter", N390&gt;=7,"Passive", N390&lt;=6,"Detractor")</f>
        <v>Detractor</v>
      </c>
    </row>
    <row r="391" spans="1:19" ht="14.25" customHeight="1">
      <c r="A391" s="3" t="s">
        <v>422</v>
      </c>
      <c r="B391" s="3" t="s">
        <v>26</v>
      </c>
      <c r="C391" s="3" t="s">
        <v>21</v>
      </c>
      <c r="D391" s="4">
        <v>45932</v>
      </c>
      <c r="E391" s="4">
        <v>45935</v>
      </c>
      <c r="F391" s="4">
        <v>45937</v>
      </c>
      <c r="G391" s="4">
        <v>45944</v>
      </c>
      <c r="H391" s="3" t="s">
        <v>22</v>
      </c>
      <c r="J391" s="4">
        <v>45966</v>
      </c>
      <c r="K391" s="3">
        <v>3</v>
      </c>
      <c r="L391" s="3">
        <v>2</v>
      </c>
      <c r="M391" s="3">
        <v>7</v>
      </c>
      <c r="N391" s="3">
        <v>6</v>
      </c>
      <c r="O391">
        <v>1</v>
      </c>
      <c r="P391">
        <f t="shared" si="18"/>
        <v>1</v>
      </c>
      <c r="Q391">
        <f t="shared" si="19"/>
        <v>1</v>
      </c>
      <c r="R391">
        <f t="shared" si="20"/>
        <v>1</v>
      </c>
      <c r="S391" s="10" t="str" cm="1">
        <f t="array" ref="S391">_xlfn.IFS(N391="", "", N391&gt;=9,"Promoter", N391&gt;=7,"Passive", N391&lt;=6,"Detractor")</f>
        <v>Detractor</v>
      </c>
    </row>
    <row r="392" spans="1:19" ht="14.25" customHeight="1">
      <c r="A392" s="3" t="s">
        <v>423</v>
      </c>
      <c r="B392" s="3" t="s">
        <v>26</v>
      </c>
      <c r="C392" s="3" t="s">
        <v>35</v>
      </c>
      <c r="D392" s="4">
        <v>45937</v>
      </c>
      <c r="E392" s="4">
        <v>45942</v>
      </c>
      <c r="F392" s="4">
        <v>45943</v>
      </c>
      <c r="G392" s="4">
        <v>45945</v>
      </c>
      <c r="H392" s="3" t="s">
        <v>22</v>
      </c>
      <c r="J392" s="4">
        <v>45975</v>
      </c>
      <c r="K392" s="3">
        <v>5</v>
      </c>
      <c r="L392" s="3">
        <v>1</v>
      </c>
      <c r="M392" s="3">
        <v>2</v>
      </c>
      <c r="N392" s="3">
        <v>1</v>
      </c>
      <c r="O392">
        <v>1</v>
      </c>
      <c r="P392">
        <f t="shared" si="18"/>
        <v>1</v>
      </c>
      <c r="Q392">
        <f t="shared" si="19"/>
        <v>1</v>
      </c>
      <c r="R392">
        <f t="shared" si="20"/>
        <v>1</v>
      </c>
      <c r="S392" s="10" t="str" cm="1">
        <f t="array" ref="S392">_xlfn.IFS(N392="", "", N392&gt;=9,"Promoter", N392&gt;=7,"Passive", N392&lt;=6,"Detractor")</f>
        <v>Detractor</v>
      </c>
    </row>
    <row r="393" spans="1:19" ht="14.25" customHeight="1">
      <c r="A393" s="3" t="s">
        <v>424</v>
      </c>
      <c r="B393" s="3" t="s">
        <v>20</v>
      </c>
      <c r="C393" s="3" t="s">
        <v>21</v>
      </c>
      <c r="D393" s="4">
        <v>45939</v>
      </c>
      <c r="E393" s="4">
        <v>45941</v>
      </c>
      <c r="F393" s="4">
        <v>45942</v>
      </c>
      <c r="G393" s="4">
        <v>45944</v>
      </c>
      <c r="H393" s="3" t="s">
        <v>22</v>
      </c>
      <c r="J393" s="4">
        <v>45969</v>
      </c>
      <c r="K393" s="3">
        <v>2</v>
      </c>
      <c r="L393" s="3">
        <v>1</v>
      </c>
      <c r="M393" s="3">
        <v>2</v>
      </c>
      <c r="N393" s="3">
        <v>4</v>
      </c>
      <c r="O393">
        <v>1</v>
      </c>
      <c r="P393">
        <f t="shared" si="18"/>
        <v>1</v>
      </c>
      <c r="Q393">
        <f t="shared" si="19"/>
        <v>1</v>
      </c>
      <c r="R393">
        <f t="shared" si="20"/>
        <v>1</v>
      </c>
      <c r="S393" s="10" t="str" cm="1">
        <f t="array" ref="S393">_xlfn.IFS(N393="", "", N393&gt;=9,"Promoter", N393&gt;=7,"Passive", N393&lt;=6,"Detractor")</f>
        <v>Detractor</v>
      </c>
    </row>
    <row r="394" spans="1:19" ht="14.25" customHeight="1">
      <c r="A394" s="3" t="s">
        <v>425</v>
      </c>
      <c r="B394" s="3" t="s">
        <v>24</v>
      </c>
      <c r="C394" s="3" t="s">
        <v>21</v>
      </c>
      <c r="D394" s="4">
        <v>45948</v>
      </c>
      <c r="E394" s="4">
        <v>45953</v>
      </c>
      <c r="F394" s="4">
        <v>45957</v>
      </c>
      <c r="G394" s="4">
        <v>45961</v>
      </c>
      <c r="H394" s="3" t="s">
        <v>22</v>
      </c>
      <c r="J394" s="4">
        <v>45989</v>
      </c>
      <c r="K394" s="3">
        <v>5</v>
      </c>
      <c r="L394" s="3">
        <v>4</v>
      </c>
      <c r="M394" s="3">
        <v>4</v>
      </c>
      <c r="N394" s="3">
        <v>6</v>
      </c>
      <c r="O394">
        <v>1</v>
      </c>
      <c r="P394">
        <f t="shared" si="18"/>
        <v>1</v>
      </c>
      <c r="Q394">
        <f t="shared" si="19"/>
        <v>1</v>
      </c>
      <c r="R394">
        <f t="shared" si="20"/>
        <v>1</v>
      </c>
      <c r="S394" s="10" t="str" cm="1">
        <f t="array" ref="S394">_xlfn.IFS(N394="", "", N394&gt;=9,"Promoter", N394&gt;=7,"Passive", N394&lt;=6,"Detractor")</f>
        <v>Detractor</v>
      </c>
    </row>
    <row r="395" spans="1:19" ht="14.25" customHeight="1">
      <c r="A395" s="3" t="s">
        <v>426</v>
      </c>
      <c r="B395" s="3" t="s">
        <v>24</v>
      </c>
      <c r="C395" s="3" t="s">
        <v>27</v>
      </c>
      <c r="D395" s="4">
        <v>45935</v>
      </c>
      <c r="H395" s="3" t="s">
        <v>28</v>
      </c>
      <c r="I395" s="3" t="s">
        <v>29</v>
      </c>
      <c r="O395">
        <v>1</v>
      </c>
      <c r="P395">
        <f t="shared" si="18"/>
        <v>0</v>
      </c>
      <c r="Q395">
        <f t="shared" si="19"/>
        <v>0</v>
      </c>
      <c r="R395">
        <f t="shared" si="20"/>
        <v>0</v>
      </c>
      <c r="S395" s="10" t="str" cm="1">
        <f t="array" ref="S395">_xlfn.IFS(N395="", "", N395&gt;=9,"Promoter", N395&gt;=7,"Passive", N395&lt;=6,"Detractor")</f>
        <v/>
      </c>
    </row>
    <row r="396" spans="1:19" ht="14.25" customHeight="1">
      <c r="A396" s="3" t="s">
        <v>427</v>
      </c>
      <c r="B396" s="3" t="s">
        <v>37</v>
      </c>
      <c r="C396" s="3" t="s">
        <v>35</v>
      </c>
      <c r="D396" s="4">
        <v>45960</v>
      </c>
      <c r="E396" s="4">
        <v>45964</v>
      </c>
      <c r="F396" s="4">
        <v>45969</v>
      </c>
      <c r="G396" s="4">
        <v>45973</v>
      </c>
      <c r="H396" s="3" t="s">
        <v>22</v>
      </c>
      <c r="J396" s="4">
        <v>46002</v>
      </c>
      <c r="K396" s="3">
        <v>4</v>
      </c>
      <c r="L396" s="3">
        <v>5</v>
      </c>
      <c r="M396" s="3">
        <v>4</v>
      </c>
      <c r="N396" s="3">
        <v>2</v>
      </c>
      <c r="O396">
        <v>1</v>
      </c>
      <c r="P396">
        <f t="shared" si="18"/>
        <v>1</v>
      </c>
      <c r="Q396">
        <f t="shared" si="19"/>
        <v>1</v>
      </c>
      <c r="R396">
        <f t="shared" si="20"/>
        <v>1</v>
      </c>
      <c r="S396" s="10" t="str" cm="1">
        <f t="array" ref="S396">_xlfn.IFS(N396="", "", N396&gt;=9,"Promoter", N396&gt;=7,"Passive", N396&lt;=6,"Detractor")</f>
        <v>Detractor</v>
      </c>
    </row>
    <row r="397" spans="1:19" ht="14.25" customHeight="1">
      <c r="A397" s="3" t="s">
        <v>428</v>
      </c>
      <c r="B397" s="3" t="s">
        <v>24</v>
      </c>
      <c r="C397" s="3" t="s">
        <v>21</v>
      </c>
      <c r="D397" s="4">
        <v>45940</v>
      </c>
      <c r="E397" s="4">
        <v>45942</v>
      </c>
      <c r="F397" s="4">
        <v>45943</v>
      </c>
      <c r="G397" s="4">
        <v>45947</v>
      </c>
      <c r="H397" s="3" t="s">
        <v>22</v>
      </c>
      <c r="J397" s="4">
        <v>45972</v>
      </c>
      <c r="K397" s="3">
        <v>2</v>
      </c>
      <c r="L397" s="3">
        <v>1</v>
      </c>
      <c r="M397" s="3">
        <v>4</v>
      </c>
      <c r="N397" s="3">
        <v>8</v>
      </c>
      <c r="O397">
        <v>1</v>
      </c>
      <c r="P397">
        <f t="shared" si="18"/>
        <v>1</v>
      </c>
      <c r="Q397">
        <f t="shared" si="19"/>
        <v>1</v>
      </c>
      <c r="R397">
        <f t="shared" si="20"/>
        <v>1</v>
      </c>
      <c r="S397" s="10" t="str" cm="1">
        <f t="array" ref="S397">_xlfn.IFS(N397="", "", N397&gt;=9,"Promoter", N397&gt;=7,"Passive", N397&lt;=6,"Detractor")</f>
        <v>Passive</v>
      </c>
    </row>
    <row r="398" spans="1:19" ht="14.25" customHeight="1">
      <c r="A398" s="3" t="s">
        <v>429</v>
      </c>
      <c r="B398" s="3" t="s">
        <v>20</v>
      </c>
      <c r="C398" s="3" t="s">
        <v>21</v>
      </c>
      <c r="D398" s="4">
        <v>45945</v>
      </c>
      <c r="E398" s="4">
        <v>45947</v>
      </c>
      <c r="F398" s="4">
        <v>45949</v>
      </c>
      <c r="G398" s="4">
        <v>45952</v>
      </c>
      <c r="H398" s="3" t="s">
        <v>22</v>
      </c>
      <c r="J398" s="4">
        <v>45963</v>
      </c>
      <c r="K398" s="3">
        <v>2</v>
      </c>
      <c r="L398" s="3">
        <v>2</v>
      </c>
      <c r="M398" s="3">
        <v>3</v>
      </c>
      <c r="N398" s="3">
        <v>6</v>
      </c>
      <c r="O398">
        <v>1</v>
      </c>
      <c r="P398">
        <f t="shared" si="18"/>
        <v>1</v>
      </c>
      <c r="Q398">
        <f t="shared" si="19"/>
        <v>1</v>
      </c>
      <c r="R398">
        <f t="shared" si="20"/>
        <v>1</v>
      </c>
      <c r="S398" s="10" t="str" cm="1">
        <f t="array" ref="S398">_xlfn.IFS(N398="", "", N398&gt;=9,"Promoter", N398&gt;=7,"Passive", N398&lt;=6,"Detractor")</f>
        <v>Detractor</v>
      </c>
    </row>
    <row r="399" spans="1:19" ht="14.25" customHeight="1">
      <c r="A399" s="3" t="s">
        <v>430</v>
      </c>
      <c r="B399" s="3" t="s">
        <v>26</v>
      </c>
      <c r="C399" s="3" t="s">
        <v>21</v>
      </c>
      <c r="D399" s="4">
        <v>45959</v>
      </c>
      <c r="E399" s="4">
        <v>45961</v>
      </c>
      <c r="F399" s="4">
        <v>45963</v>
      </c>
      <c r="G399" s="4">
        <v>45968</v>
      </c>
      <c r="H399" s="3" t="s">
        <v>22</v>
      </c>
      <c r="J399" s="4">
        <v>45983</v>
      </c>
      <c r="K399" s="3">
        <v>2</v>
      </c>
      <c r="L399" s="3">
        <v>2</v>
      </c>
      <c r="M399" s="3">
        <v>5</v>
      </c>
      <c r="N399" s="3">
        <v>2</v>
      </c>
      <c r="O399">
        <v>1</v>
      </c>
      <c r="P399">
        <f t="shared" si="18"/>
        <v>1</v>
      </c>
      <c r="Q399">
        <f t="shared" si="19"/>
        <v>1</v>
      </c>
      <c r="R399">
        <f t="shared" si="20"/>
        <v>1</v>
      </c>
      <c r="S399" s="10" t="str" cm="1">
        <f t="array" ref="S399">_xlfn.IFS(N399="", "", N399&gt;=9,"Promoter", N399&gt;=7,"Passive", N399&lt;=6,"Detractor")</f>
        <v>Detractor</v>
      </c>
    </row>
    <row r="400" spans="1:19" ht="14.25" customHeight="1">
      <c r="A400" s="3" t="s">
        <v>431</v>
      </c>
      <c r="B400" s="3" t="s">
        <v>24</v>
      </c>
      <c r="C400" s="3" t="s">
        <v>21</v>
      </c>
      <c r="D400" s="4">
        <v>45953</v>
      </c>
      <c r="E400" s="4">
        <v>45958</v>
      </c>
      <c r="F400" s="4">
        <v>45959</v>
      </c>
      <c r="G400" s="4">
        <v>45962</v>
      </c>
      <c r="H400" s="3" t="s">
        <v>22</v>
      </c>
      <c r="J400" s="4">
        <v>45980</v>
      </c>
      <c r="K400" s="3">
        <v>5</v>
      </c>
      <c r="L400" s="3">
        <v>1</v>
      </c>
      <c r="M400" s="3">
        <v>3</v>
      </c>
      <c r="N400" s="3">
        <v>6</v>
      </c>
      <c r="O400">
        <v>1</v>
      </c>
      <c r="P400">
        <f t="shared" si="18"/>
        <v>1</v>
      </c>
      <c r="Q400">
        <f t="shared" si="19"/>
        <v>1</v>
      </c>
      <c r="R400">
        <f t="shared" si="20"/>
        <v>1</v>
      </c>
      <c r="S400" s="10" t="str" cm="1">
        <f t="array" ref="S400">_xlfn.IFS(N400="", "", N400&gt;=9,"Promoter", N400&gt;=7,"Passive", N400&lt;=6,"Detractor")</f>
        <v>Detractor</v>
      </c>
    </row>
    <row r="401" spans="1:19" ht="14.25" customHeight="1">
      <c r="A401" s="3" t="s">
        <v>432</v>
      </c>
      <c r="B401" s="3" t="s">
        <v>37</v>
      </c>
      <c r="C401" s="3" t="s">
        <v>21</v>
      </c>
      <c r="D401" s="4">
        <v>45946</v>
      </c>
      <c r="E401" s="4">
        <v>45948</v>
      </c>
      <c r="F401" s="4">
        <v>45949</v>
      </c>
      <c r="G401" s="4">
        <v>45956</v>
      </c>
      <c r="H401" s="3" t="s">
        <v>22</v>
      </c>
      <c r="J401" s="4">
        <v>45978</v>
      </c>
      <c r="K401" s="3">
        <v>2</v>
      </c>
      <c r="L401" s="3">
        <v>1</v>
      </c>
      <c r="M401" s="3">
        <v>7</v>
      </c>
      <c r="N401" s="3">
        <v>7</v>
      </c>
      <c r="O401">
        <v>1</v>
      </c>
      <c r="P401">
        <f t="shared" si="18"/>
        <v>1</v>
      </c>
      <c r="Q401">
        <f t="shared" si="19"/>
        <v>1</v>
      </c>
      <c r="R401">
        <f t="shared" si="20"/>
        <v>1</v>
      </c>
      <c r="S401" s="10" t="str" cm="1">
        <f t="array" ref="S401">_xlfn.IFS(N401="", "", N401&gt;=9,"Promoter", N401&gt;=7,"Passive", N401&lt;=6,"Detractor")</f>
        <v>Passive</v>
      </c>
    </row>
    <row r="402" spans="1:19" ht="14.25" customHeight="1">
      <c r="A402" s="3" t="s">
        <v>433</v>
      </c>
      <c r="B402" s="3" t="s">
        <v>24</v>
      </c>
      <c r="C402" s="3" t="s">
        <v>21</v>
      </c>
      <c r="D402" s="4">
        <v>45934</v>
      </c>
      <c r="E402" s="4">
        <v>45938</v>
      </c>
      <c r="F402" s="4">
        <v>45943</v>
      </c>
      <c r="G402" s="4">
        <v>45950</v>
      </c>
      <c r="H402" s="3" t="s">
        <v>22</v>
      </c>
      <c r="J402" s="4">
        <v>45964</v>
      </c>
      <c r="K402" s="3">
        <v>4</v>
      </c>
      <c r="L402" s="3">
        <v>5</v>
      </c>
      <c r="M402" s="3">
        <v>7</v>
      </c>
      <c r="N402" s="3">
        <v>1</v>
      </c>
      <c r="O402">
        <v>1</v>
      </c>
      <c r="P402">
        <f t="shared" si="18"/>
        <v>1</v>
      </c>
      <c r="Q402">
        <f t="shared" si="19"/>
        <v>1</v>
      </c>
      <c r="R402">
        <f t="shared" si="20"/>
        <v>1</v>
      </c>
      <c r="S402" s="10" t="str" cm="1">
        <f t="array" ref="S402">_xlfn.IFS(N402="", "", N402&gt;=9,"Promoter", N402&gt;=7,"Passive", N402&lt;=6,"Detractor")</f>
        <v>Detractor</v>
      </c>
    </row>
    <row r="403" spans="1:19" ht="14.25" customHeight="1">
      <c r="A403" s="3" t="s">
        <v>434</v>
      </c>
      <c r="B403" s="3" t="s">
        <v>20</v>
      </c>
      <c r="C403" s="3" t="s">
        <v>21</v>
      </c>
      <c r="D403" s="4">
        <v>45931</v>
      </c>
      <c r="E403" s="4">
        <v>45932</v>
      </c>
      <c r="F403" s="4">
        <v>45933</v>
      </c>
      <c r="G403" s="4">
        <v>45936</v>
      </c>
      <c r="H403" s="3" t="s">
        <v>22</v>
      </c>
      <c r="J403" s="4">
        <v>45965</v>
      </c>
      <c r="K403" s="3">
        <v>1</v>
      </c>
      <c r="L403" s="3">
        <v>1</v>
      </c>
      <c r="M403" s="3">
        <v>3</v>
      </c>
      <c r="N403" s="3">
        <v>8</v>
      </c>
      <c r="O403">
        <v>1</v>
      </c>
      <c r="P403">
        <f t="shared" si="18"/>
        <v>1</v>
      </c>
      <c r="Q403">
        <f t="shared" si="19"/>
        <v>1</v>
      </c>
      <c r="R403">
        <f t="shared" si="20"/>
        <v>1</v>
      </c>
      <c r="S403" s="10" t="str" cm="1">
        <f t="array" ref="S403">_xlfn.IFS(N403="", "", N403&gt;=9,"Promoter", N403&gt;=7,"Passive", N403&lt;=6,"Detractor")</f>
        <v>Passive</v>
      </c>
    </row>
    <row r="404" spans="1:19" ht="14.25" customHeight="1">
      <c r="A404" s="3" t="s">
        <v>435</v>
      </c>
      <c r="B404" s="3" t="s">
        <v>37</v>
      </c>
      <c r="C404" s="3" t="s">
        <v>21</v>
      </c>
      <c r="D404" s="4">
        <v>45951</v>
      </c>
      <c r="E404" s="4">
        <v>45955</v>
      </c>
      <c r="F404" s="4">
        <v>45959</v>
      </c>
      <c r="G404" s="4">
        <v>45961</v>
      </c>
      <c r="H404" s="3" t="s">
        <v>22</v>
      </c>
      <c r="J404" s="4">
        <v>45990</v>
      </c>
      <c r="K404" s="3">
        <v>4</v>
      </c>
      <c r="L404" s="3">
        <v>4</v>
      </c>
      <c r="M404" s="3">
        <v>2</v>
      </c>
      <c r="N404" s="3">
        <v>7</v>
      </c>
      <c r="O404">
        <v>1</v>
      </c>
      <c r="P404">
        <f t="shared" si="18"/>
        <v>1</v>
      </c>
      <c r="Q404">
        <f t="shared" si="19"/>
        <v>1</v>
      </c>
      <c r="R404">
        <f t="shared" si="20"/>
        <v>1</v>
      </c>
      <c r="S404" s="10" t="str" cm="1">
        <f t="array" ref="S404">_xlfn.IFS(N404="", "", N404&gt;=9,"Promoter", N404&gt;=7,"Passive", N404&lt;=6,"Detractor")</f>
        <v>Passive</v>
      </c>
    </row>
    <row r="405" spans="1:19" ht="14.25" customHeight="1">
      <c r="A405" s="3" t="s">
        <v>436</v>
      </c>
      <c r="B405" s="3" t="s">
        <v>24</v>
      </c>
      <c r="C405" s="3" t="s">
        <v>27</v>
      </c>
      <c r="D405" s="4">
        <v>45950</v>
      </c>
      <c r="H405" s="3" t="s">
        <v>28</v>
      </c>
      <c r="I405" s="3" t="s">
        <v>38</v>
      </c>
      <c r="O405">
        <v>1</v>
      </c>
      <c r="P405">
        <f t="shared" si="18"/>
        <v>0</v>
      </c>
      <c r="Q405">
        <f t="shared" si="19"/>
        <v>0</v>
      </c>
      <c r="R405">
        <f t="shared" si="20"/>
        <v>0</v>
      </c>
      <c r="S405" s="10" t="str" cm="1">
        <f t="array" ref="S405">_xlfn.IFS(N405="", "", N405&gt;=9,"Promoter", N405&gt;=7,"Passive", N405&lt;=6,"Detractor")</f>
        <v/>
      </c>
    </row>
    <row r="406" spans="1:19" ht="14.25" customHeight="1">
      <c r="A406" s="3" t="s">
        <v>437</v>
      </c>
      <c r="B406" s="3" t="s">
        <v>37</v>
      </c>
      <c r="C406" s="3" t="s">
        <v>21</v>
      </c>
      <c r="D406" s="4">
        <v>45956</v>
      </c>
      <c r="E406" s="4">
        <v>45959</v>
      </c>
      <c r="F406" s="4">
        <v>45964</v>
      </c>
      <c r="G406" s="4">
        <v>45970</v>
      </c>
      <c r="H406" s="3" t="s">
        <v>28</v>
      </c>
      <c r="I406" s="3" t="s">
        <v>29</v>
      </c>
      <c r="K406" s="3">
        <v>3</v>
      </c>
      <c r="L406" s="3">
        <v>5</v>
      </c>
      <c r="M406" s="3">
        <v>6</v>
      </c>
      <c r="O406">
        <v>1</v>
      </c>
      <c r="P406">
        <f t="shared" si="18"/>
        <v>1</v>
      </c>
      <c r="Q406">
        <f t="shared" si="19"/>
        <v>1</v>
      </c>
      <c r="R406">
        <f t="shared" si="20"/>
        <v>0</v>
      </c>
      <c r="S406" s="10" t="str" cm="1">
        <f t="array" ref="S406">_xlfn.IFS(N406="", "", N406&gt;=9,"Promoter", N406&gt;=7,"Passive", N406&lt;=6,"Detractor")</f>
        <v/>
      </c>
    </row>
    <row r="407" spans="1:19" ht="14.25" customHeight="1">
      <c r="A407" s="3" t="s">
        <v>438</v>
      </c>
      <c r="B407" s="3" t="s">
        <v>20</v>
      </c>
      <c r="C407" s="3" t="s">
        <v>21</v>
      </c>
      <c r="D407" s="4">
        <v>45938</v>
      </c>
      <c r="E407" s="4">
        <v>45940</v>
      </c>
      <c r="F407" s="4">
        <v>45941</v>
      </c>
      <c r="G407" s="4">
        <v>45947</v>
      </c>
      <c r="H407" s="3" t="s">
        <v>22</v>
      </c>
      <c r="J407" s="4">
        <v>45969</v>
      </c>
      <c r="K407" s="3">
        <v>2</v>
      </c>
      <c r="L407" s="3">
        <v>1</v>
      </c>
      <c r="M407" s="3">
        <v>6</v>
      </c>
      <c r="N407" s="3">
        <v>7</v>
      </c>
      <c r="O407">
        <v>1</v>
      </c>
      <c r="P407">
        <f t="shared" si="18"/>
        <v>1</v>
      </c>
      <c r="Q407">
        <f t="shared" si="19"/>
        <v>1</v>
      </c>
      <c r="R407">
        <f t="shared" si="20"/>
        <v>1</v>
      </c>
      <c r="S407" s="10" t="str" cm="1">
        <f t="array" ref="S407">_xlfn.IFS(N407="", "", N407&gt;=9,"Promoter", N407&gt;=7,"Passive", N407&lt;=6,"Detractor")</f>
        <v>Passive</v>
      </c>
    </row>
    <row r="408" spans="1:19" ht="14.25" customHeight="1">
      <c r="A408" s="3" t="s">
        <v>439</v>
      </c>
      <c r="B408" s="3" t="s">
        <v>26</v>
      </c>
      <c r="C408" s="3" t="s">
        <v>35</v>
      </c>
      <c r="D408" s="4">
        <v>45953</v>
      </c>
      <c r="E408" s="4">
        <v>45957</v>
      </c>
      <c r="F408" s="4">
        <v>45959</v>
      </c>
      <c r="G408" s="4">
        <v>45961</v>
      </c>
      <c r="H408" s="3" t="s">
        <v>22</v>
      </c>
      <c r="J408" s="4">
        <v>45972</v>
      </c>
      <c r="K408" s="3">
        <v>4</v>
      </c>
      <c r="L408" s="3">
        <v>2</v>
      </c>
      <c r="M408" s="3">
        <v>2</v>
      </c>
      <c r="N408" s="3">
        <v>7</v>
      </c>
      <c r="O408">
        <v>1</v>
      </c>
      <c r="P408">
        <f t="shared" si="18"/>
        <v>1</v>
      </c>
      <c r="Q408">
        <f t="shared" si="19"/>
        <v>1</v>
      </c>
      <c r="R408">
        <f t="shared" si="20"/>
        <v>1</v>
      </c>
      <c r="S408" s="10" t="str" cm="1">
        <f t="array" ref="S408">_xlfn.IFS(N408="", "", N408&gt;=9,"Promoter", N408&gt;=7,"Passive", N408&lt;=6,"Detractor")</f>
        <v>Passive</v>
      </c>
    </row>
    <row r="409" spans="1:19" ht="14.25" customHeight="1">
      <c r="A409" s="3" t="s">
        <v>440</v>
      </c>
      <c r="B409" s="3" t="s">
        <v>20</v>
      </c>
      <c r="C409" s="3" t="s">
        <v>27</v>
      </c>
      <c r="D409" s="4">
        <v>45936</v>
      </c>
      <c r="H409" s="3" t="s">
        <v>28</v>
      </c>
      <c r="I409" s="3" t="s">
        <v>29</v>
      </c>
      <c r="O409">
        <v>1</v>
      </c>
      <c r="P409">
        <f t="shared" si="18"/>
        <v>0</v>
      </c>
      <c r="Q409">
        <f t="shared" si="19"/>
        <v>0</v>
      </c>
      <c r="R409">
        <f t="shared" si="20"/>
        <v>0</v>
      </c>
      <c r="S409" s="10" t="str" cm="1">
        <f t="array" ref="S409">_xlfn.IFS(N409="", "", N409&gt;=9,"Promoter", N409&gt;=7,"Passive", N409&lt;=6,"Detractor")</f>
        <v/>
      </c>
    </row>
    <row r="410" spans="1:19" ht="14.25" customHeight="1">
      <c r="A410" s="3" t="s">
        <v>441</v>
      </c>
      <c r="B410" s="3" t="s">
        <v>20</v>
      </c>
      <c r="C410" s="3" t="s">
        <v>35</v>
      </c>
      <c r="D410" s="4">
        <v>45940</v>
      </c>
      <c r="E410" s="4">
        <v>45945</v>
      </c>
      <c r="F410" s="4">
        <v>45946</v>
      </c>
      <c r="G410" s="4">
        <v>45952</v>
      </c>
      <c r="H410" s="3" t="s">
        <v>28</v>
      </c>
      <c r="I410" s="3" t="s">
        <v>29</v>
      </c>
      <c r="K410" s="3">
        <v>5</v>
      </c>
      <c r="L410" s="3">
        <v>1</v>
      </c>
      <c r="M410" s="3">
        <v>6</v>
      </c>
      <c r="O410">
        <v>1</v>
      </c>
      <c r="P410">
        <f t="shared" si="18"/>
        <v>1</v>
      </c>
      <c r="Q410">
        <f t="shared" si="19"/>
        <v>1</v>
      </c>
      <c r="R410">
        <f t="shared" si="20"/>
        <v>0</v>
      </c>
      <c r="S410" s="10" t="str" cm="1">
        <f t="array" ref="S410">_xlfn.IFS(N410="", "", N410&gt;=9,"Promoter", N410&gt;=7,"Passive", N410&lt;=6,"Detractor")</f>
        <v/>
      </c>
    </row>
    <row r="411" spans="1:19" ht="14.25" customHeight="1">
      <c r="A411" s="3" t="s">
        <v>442</v>
      </c>
      <c r="B411" s="3" t="s">
        <v>20</v>
      </c>
      <c r="C411" s="3" t="s">
        <v>35</v>
      </c>
      <c r="D411" s="4">
        <v>45948</v>
      </c>
      <c r="E411" s="4">
        <v>45951</v>
      </c>
      <c r="F411" s="4">
        <v>45955</v>
      </c>
      <c r="G411" s="4">
        <v>45962</v>
      </c>
      <c r="H411" s="3" t="s">
        <v>22</v>
      </c>
      <c r="J411" s="4">
        <v>45984</v>
      </c>
      <c r="K411" s="3">
        <v>3</v>
      </c>
      <c r="L411" s="3">
        <v>4</v>
      </c>
      <c r="M411" s="3">
        <v>7</v>
      </c>
      <c r="N411" s="3">
        <v>1</v>
      </c>
      <c r="O411">
        <v>1</v>
      </c>
      <c r="P411">
        <f t="shared" si="18"/>
        <v>1</v>
      </c>
      <c r="Q411">
        <f t="shared" si="19"/>
        <v>1</v>
      </c>
      <c r="R411">
        <f t="shared" si="20"/>
        <v>1</v>
      </c>
      <c r="S411" s="10" t="str" cm="1">
        <f t="array" ref="S411">_xlfn.IFS(N411="", "", N411&gt;=9,"Promoter", N411&gt;=7,"Passive", N411&lt;=6,"Detractor")</f>
        <v>Detractor</v>
      </c>
    </row>
    <row r="412" spans="1:19" ht="14.25" customHeight="1">
      <c r="A412" s="3" t="s">
        <v>443</v>
      </c>
      <c r="B412" s="3" t="s">
        <v>20</v>
      </c>
      <c r="C412" s="3" t="s">
        <v>35</v>
      </c>
      <c r="D412" s="4">
        <v>45931</v>
      </c>
      <c r="E412" s="4">
        <v>45935</v>
      </c>
      <c r="F412" s="4">
        <v>45939</v>
      </c>
      <c r="G412" s="4">
        <v>45942</v>
      </c>
      <c r="H412" s="3" t="s">
        <v>22</v>
      </c>
      <c r="J412" s="4">
        <v>45962</v>
      </c>
      <c r="K412" s="3">
        <v>4</v>
      </c>
      <c r="L412" s="3">
        <v>4</v>
      </c>
      <c r="M412" s="3">
        <v>3</v>
      </c>
      <c r="N412" s="3">
        <v>1</v>
      </c>
      <c r="O412">
        <v>1</v>
      </c>
      <c r="P412">
        <f t="shared" si="18"/>
        <v>1</v>
      </c>
      <c r="Q412">
        <f t="shared" si="19"/>
        <v>1</v>
      </c>
      <c r="R412">
        <f t="shared" si="20"/>
        <v>1</v>
      </c>
      <c r="S412" s="10" t="str" cm="1">
        <f t="array" ref="S412">_xlfn.IFS(N412="", "", N412&gt;=9,"Promoter", N412&gt;=7,"Passive", N412&lt;=6,"Detractor")</f>
        <v>Detractor</v>
      </c>
    </row>
    <row r="413" spans="1:19" ht="14.25" customHeight="1">
      <c r="A413" s="3" t="s">
        <v>444</v>
      </c>
      <c r="B413" s="3" t="s">
        <v>26</v>
      </c>
      <c r="C413" s="3" t="s">
        <v>21</v>
      </c>
      <c r="D413" s="4">
        <v>45948</v>
      </c>
      <c r="E413" s="4">
        <v>45950</v>
      </c>
      <c r="F413" s="4">
        <v>45952</v>
      </c>
      <c r="G413" s="4">
        <v>45957</v>
      </c>
      <c r="H413" s="3" t="s">
        <v>22</v>
      </c>
      <c r="J413" s="4">
        <v>45974</v>
      </c>
      <c r="K413" s="3">
        <v>2</v>
      </c>
      <c r="L413" s="3">
        <v>2</v>
      </c>
      <c r="M413" s="3">
        <v>5</v>
      </c>
      <c r="N413" s="3">
        <v>10</v>
      </c>
      <c r="O413">
        <v>1</v>
      </c>
      <c r="P413">
        <f t="shared" si="18"/>
        <v>1</v>
      </c>
      <c r="Q413">
        <f t="shared" si="19"/>
        <v>1</v>
      </c>
      <c r="R413">
        <f t="shared" si="20"/>
        <v>1</v>
      </c>
      <c r="S413" s="10" t="str" cm="1">
        <f t="array" ref="S413">_xlfn.IFS(N413="", "", N413&gt;=9,"Promoter", N413&gt;=7,"Passive", N413&lt;=6,"Detractor")</f>
        <v>Promoter</v>
      </c>
    </row>
    <row r="414" spans="1:19" ht="14.25" customHeight="1">
      <c r="A414" s="3" t="s">
        <v>445</v>
      </c>
      <c r="B414" s="3" t="s">
        <v>26</v>
      </c>
      <c r="C414" s="3" t="s">
        <v>35</v>
      </c>
      <c r="D414" s="4">
        <v>45944</v>
      </c>
      <c r="E414" s="4">
        <v>45949</v>
      </c>
      <c r="F414" s="4">
        <v>45954</v>
      </c>
      <c r="G414" s="4">
        <v>45958</v>
      </c>
      <c r="H414" s="3" t="s">
        <v>22</v>
      </c>
      <c r="J414" s="4">
        <v>45969</v>
      </c>
      <c r="K414" s="3">
        <v>5</v>
      </c>
      <c r="L414" s="3">
        <v>5</v>
      </c>
      <c r="M414" s="3">
        <v>4</v>
      </c>
      <c r="N414" s="3">
        <v>7</v>
      </c>
      <c r="O414">
        <v>1</v>
      </c>
      <c r="P414">
        <f t="shared" si="18"/>
        <v>1</v>
      </c>
      <c r="Q414">
        <f t="shared" si="19"/>
        <v>1</v>
      </c>
      <c r="R414">
        <f t="shared" si="20"/>
        <v>1</v>
      </c>
      <c r="S414" s="10" t="str" cm="1">
        <f t="array" ref="S414">_xlfn.IFS(N414="", "", N414&gt;=9,"Promoter", N414&gt;=7,"Passive", N414&lt;=6,"Detractor")</f>
        <v>Passive</v>
      </c>
    </row>
    <row r="415" spans="1:19" ht="14.25" customHeight="1">
      <c r="A415" s="3" t="s">
        <v>446</v>
      </c>
      <c r="B415" s="3" t="s">
        <v>37</v>
      </c>
      <c r="C415" s="3" t="s">
        <v>35</v>
      </c>
      <c r="D415" s="4">
        <v>45933</v>
      </c>
      <c r="E415" s="4">
        <v>45935</v>
      </c>
      <c r="F415" s="4">
        <v>45937</v>
      </c>
      <c r="G415" s="4">
        <v>45944</v>
      </c>
      <c r="H415" s="3" t="s">
        <v>22</v>
      </c>
      <c r="J415" s="4">
        <v>45969</v>
      </c>
      <c r="K415" s="3">
        <v>2</v>
      </c>
      <c r="L415" s="3">
        <v>2</v>
      </c>
      <c r="M415" s="3">
        <v>7</v>
      </c>
      <c r="N415" s="3">
        <v>3</v>
      </c>
      <c r="O415">
        <v>1</v>
      </c>
      <c r="P415">
        <f t="shared" si="18"/>
        <v>1</v>
      </c>
      <c r="Q415">
        <f t="shared" si="19"/>
        <v>1</v>
      </c>
      <c r="R415">
        <f t="shared" si="20"/>
        <v>1</v>
      </c>
      <c r="S415" s="10" t="str" cm="1">
        <f t="array" ref="S415">_xlfn.IFS(N415="", "", N415&gt;=9,"Promoter", N415&gt;=7,"Passive", N415&lt;=6,"Detractor")</f>
        <v>Detractor</v>
      </c>
    </row>
    <row r="416" spans="1:19" ht="14.25" customHeight="1">
      <c r="A416" s="3" t="s">
        <v>447</v>
      </c>
      <c r="B416" s="3" t="s">
        <v>24</v>
      </c>
      <c r="C416" s="3" t="s">
        <v>35</v>
      </c>
      <c r="D416" s="4">
        <v>45938</v>
      </c>
      <c r="E416" s="4">
        <v>45941</v>
      </c>
      <c r="F416" s="4">
        <v>45942</v>
      </c>
      <c r="G416" s="4">
        <v>45945</v>
      </c>
      <c r="H416" s="3" t="s">
        <v>28</v>
      </c>
      <c r="I416" s="3" t="s">
        <v>106</v>
      </c>
      <c r="K416" s="3">
        <v>3</v>
      </c>
      <c r="L416" s="3">
        <v>1</v>
      </c>
      <c r="M416" s="3">
        <v>3</v>
      </c>
      <c r="O416">
        <v>1</v>
      </c>
      <c r="P416">
        <f t="shared" si="18"/>
        <v>1</v>
      </c>
      <c r="Q416">
        <f t="shared" si="19"/>
        <v>1</v>
      </c>
      <c r="R416">
        <f t="shared" si="20"/>
        <v>0</v>
      </c>
      <c r="S416" s="10" t="str" cm="1">
        <f t="array" ref="S416">_xlfn.IFS(N416="", "", N416&gt;=9,"Promoter", N416&gt;=7,"Passive", N416&lt;=6,"Detractor")</f>
        <v/>
      </c>
    </row>
    <row r="417" spans="1:19" ht="14.25" customHeight="1">
      <c r="A417" s="3" t="s">
        <v>448</v>
      </c>
      <c r="B417" s="3" t="s">
        <v>26</v>
      </c>
      <c r="C417" s="3" t="s">
        <v>35</v>
      </c>
      <c r="D417" s="4">
        <v>45957</v>
      </c>
      <c r="E417" s="4">
        <v>45961</v>
      </c>
      <c r="F417" s="4">
        <v>45963</v>
      </c>
      <c r="G417" s="4">
        <v>45970</v>
      </c>
      <c r="H417" s="3" t="s">
        <v>22</v>
      </c>
      <c r="J417" s="4">
        <v>45988</v>
      </c>
      <c r="K417" s="3">
        <v>4</v>
      </c>
      <c r="L417" s="3">
        <v>2</v>
      </c>
      <c r="M417" s="3">
        <v>7</v>
      </c>
      <c r="N417" s="3">
        <v>0</v>
      </c>
      <c r="O417">
        <v>1</v>
      </c>
      <c r="P417">
        <f t="shared" si="18"/>
        <v>1</v>
      </c>
      <c r="Q417">
        <f t="shared" si="19"/>
        <v>1</v>
      </c>
      <c r="R417">
        <f t="shared" si="20"/>
        <v>1</v>
      </c>
      <c r="S417" s="10" t="str" cm="1">
        <f t="array" ref="S417">_xlfn.IFS(N417="", "", N417&gt;=9,"Promoter", N417&gt;=7,"Passive", N417&lt;=6,"Detractor")</f>
        <v>Detractor</v>
      </c>
    </row>
    <row r="418" spans="1:19" ht="14.25" customHeight="1">
      <c r="A418" s="3" t="s">
        <v>449</v>
      </c>
      <c r="B418" s="3" t="s">
        <v>26</v>
      </c>
      <c r="C418" s="3" t="s">
        <v>21</v>
      </c>
      <c r="D418" s="4">
        <v>45960</v>
      </c>
      <c r="E418" s="4">
        <v>45962</v>
      </c>
      <c r="F418" s="4">
        <v>45967</v>
      </c>
      <c r="G418" s="4">
        <v>45974</v>
      </c>
      <c r="H418" s="3" t="s">
        <v>22</v>
      </c>
      <c r="J418" s="4">
        <v>45995</v>
      </c>
      <c r="K418" s="3">
        <v>2</v>
      </c>
      <c r="L418" s="3">
        <v>5</v>
      </c>
      <c r="M418" s="3">
        <v>7</v>
      </c>
      <c r="N418" s="3">
        <v>4</v>
      </c>
      <c r="O418">
        <v>1</v>
      </c>
      <c r="P418">
        <f t="shared" si="18"/>
        <v>1</v>
      </c>
      <c r="Q418">
        <f t="shared" si="19"/>
        <v>1</v>
      </c>
      <c r="R418">
        <f t="shared" si="20"/>
        <v>1</v>
      </c>
      <c r="S418" s="10" t="str" cm="1">
        <f t="array" ref="S418">_xlfn.IFS(N418="", "", N418&gt;=9,"Promoter", N418&gt;=7,"Passive", N418&lt;=6,"Detractor")</f>
        <v>Detractor</v>
      </c>
    </row>
    <row r="419" spans="1:19" ht="14.25" customHeight="1">
      <c r="A419" s="3" t="s">
        <v>450</v>
      </c>
      <c r="B419" s="3" t="s">
        <v>24</v>
      </c>
      <c r="C419" s="3" t="s">
        <v>21</v>
      </c>
      <c r="D419" s="4">
        <v>45934</v>
      </c>
      <c r="E419" s="4">
        <v>45937</v>
      </c>
      <c r="F419" s="4">
        <v>45940</v>
      </c>
      <c r="G419" s="4">
        <v>45943</v>
      </c>
      <c r="H419" s="3" t="s">
        <v>22</v>
      </c>
      <c r="J419" s="4">
        <v>45953</v>
      </c>
      <c r="K419" s="3">
        <v>3</v>
      </c>
      <c r="L419" s="3">
        <v>3</v>
      </c>
      <c r="M419" s="3">
        <v>3</v>
      </c>
      <c r="N419" s="3">
        <v>10</v>
      </c>
      <c r="O419">
        <v>1</v>
      </c>
      <c r="P419">
        <f t="shared" si="18"/>
        <v>1</v>
      </c>
      <c r="Q419">
        <f t="shared" si="19"/>
        <v>1</v>
      </c>
      <c r="R419">
        <f t="shared" si="20"/>
        <v>1</v>
      </c>
      <c r="S419" s="10" t="str" cm="1">
        <f t="array" ref="S419">_xlfn.IFS(N419="", "", N419&gt;=9,"Promoter", N419&gt;=7,"Passive", N419&lt;=6,"Detractor")</f>
        <v>Promoter</v>
      </c>
    </row>
    <row r="420" spans="1:19" ht="14.25" customHeight="1">
      <c r="A420" s="3" t="s">
        <v>451</v>
      </c>
      <c r="B420" s="3" t="s">
        <v>26</v>
      </c>
      <c r="C420" s="3" t="s">
        <v>21</v>
      </c>
      <c r="D420" s="4">
        <v>45945</v>
      </c>
      <c r="E420" s="4">
        <v>45950</v>
      </c>
      <c r="F420" s="4">
        <v>45952</v>
      </c>
      <c r="G420" s="4">
        <v>45957</v>
      </c>
      <c r="H420" s="3" t="s">
        <v>22</v>
      </c>
      <c r="J420" s="4">
        <v>45977</v>
      </c>
      <c r="K420" s="3">
        <v>5</v>
      </c>
      <c r="L420" s="3">
        <v>2</v>
      </c>
      <c r="M420" s="3">
        <v>5</v>
      </c>
      <c r="N420" s="3">
        <v>9</v>
      </c>
      <c r="O420">
        <v>1</v>
      </c>
      <c r="P420">
        <f t="shared" si="18"/>
        <v>1</v>
      </c>
      <c r="Q420">
        <f t="shared" si="19"/>
        <v>1</v>
      </c>
      <c r="R420">
        <f t="shared" si="20"/>
        <v>1</v>
      </c>
      <c r="S420" s="10" t="str" cm="1">
        <f t="array" ref="S420">_xlfn.IFS(N420="", "", N420&gt;=9,"Promoter", N420&gt;=7,"Passive", N420&lt;=6,"Detractor")</f>
        <v>Promoter</v>
      </c>
    </row>
    <row r="421" spans="1:19" ht="14.25" customHeight="1">
      <c r="A421" s="3" t="s">
        <v>452</v>
      </c>
      <c r="B421" s="3" t="s">
        <v>20</v>
      </c>
      <c r="C421" s="3" t="s">
        <v>21</v>
      </c>
      <c r="D421" s="4">
        <v>45961</v>
      </c>
      <c r="E421" s="4">
        <v>45965</v>
      </c>
      <c r="F421" s="4">
        <v>45970</v>
      </c>
      <c r="G421" s="4">
        <v>45976</v>
      </c>
      <c r="H421" s="3" t="s">
        <v>22</v>
      </c>
      <c r="J421" s="4">
        <v>45995</v>
      </c>
      <c r="K421" s="3">
        <v>4</v>
      </c>
      <c r="L421" s="3">
        <v>5</v>
      </c>
      <c r="M421" s="3">
        <v>6</v>
      </c>
      <c r="N421" s="3">
        <v>5</v>
      </c>
      <c r="O421">
        <v>1</v>
      </c>
      <c r="P421">
        <f t="shared" si="18"/>
        <v>1</v>
      </c>
      <c r="Q421">
        <f t="shared" si="19"/>
        <v>1</v>
      </c>
      <c r="R421">
        <f t="shared" si="20"/>
        <v>1</v>
      </c>
      <c r="S421" s="10" t="str" cm="1">
        <f t="array" ref="S421">_xlfn.IFS(N421="", "", N421&gt;=9,"Promoter", N421&gt;=7,"Passive", N421&lt;=6,"Detractor")</f>
        <v>Detractor</v>
      </c>
    </row>
    <row r="422" spans="1:19" ht="14.25" customHeight="1">
      <c r="A422" s="3" t="s">
        <v>453</v>
      </c>
      <c r="B422" s="3" t="s">
        <v>20</v>
      </c>
      <c r="C422" s="3" t="s">
        <v>21</v>
      </c>
      <c r="D422" s="4">
        <v>45934</v>
      </c>
      <c r="E422" s="4">
        <v>45938</v>
      </c>
      <c r="F422" s="4">
        <v>45941</v>
      </c>
      <c r="G422" s="4">
        <v>45948</v>
      </c>
      <c r="H422" s="3" t="s">
        <v>22</v>
      </c>
      <c r="J422" s="4">
        <v>45967</v>
      </c>
      <c r="K422" s="3">
        <v>4</v>
      </c>
      <c r="L422" s="3">
        <v>3</v>
      </c>
      <c r="M422" s="3">
        <v>7</v>
      </c>
      <c r="N422" s="3">
        <v>1</v>
      </c>
      <c r="O422">
        <v>1</v>
      </c>
      <c r="P422">
        <f t="shared" si="18"/>
        <v>1</v>
      </c>
      <c r="Q422">
        <f t="shared" si="19"/>
        <v>1</v>
      </c>
      <c r="R422">
        <f t="shared" si="20"/>
        <v>1</v>
      </c>
      <c r="S422" s="10" t="str" cm="1">
        <f t="array" ref="S422">_xlfn.IFS(N422="", "", N422&gt;=9,"Promoter", N422&gt;=7,"Passive", N422&lt;=6,"Detractor")</f>
        <v>Detractor</v>
      </c>
    </row>
    <row r="423" spans="1:19" ht="14.25" customHeight="1">
      <c r="A423" s="3" t="s">
        <v>454</v>
      </c>
      <c r="B423" s="3" t="s">
        <v>24</v>
      </c>
      <c r="C423" s="3" t="s">
        <v>35</v>
      </c>
      <c r="D423" s="4">
        <v>45951</v>
      </c>
      <c r="E423" s="4">
        <v>45954</v>
      </c>
      <c r="F423" s="4">
        <v>45959</v>
      </c>
      <c r="G423" s="4">
        <v>45964</v>
      </c>
      <c r="H423" s="3" t="s">
        <v>22</v>
      </c>
      <c r="J423" s="4">
        <v>45982</v>
      </c>
      <c r="K423" s="3">
        <v>3</v>
      </c>
      <c r="L423" s="3">
        <v>5</v>
      </c>
      <c r="M423" s="3">
        <v>5</v>
      </c>
      <c r="N423" s="3">
        <v>7</v>
      </c>
      <c r="O423">
        <v>1</v>
      </c>
      <c r="P423">
        <f t="shared" si="18"/>
        <v>1</v>
      </c>
      <c r="Q423">
        <f t="shared" si="19"/>
        <v>1</v>
      </c>
      <c r="R423">
        <f t="shared" si="20"/>
        <v>1</v>
      </c>
      <c r="S423" s="10" t="str" cm="1">
        <f t="array" ref="S423">_xlfn.IFS(N423="", "", N423&gt;=9,"Promoter", N423&gt;=7,"Passive", N423&lt;=6,"Detractor")</f>
        <v>Passive</v>
      </c>
    </row>
    <row r="424" spans="1:19" ht="14.25" customHeight="1">
      <c r="A424" s="3" t="s">
        <v>455</v>
      </c>
      <c r="B424" s="3" t="s">
        <v>37</v>
      </c>
      <c r="C424" s="3" t="s">
        <v>21</v>
      </c>
      <c r="D424" s="4">
        <v>45957</v>
      </c>
      <c r="E424" s="4">
        <v>45961</v>
      </c>
      <c r="F424" s="4">
        <v>45966</v>
      </c>
      <c r="G424" s="4">
        <v>45969</v>
      </c>
      <c r="H424" s="3" t="s">
        <v>22</v>
      </c>
      <c r="J424" s="4">
        <v>45994</v>
      </c>
      <c r="K424" s="3">
        <v>4</v>
      </c>
      <c r="L424" s="3">
        <v>5</v>
      </c>
      <c r="M424" s="3">
        <v>3</v>
      </c>
      <c r="N424" s="3">
        <v>2</v>
      </c>
      <c r="O424">
        <v>1</v>
      </c>
      <c r="P424">
        <f t="shared" si="18"/>
        <v>1</v>
      </c>
      <c r="Q424">
        <f t="shared" si="19"/>
        <v>1</v>
      </c>
      <c r="R424">
        <f t="shared" si="20"/>
        <v>1</v>
      </c>
      <c r="S424" s="10" t="str" cm="1">
        <f t="array" ref="S424">_xlfn.IFS(N424="", "", N424&gt;=9,"Promoter", N424&gt;=7,"Passive", N424&lt;=6,"Detractor")</f>
        <v>Detractor</v>
      </c>
    </row>
    <row r="425" spans="1:19" ht="14.25" customHeight="1">
      <c r="A425" s="3" t="s">
        <v>456</v>
      </c>
      <c r="B425" s="3" t="s">
        <v>37</v>
      </c>
      <c r="C425" s="3" t="s">
        <v>27</v>
      </c>
      <c r="D425" s="4">
        <v>45935</v>
      </c>
      <c r="H425" s="3" t="s">
        <v>28</v>
      </c>
      <c r="I425" s="3" t="s">
        <v>106</v>
      </c>
      <c r="O425">
        <v>1</v>
      </c>
      <c r="P425">
        <f t="shared" si="18"/>
        <v>0</v>
      </c>
      <c r="Q425">
        <f t="shared" si="19"/>
        <v>0</v>
      </c>
      <c r="R425">
        <f t="shared" si="20"/>
        <v>0</v>
      </c>
      <c r="S425" s="10" t="str" cm="1">
        <f t="array" ref="S425">_xlfn.IFS(N425="", "", N425&gt;=9,"Promoter", N425&gt;=7,"Passive", N425&lt;=6,"Detractor")</f>
        <v/>
      </c>
    </row>
    <row r="426" spans="1:19" ht="14.25" customHeight="1">
      <c r="A426" s="3" t="s">
        <v>457</v>
      </c>
      <c r="B426" s="3" t="s">
        <v>24</v>
      </c>
      <c r="C426" s="3" t="s">
        <v>21</v>
      </c>
      <c r="D426" s="4">
        <v>45946</v>
      </c>
      <c r="E426" s="4">
        <v>45951</v>
      </c>
      <c r="F426" s="4">
        <v>45954</v>
      </c>
      <c r="G426" s="4">
        <v>45956</v>
      </c>
      <c r="H426" s="3" t="s">
        <v>22</v>
      </c>
      <c r="J426" s="4">
        <v>45969</v>
      </c>
      <c r="K426" s="3">
        <v>5</v>
      </c>
      <c r="L426" s="3">
        <v>3</v>
      </c>
      <c r="M426" s="3">
        <v>2</v>
      </c>
      <c r="N426" s="3">
        <v>3</v>
      </c>
      <c r="O426">
        <v>1</v>
      </c>
      <c r="P426">
        <f t="shared" si="18"/>
        <v>1</v>
      </c>
      <c r="Q426">
        <f t="shared" si="19"/>
        <v>1</v>
      </c>
      <c r="R426">
        <f t="shared" si="20"/>
        <v>1</v>
      </c>
      <c r="S426" s="10" t="str" cm="1">
        <f t="array" ref="S426">_xlfn.IFS(N426="", "", N426&gt;=9,"Promoter", N426&gt;=7,"Passive", N426&lt;=6,"Detractor")</f>
        <v>Detractor</v>
      </c>
    </row>
    <row r="427" spans="1:19" ht="14.25" customHeight="1">
      <c r="A427" s="3" t="s">
        <v>458</v>
      </c>
      <c r="B427" s="3" t="s">
        <v>24</v>
      </c>
      <c r="C427" s="3" t="s">
        <v>35</v>
      </c>
      <c r="D427" s="4">
        <v>45960</v>
      </c>
      <c r="E427" s="4">
        <v>45965</v>
      </c>
      <c r="F427" s="4">
        <v>45967</v>
      </c>
      <c r="G427" s="4">
        <v>45969</v>
      </c>
      <c r="H427" s="3" t="s">
        <v>22</v>
      </c>
      <c r="J427" s="4">
        <v>45986</v>
      </c>
      <c r="K427" s="3">
        <v>5</v>
      </c>
      <c r="L427" s="3">
        <v>2</v>
      </c>
      <c r="M427" s="3">
        <v>2</v>
      </c>
      <c r="N427" s="3">
        <v>3</v>
      </c>
      <c r="O427">
        <v>1</v>
      </c>
      <c r="P427">
        <f t="shared" si="18"/>
        <v>1</v>
      </c>
      <c r="Q427">
        <f t="shared" si="19"/>
        <v>1</v>
      </c>
      <c r="R427">
        <f t="shared" si="20"/>
        <v>1</v>
      </c>
      <c r="S427" s="10" t="str" cm="1">
        <f t="array" ref="S427">_xlfn.IFS(N427="", "", N427&gt;=9,"Promoter", N427&gt;=7,"Passive", N427&lt;=6,"Detractor")</f>
        <v>Detractor</v>
      </c>
    </row>
    <row r="428" spans="1:19" ht="14.25" customHeight="1">
      <c r="A428" s="3" t="s">
        <v>459</v>
      </c>
      <c r="B428" s="3" t="s">
        <v>20</v>
      </c>
      <c r="C428" s="3" t="s">
        <v>21</v>
      </c>
      <c r="D428" s="4">
        <v>45953</v>
      </c>
      <c r="E428" s="4">
        <v>45957</v>
      </c>
      <c r="F428" s="4">
        <v>45960</v>
      </c>
      <c r="G428" s="4">
        <v>45963</v>
      </c>
      <c r="H428" s="3" t="s">
        <v>22</v>
      </c>
      <c r="J428" s="4">
        <v>45977</v>
      </c>
      <c r="K428" s="3">
        <v>4</v>
      </c>
      <c r="L428" s="3">
        <v>3</v>
      </c>
      <c r="M428" s="3">
        <v>3</v>
      </c>
      <c r="N428" s="3">
        <v>6</v>
      </c>
      <c r="O428">
        <v>1</v>
      </c>
      <c r="P428">
        <f t="shared" si="18"/>
        <v>1</v>
      </c>
      <c r="Q428">
        <f t="shared" si="19"/>
        <v>1</v>
      </c>
      <c r="R428">
        <f t="shared" si="20"/>
        <v>1</v>
      </c>
      <c r="S428" s="10" t="str" cm="1">
        <f t="array" ref="S428">_xlfn.IFS(N428="", "", N428&gt;=9,"Promoter", N428&gt;=7,"Passive", N428&lt;=6,"Detractor")</f>
        <v>Detractor</v>
      </c>
    </row>
    <row r="429" spans="1:19" ht="14.25" customHeight="1">
      <c r="A429" s="3" t="s">
        <v>460</v>
      </c>
      <c r="B429" s="3" t="s">
        <v>37</v>
      </c>
      <c r="C429" s="3" t="s">
        <v>21</v>
      </c>
      <c r="D429" s="4">
        <v>45940</v>
      </c>
      <c r="E429" s="4">
        <v>45942</v>
      </c>
      <c r="F429" s="4">
        <v>45944</v>
      </c>
      <c r="G429" s="4">
        <v>45946</v>
      </c>
      <c r="H429" s="3" t="s">
        <v>22</v>
      </c>
      <c r="J429" s="4">
        <v>45965</v>
      </c>
      <c r="K429" s="3">
        <v>2</v>
      </c>
      <c r="L429" s="3">
        <v>2</v>
      </c>
      <c r="M429" s="3">
        <v>2</v>
      </c>
      <c r="N429" s="3">
        <v>7</v>
      </c>
      <c r="O429">
        <v>1</v>
      </c>
      <c r="P429">
        <f t="shared" si="18"/>
        <v>1</v>
      </c>
      <c r="Q429">
        <f t="shared" si="19"/>
        <v>1</v>
      </c>
      <c r="R429">
        <f t="shared" si="20"/>
        <v>1</v>
      </c>
      <c r="S429" s="10" t="str" cm="1">
        <f t="array" ref="S429">_xlfn.IFS(N429="", "", N429&gt;=9,"Promoter", N429&gt;=7,"Passive", N429&lt;=6,"Detractor")</f>
        <v>Passive</v>
      </c>
    </row>
    <row r="430" spans="1:19" ht="14.25" customHeight="1">
      <c r="A430" s="3" t="s">
        <v>461</v>
      </c>
      <c r="B430" s="3" t="s">
        <v>26</v>
      </c>
      <c r="C430" s="3" t="s">
        <v>21</v>
      </c>
      <c r="D430" s="4">
        <v>45947</v>
      </c>
      <c r="E430" s="4">
        <v>45949</v>
      </c>
      <c r="F430" s="4">
        <v>45954</v>
      </c>
      <c r="G430" s="4">
        <v>45960</v>
      </c>
      <c r="H430" s="3" t="s">
        <v>22</v>
      </c>
      <c r="J430" s="4">
        <v>45984</v>
      </c>
      <c r="K430" s="3">
        <v>2</v>
      </c>
      <c r="L430" s="3">
        <v>5</v>
      </c>
      <c r="M430" s="3">
        <v>6</v>
      </c>
      <c r="N430" s="3">
        <v>8</v>
      </c>
      <c r="O430">
        <v>1</v>
      </c>
      <c r="P430">
        <f t="shared" si="18"/>
        <v>1</v>
      </c>
      <c r="Q430">
        <f t="shared" si="19"/>
        <v>1</v>
      </c>
      <c r="R430">
        <f t="shared" si="20"/>
        <v>1</v>
      </c>
      <c r="S430" s="10" t="str" cm="1">
        <f t="array" ref="S430">_xlfn.IFS(N430="", "", N430&gt;=9,"Promoter", N430&gt;=7,"Passive", N430&lt;=6,"Detractor")</f>
        <v>Passive</v>
      </c>
    </row>
    <row r="431" spans="1:19" ht="14.25" customHeight="1">
      <c r="A431" s="3" t="s">
        <v>462</v>
      </c>
      <c r="B431" s="3" t="s">
        <v>20</v>
      </c>
      <c r="C431" s="3" t="s">
        <v>35</v>
      </c>
      <c r="D431" s="4">
        <v>45953</v>
      </c>
      <c r="E431" s="4">
        <v>45958</v>
      </c>
      <c r="F431" s="4">
        <v>45960</v>
      </c>
      <c r="G431" s="4">
        <v>45967</v>
      </c>
      <c r="H431" s="3" t="s">
        <v>22</v>
      </c>
      <c r="J431" s="4">
        <v>45987</v>
      </c>
      <c r="K431" s="3">
        <v>5</v>
      </c>
      <c r="L431" s="3">
        <v>2</v>
      </c>
      <c r="M431" s="3">
        <v>7</v>
      </c>
      <c r="N431" s="3">
        <v>6</v>
      </c>
      <c r="O431">
        <v>1</v>
      </c>
      <c r="P431">
        <f t="shared" si="18"/>
        <v>1</v>
      </c>
      <c r="Q431">
        <f t="shared" si="19"/>
        <v>1</v>
      </c>
      <c r="R431">
        <f t="shared" si="20"/>
        <v>1</v>
      </c>
      <c r="S431" s="10" t="str" cm="1">
        <f t="array" ref="S431">_xlfn.IFS(N431="", "", N431&gt;=9,"Promoter", N431&gt;=7,"Passive", N431&lt;=6,"Detractor")</f>
        <v>Detractor</v>
      </c>
    </row>
    <row r="432" spans="1:19" ht="14.25" customHeight="1">
      <c r="A432" s="3" t="s">
        <v>463</v>
      </c>
      <c r="B432" s="3" t="s">
        <v>24</v>
      </c>
      <c r="C432" s="3" t="s">
        <v>35</v>
      </c>
      <c r="D432" s="4">
        <v>45939</v>
      </c>
      <c r="E432" s="4">
        <v>45941</v>
      </c>
      <c r="F432" s="4">
        <v>45945</v>
      </c>
      <c r="G432" s="4">
        <v>45950</v>
      </c>
      <c r="H432" s="3" t="s">
        <v>22</v>
      </c>
      <c r="J432" s="4">
        <v>45968</v>
      </c>
      <c r="K432" s="3">
        <v>2</v>
      </c>
      <c r="L432" s="3">
        <v>4</v>
      </c>
      <c r="M432" s="3">
        <v>5</v>
      </c>
      <c r="N432" s="3">
        <v>10</v>
      </c>
      <c r="O432">
        <v>1</v>
      </c>
      <c r="P432">
        <f t="shared" si="18"/>
        <v>1</v>
      </c>
      <c r="Q432">
        <f t="shared" si="19"/>
        <v>1</v>
      </c>
      <c r="R432">
        <f t="shared" si="20"/>
        <v>1</v>
      </c>
      <c r="S432" s="10" t="str" cm="1">
        <f t="array" ref="S432">_xlfn.IFS(N432="", "", N432&gt;=9,"Promoter", N432&gt;=7,"Passive", N432&lt;=6,"Detractor")</f>
        <v>Promoter</v>
      </c>
    </row>
    <row r="433" spans="1:19" ht="14.25" customHeight="1">
      <c r="A433" s="3" t="s">
        <v>464</v>
      </c>
      <c r="B433" s="3" t="s">
        <v>37</v>
      </c>
      <c r="C433" s="3" t="s">
        <v>35</v>
      </c>
      <c r="D433" s="4">
        <v>45944</v>
      </c>
      <c r="E433" s="4">
        <v>45947</v>
      </c>
      <c r="F433" s="4">
        <v>45950</v>
      </c>
      <c r="G433" s="4">
        <v>45954</v>
      </c>
      <c r="H433" s="3" t="s">
        <v>22</v>
      </c>
      <c r="J433" s="4">
        <v>45977</v>
      </c>
      <c r="K433" s="3">
        <v>3</v>
      </c>
      <c r="L433" s="3">
        <v>3</v>
      </c>
      <c r="M433" s="3">
        <v>4</v>
      </c>
      <c r="N433" s="3">
        <v>4</v>
      </c>
      <c r="O433">
        <v>1</v>
      </c>
      <c r="P433">
        <f t="shared" si="18"/>
        <v>1</v>
      </c>
      <c r="Q433">
        <f t="shared" si="19"/>
        <v>1</v>
      </c>
      <c r="R433">
        <f t="shared" si="20"/>
        <v>1</v>
      </c>
      <c r="S433" s="10" t="str" cm="1">
        <f t="array" ref="S433">_xlfn.IFS(N433="", "", N433&gt;=9,"Promoter", N433&gt;=7,"Passive", N433&lt;=6,"Detractor")</f>
        <v>Detractor</v>
      </c>
    </row>
    <row r="434" spans="1:19" ht="14.25" customHeight="1">
      <c r="A434" s="3" t="s">
        <v>465</v>
      </c>
      <c r="B434" s="3" t="s">
        <v>26</v>
      </c>
      <c r="C434" s="3" t="s">
        <v>27</v>
      </c>
      <c r="D434" s="4">
        <v>45957</v>
      </c>
      <c r="H434" s="3" t="s">
        <v>28</v>
      </c>
      <c r="I434" s="3" t="s">
        <v>29</v>
      </c>
      <c r="O434">
        <v>1</v>
      </c>
      <c r="P434">
        <f t="shared" si="18"/>
        <v>0</v>
      </c>
      <c r="Q434">
        <f t="shared" si="19"/>
        <v>0</v>
      </c>
      <c r="R434">
        <f t="shared" si="20"/>
        <v>0</v>
      </c>
      <c r="S434" s="10" t="str" cm="1">
        <f t="array" ref="S434">_xlfn.IFS(N434="", "", N434&gt;=9,"Promoter", N434&gt;=7,"Passive", N434&lt;=6,"Detractor")</f>
        <v/>
      </c>
    </row>
    <row r="435" spans="1:19" ht="14.25" customHeight="1">
      <c r="A435" s="3" t="s">
        <v>466</v>
      </c>
      <c r="B435" s="3" t="s">
        <v>26</v>
      </c>
      <c r="C435" s="3" t="s">
        <v>21</v>
      </c>
      <c r="D435" s="4">
        <v>45946</v>
      </c>
      <c r="E435" s="4">
        <v>45947</v>
      </c>
      <c r="F435" s="4">
        <v>45950</v>
      </c>
      <c r="G435" s="4">
        <v>45955</v>
      </c>
      <c r="H435" s="3" t="s">
        <v>22</v>
      </c>
      <c r="J435" s="4">
        <v>45984</v>
      </c>
      <c r="K435" s="3">
        <v>1</v>
      </c>
      <c r="L435" s="3">
        <v>3</v>
      </c>
      <c r="M435" s="3">
        <v>5</v>
      </c>
      <c r="N435" s="3">
        <v>1</v>
      </c>
      <c r="O435">
        <v>1</v>
      </c>
      <c r="P435">
        <f t="shared" si="18"/>
        <v>1</v>
      </c>
      <c r="Q435">
        <f t="shared" si="19"/>
        <v>1</v>
      </c>
      <c r="R435">
        <f t="shared" si="20"/>
        <v>1</v>
      </c>
      <c r="S435" s="10" t="str" cm="1">
        <f t="array" ref="S435">_xlfn.IFS(N435="", "", N435&gt;=9,"Promoter", N435&gt;=7,"Passive", N435&lt;=6,"Detractor")</f>
        <v>Detractor</v>
      </c>
    </row>
    <row r="436" spans="1:19" ht="14.25" customHeight="1">
      <c r="A436" s="3" t="s">
        <v>467</v>
      </c>
      <c r="B436" s="3" t="s">
        <v>20</v>
      </c>
      <c r="C436" s="3" t="s">
        <v>35</v>
      </c>
      <c r="D436" s="4">
        <v>45946</v>
      </c>
      <c r="E436" s="4">
        <v>45950</v>
      </c>
      <c r="F436" s="4">
        <v>45951</v>
      </c>
      <c r="G436" s="4">
        <v>45955</v>
      </c>
      <c r="H436" s="3" t="s">
        <v>22</v>
      </c>
      <c r="J436" s="4">
        <v>45985</v>
      </c>
      <c r="K436" s="3">
        <v>4</v>
      </c>
      <c r="L436" s="3">
        <v>1</v>
      </c>
      <c r="M436" s="3">
        <v>4</v>
      </c>
      <c r="N436" s="3">
        <v>3</v>
      </c>
      <c r="O436">
        <v>1</v>
      </c>
      <c r="P436">
        <f t="shared" si="18"/>
        <v>1</v>
      </c>
      <c r="Q436">
        <f t="shared" si="19"/>
        <v>1</v>
      </c>
      <c r="R436">
        <f t="shared" si="20"/>
        <v>1</v>
      </c>
      <c r="S436" s="10" t="str" cm="1">
        <f t="array" ref="S436">_xlfn.IFS(N436="", "", N436&gt;=9,"Promoter", N436&gt;=7,"Passive", N436&lt;=6,"Detractor")</f>
        <v>Detractor</v>
      </c>
    </row>
    <row r="437" spans="1:19" ht="14.25" customHeight="1">
      <c r="A437" s="3" t="s">
        <v>468</v>
      </c>
      <c r="B437" s="3" t="s">
        <v>37</v>
      </c>
      <c r="C437" s="3" t="s">
        <v>35</v>
      </c>
      <c r="D437" s="4">
        <v>45938</v>
      </c>
      <c r="E437" s="4">
        <v>45941</v>
      </c>
      <c r="F437" s="4">
        <v>45946</v>
      </c>
      <c r="G437" s="4">
        <v>45949</v>
      </c>
      <c r="H437" s="3" t="s">
        <v>22</v>
      </c>
      <c r="J437" s="4">
        <v>45961</v>
      </c>
      <c r="K437" s="3">
        <v>3</v>
      </c>
      <c r="L437" s="3">
        <v>5</v>
      </c>
      <c r="M437" s="3">
        <v>3</v>
      </c>
      <c r="N437" s="3">
        <v>7</v>
      </c>
      <c r="O437">
        <v>1</v>
      </c>
      <c r="P437">
        <f t="shared" si="18"/>
        <v>1</v>
      </c>
      <c r="Q437">
        <f t="shared" si="19"/>
        <v>1</v>
      </c>
      <c r="R437">
        <f t="shared" si="20"/>
        <v>1</v>
      </c>
      <c r="S437" s="10" t="str" cm="1">
        <f t="array" ref="S437">_xlfn.IFS(N437="", "", N437&gt;=9,"Promoter", N437&gt;=7,"Passive", N437&lt;=6,"Detractor")</f>
        <v>Passive</v>
      </c>
    </row>
    <row r="438" spans="1:19" ht="14.25" customHeight="1">
      <c r="A438" s="3" t="s">
        <v>469</v>
      </c>
      <c r="B438" s="3" t="s">
        <v>37</v>
      </c>
      <c r="C438" s="3" t="s">
        <v>21</v>
      </c>
      <c r="D438" s="4">
        <v>45945</v>
      </c>
      <c r="E438" s="4">
        <v>45950</v>
      </c>
      <c r="F438" s="4">
        <v>45955</v>
      </c>
      <c r="G438" s="4">
        <v>45958</v>
      </c>
      <c r="H438" s="3" t="s">
        <v>22</v>
      </c>
      <c r="J438" s="4">
        <v>45974</v>
      </c>
      <c r="K438" s="3">
        <v>5</v>
      </c>
      <c r="L438" s="3">
        <v>5</v>
      </c>
      <c r="M438" s="3">
        <v>3</v>
      </c>
      <c r="N438" s="3">
        <v>3</v>
      </c>
      <c r="O438">
        <v>1</v>
      </c>
      <c r="P438">
        <f t="shared" si="18"/>
        <v>1</v>
      </c>
      <c r="Q438">
        <f t="shared" si="19"/>
        <v>1</v>
      </c>
      <c r="R438">
        <f t="shared" si="20"/>
        <v>1</v>
      </c>
      <c r="S438" s="10" t="str" cm="1">
        <f t="array" ref="S438">_xlfn.IFS(N438="", "", N438&gt;=9,"Promoter", N438&gt;=7,"Passive", N438&lt;=6,"Detractor")</f>
        <v>Detractor</v>
      </c>
    </row>
    <row r="439" spans="1:19" ht="14.25" customHeight="1">
      <c r="A439" s="3" t="s">
        <v>470</v>
      </c>
      <c r="B439" s="3" t="s">
        <v>24</v>
      </c>
      <c r="C439" s="3" t="s">
        <v>35</v>
      </c>
      <c r="D439" s="4">
        <v>45948</v>
      </c>
      <c r="E439" s="4">
        <v>45949</v>
      </c>
      <c r="F439" s="4">
        <v>45951</v>
      </c>
      <c r="G439" s="4">
        <v>45955</v>
      </c>
      <c r="H439" s="3" t="s">
        <v>22</v>
      </c>
      <c r="J439" s="4">
        <v>45979</v>
      </c>
      <c r="K439" s="3">
        <v>1</v>
      </c>
      <c r="L439" s="3">
        <v>2</v>
      </c>
      <c r="M439" s="3">
        <v>4</v>
      </c>
      <c r="N439" s="3">
        <v>8</v>
      </c>
      <c r="O439">
        <v>1</v>
      </c>
      <c r="P439">
        <f t="shared" si="18"/>
        <v>1</v>
      </c>
      <c r="Q439">
        <f t="shared" si="19"/>
        <v>1</v>
      </c>
      <c r="R439">
        <f t="shared" si="20"/>
        <v>1</v>
      </c>
      <c r="S439" s="10" t="str" cm="1">
        <f t="array" ref="S439">_xlfn.IFS(N439="", "", N439&gt;=9,"Promoter", N439&gt;=7,"Passive", N439&lt;=6,"Detractor")</f>
        <v>Passive</v>
      </c>
    </row>
    <row r="440" spans="1:19" ht="14.25" customHeight="1">
      <c r="A440" s="3" t="s">
        <v>471</v>
      </c>
      <c r="B440" s="3" t="s">
        <v>37</v>
      </c>
      <c r="C440" s="3" t="s">
        <v>35</v>
      </c>
      <c r="D440" s="4">
        <v>45935</v>
      </c>
      <c r="E440" s="4">
        <v>45940</v>
      </c>
      <c r="F440" s="4">
        <v>45944</v>
      </c>
      <c r="G440" s="4">
        <v>45951</v>
      </c>
      <c r="H440" s="3" t="s">
        <v>22</v>
      </c>
      <c r="J440" s="4">
        <v>45967</v>
      </c>
      <c r="K440" s="3">
        <v>5</v>
      </c>
      <c r="L440" s="3">
        <v>4</v>
      </c>
      <c r="M440" s="3">
        <v>7</v>
      </c>
      <c r="N440" s="3">
        <v>7</v>
      </c>
      <c r="O440">
        <v>1</v>
      </c>
      <c r="P440">
        <f t="shared" si="18"/>
        <v>1</v>
      </c>
      <c r="Q440">
        <f t="shared" si="19"/>
        <v>1</v>
      </c>
      <c r="R440">
        <f t="shared" si="20"/>
        <v>1</v>
      </c>
      <c r="S440" s="10" t="str" cm="1">
        <f t="array" ref="S440">_xlfn.IFS(N440="", "", N440&gt;=9,"Promoter", N440&gt;=7,"Passive", N440&lt;=6,"Detractor")</f>
        <v>Passive</v>
      </c>
    </row>
    <row r="441" spans="1:19" ht="14.25" customHeight="1">
      <c r="A441" s="3" t="s">
        <v>472</v>
      </c>
      <c r="B441" s="3" t="s">
        <v>37</v>
      </c>
      <c r="C441" s="3" t="s">
        <v>27</v>
      </c>
      <c r="D441" s="4">
        <v>45943</v>
      </c>
      <c r="H441" s="3" t="s">
        <v>28</v>
      </c>
      <c r="I441" s="3" t="s">
        <v>106</v>
      </c>
      <c r="O441">
        <v>1</v>
      </c>
      <c r="P441">
        <f t="shared" si="18"/>
        <v>0</v>
      </c>
      <c r="Q441">
        <f t="shared" si="19"/>
        <v>0</v>
      </c>
      <c r="R441">
        <f t="shared" si="20"/>
        <v>0</v>
      </c>
      <c r="S441" s="10" t="str" cm="1">
        <f t="array" ref="S441">_xlfn.IFS(N441="", "", N441&gt;=9,"Promoter", N441&gt;=7,"Passive", N441&lt;=6,"Detractor")</f>
        <v/>
      </c>
    </row>
    <row r="442" spans="1:19" ht="14.25" customHeight="1">
      <c r="A442" s="3" t="s">
        <v>473</v>
      </c>
      <c r="B442" s="3" t="s">
        <v>20</v>
      </c>
      <c r="C442" s="3" t="s">
        <v>35</v>
      </c>
      <c r="D442" s="4">
        <v>45937</v>
      </c>
      <c r="E442" s="4">
        <v>45938</v>
      </c>
      <c r="F442" s="4">
        <v>45943</v>
      </c>
      <c r="G442" s="4">
        <v>45945</v>
      </c>
      <c r="H442" s="3" t="s">
        <v>22</v>
      </c>
      <c r="J442" s="4">
        <v>45968</v>
      </c>
      <c r="K442" s="3">
        <v>1</v>
      </c>
      <c r="L442" s="3">
        <v>5</v>
      </c>
      <c r="M442" s="3">
        <v>2</v>
      </c>
      <c r="N442" s="3">
        <v>1</v>
      </c>
      <c r="O442">
        <v>1</v>
      </c>
      <c r="P442">
        <f t="shared" si="18"/>
        <v>1</v>
      </c>
      <c r="Q442">
        <f t="shared" si="19"/>
        <v>1</v>
      </c>
      <c r="R442">
        <f t="shared" si="20"/>
        <v>1</v>
      </c>
      <c r="S442" s="10" t="str" cm="1">
        <f t="array" ref="S442">_xlfn.IFS(N442="", "", N442&gt;=9,"Promoter", N442&gt;=7,"Passive", N442&lt;=6,"Detractor")</f>
        <v>Detractor</v>
      </c>
    </row>
    <row r="443" spans="1:19" ht="14.25" customHeight="1">
      <c r="A443" s="3" t="s">
        <v>474</v>
      </c>
      <c r="B443" s="3" t="s">
        <v>37</v>
      </c>
      <c r="C443" s="3" t="s">
        <v>21</v>
      </c>
      <c r="D443" s="4">
        <v>45960</v>
      </c>
      <c r="E443" s="4">
        <v>45963</v>
      </c>
      <c r="F443" s="4">
        <v>45967</v>
      </c>
      <c r="G443" s="4">
        <v>45970</v>
      </c>
      <c r="H443" s="3" t="s">
        <v>22</v>
      </c>
      <c r="J443" s="4">
        <v>45995</v>
      </c>
      <c r="K443" s="3">
        <v>3</v>
      </c>
      <c r="L443" s="3">
        <v>4</v>
      </c>
      <c r="M443" s="3">
        <v>3</v>
      </c>
      <c r="N443" s="3">
        <v>8</v>
      </c>
      <c r="O443">
        <v>1</v>
      </c>
      <c r="P443">
        <f t="shared" si="18"/>
        <v>1</v>
      </c>
      <c r="Q443">
        <f t="shared" si="19"/>
        <v>1</v>
      </c>
      <c r="R443">
        <f t="shared" si="20"/>
        <v>1</v>
      </c>
      <c r="S443" s="10" t="str" cm="1">
        <f t="array" ref="S443">_xlfn.IFS(N443="", "", N443&gt;=9,"Promoter", N443&gt;=7,"Passive", N443&lt;=6,"Detractor")</f>
        <v>Passive</v>
      </c>
    </row>
    <row r="444" spans="1:19" ht="14.25" customHeight="1">
      <c r="A444" s="3" t="s">
        <v>475</v>
      </c>
      <c r="B444" s="3" t="s">
        <v>26</v>
      </c>
      <c r="C444" s="3" t="s">
        <v>27</v>
      </c>
      <c r="D444" s="4">
        <v>45950</v>
      </c>
      <c r="H444" s="3" t="s">
        <v>28</v>
      </c>
      <c r="I444" s="3" t="s">
        <v>38</v>
      </c>
      <c r="O444">
        <v>1</v>
      </c>
      <c r="P444">
        <f t="shared" si="18"/>
        <v>0</v>
      </c>
      <c r="Q444">
        <f t="shared" si="19"/>
        <v>0</v>
      </c>
      <c r="R444">
        <f t="shared" si="20"/>
        <v>0</v>
      </c>
      <c r="S444" s="10" t="str" cm="1">
        <f t="array" ref="S444">_xlfn.IFS(N444="", "", N444&gt;=9,"Promoter", N444&gt;=7,"Passive", N444&lt;=6,"Detractor")</f>
        <v/>
      </c>
    </row>
    <row r="445" spans="1:19" ht="14.25" customHeight="1">
      <c r="A445" s="3" t="s">
        <v>476</v>
      </c>
      <c r="B445" s="3" t="s">
        <v>20</v>
      </c>
      <c r="C445" s="3" t="s">
        <v>21</v>
      </c>
      <c r="D445" s="4">
        <v>45947</v>
      </c>
      <c r="E445" s="4">
        <v>45948</v>
      </c>
      <c r="F445" s="4">
        <v>45949</v>
      </c>
      <c r="G445" s="4">
        <v>45955</v>
      </c>
      <c r="H445" s="3" t="s">
        <v>22</v>
      </c>
      <c r="J445" s="4">
        <v>45981</v>
      </c>
      <c r="K445" s="3">
        <v>1</v>
      </c>
      <c r="L445" s="3">
        <v>1</v>
      </c>
      <c r="M445" s="3">
        <v>6</v>
      </c>
      <c r="N445" s="3">
        <v>6</v>
      </c>
      <c r="O445">
        <v>1</v>
      </c>
      <c r="P445">
        <f t="shared" si="18"/>
        <v>1</v>
      </c>
      <c r="Q445">
        <f t="shared" si="19"/>
        <v>1</v>
      </c>
      <c r="R445">
        <f t="shared" si="20"/>
        <v>1</v>
      </c>
      <c r="S445" s="10" t="str" cm="1">
        <f t="array" ref="S445">_xlfn.IFS(N445="", "", N445&gt;=9,"Promoter", N445&gt;=7,"Passive", N445&lt;=6,"Detractor")</f>
        <v>Detractor</v>
      </c>
    </row>
    <row r="446" spans="1:19" ht="14.25" customHeight="1">
      <c r="A446" s="3" t="s">
        <v>477</v>
      </c>
      <c r="B446" s="3" t="s">
        <v>20</v>
      </c>
      <c r="C446" s="3" t="s">
        <v>35</v>
      </c>
      <c r="D446" s="4">
        <v>45954</v>
      </c>
      <c r="E446" s="4">
        <v>45956</v>
      </c>
      <c r="F446" s="4">
        <v>45959</v>
      </c>
      <c r="G446" s="4">
        <v>45965</v>
      </c>
      <c r="H446" s="3" t="s">
        <v>28</v>
      </c>
      <c r="I446" s="3" t="s">
        <v>29</v>
      </c>
      <c r="K446" s="3">
        <v>2</v>
      </c>
      <c r="L446" s="3">
        <v>3</v>
      </c>
      <c r="M446" s="3">
        <v>6</v>
      </c>
      <c r="O446">
        <v>1</v>
      </c>
      <c r="P446">
        <f t="shared" si="18"/>
        <v>1</v>
      </c>
      <c r="Q446">
        <f t="shared" si="19"/>
        <v>1</v>
      </c>
      <c r="R446">
        <f t="shared" si="20"/>
        <v>0</v>
      </c>
      <c r="S446" s="10" t="str" cm="1">
        <f t="array" ref="S446">_xlfn.IFS(N446="", "", N446&gt;=9,"Promoter", N446&gt;=7,"Passive", N446&lt;=6,"Detractor")</f>
        <v/>
      </c>
    </row>
    <row r="447" spans="1:19" ht="14.25" customHeight="1">
      <c r="A447" s="3" t="s">
        <v>478</v>
      </c>
      <c r="B447" s="3" t="s">
        <v>24</v>
      </c>
      <c r="C447" s="3" t="s">
        <v>35</v>
      </c>
      <c r="D447" s="4">
        <v>45959</v>
      </c>
      <c r="E447" s="4">
        <v>45962</v>
      </c>
      <c r="F447" s="4">
        <v>45966</v>
      </c>
      <c r="G447" s="4">
        <v>45972</v>
      </c>
      <c r="H447" s="3" t="s">
        <v>22</v>
      </c>
      <c r="J447" s="4">
        <v>45993</v>
      </c>
      <c r="K447" s="3">
        <v>3</v>
      </c>
      <c r="L447" s="3">
        <v>4</v>
      </c>
      <c r="M447" s="3">
        <v>6</v>
      </c>
      <c r="N447" s="3">
        <v>3</v>
      </c>
      <c r="O447">
        <v>1</v>
      </c>
      <c r="P447">
        <f t="shared" si="18"/>
        <v>1</v>
      </c>
      <c r="Q447">
        <f t="shared" si="19"/>
        <v>1</v>
      </c>
      <c r="R447">
        <f t="shared" si="20"/>
        <v>1</v>
      </c>
      <c r="S447" s="10" t="str" cm="1">
        <f t="array" ref="S447">_xlfn.IFS(N447="", "", N447&gt;=9,"Promoter", N447&gt;=7,"Passive", N447&lt;=6,"Detractor")</f>
        <v>Detractor</v>
      </c>
    </row>
    <row r="448" spans="1:19" ht="14.25" customHeight="1">
      <c r="A448" s="3" t="s">
        <v>479</v>
      </c>
      <c r="B448" s="3" t="s">
        <v>37</v>
      </c>
      <c r="C448" s="3" t="s">
        <v>27</v>
      </c>
      <c r="D448" s="4">
        <v>45935</v>
      </c>
      <c r="H448" s="3" t="s">
        <v>28</v>
      </c>
      <c r="I448" s="3" t="s">
        <v>106</v>
      </c>
      <c r="O448">
        <v>1</v>
      </c>
      <c r="P448">
        <f t="shared" si="18"/>
        <v>0</v>
      </c>
      <c r="Q448">
        <f t="shared" si="19"/>
        <v>0</v>
      </c>
      <c r="R448">
        <f t="shared" si="20"/>
        <v>0</v>
      </c>
      <c r="S448" s="10" t="str" cm="1">
        <f t="array" ref="S448">_xlfn.IFS(N448="", "", N448&gt;=9,"Promoter", N448&gt;=7,"Passive", N448&lt;=6,"Detractor")</f>
        <v/>
      </c>
    </row>
    <row r="449" spans="1:19" ht="14.25" customHeight="1">
      <c r="A449" s="3" t="s">
        <v>480</v>
      </c>
      <c r="B449" s="3" t="s">
        <v>24</v>
      </c>
      <c r="C449" s="3" t="s">
        <v>27</v>
      </c>
      <c r="D449" s="4">
        <v>45958</v>
      </c>
      <c r="H449" s="3" t="s">
        <v>28</v>
      </c>
      <c r="I449" s="3" t="s">
        <v>31</v>
      </c>
      <c r="O449">
        <v>1</v>
      </c>
      <c r="P449">
        <f t="shared" si="18"/>
        <v>0</v>
      </c>
      <c r="Q449">
        <f t="shared" si="19"/>
        <v>0</v>
      </c>
      <c r="R449">
        <f t="shared" si="20"/>
        <v>0</v>
      </c>
      <c r="S449" s="10" t="str" cm="1">
        <f t="array" ref="S449">_xlfn.IFS(N449="", "", N449&gt;=9,"Promoter", N449&gt;=7,"Passive", N449&lt;=6,"Detractor")</f>
        <v/>
      </c>
    </row>
    <row r="450" spans="1:19" ht="14.25" customHeight="1">
      <c r="A450" s="3" t="s">
        <v>481</v>
      </c>
      <c r="B450" s="3" t="s">
        <v>26</v>
      </c>
      <c r="C450" s="3" t="s">
        <v>21</v>
      </c>
      <c r="D450" s="4">
        <v>45933</v>
      </c>
      <c r="E450" s="4">
        <v>45937</v>
      </c>
      <c r="F450" s="4">
        <v>45942</v>
      </c>
      <c r="G450" s="4">
        <v>45949</v>
      </c>
      <c r="H450" s="3" t="s">
        <v>22</v>
      </c>
      <c r="J450" s="4">
        <v>45960</v>
      </c>
      <c r="K450" s="3">
        <v>4</v>
      </c>
      <c r="L450" s="3">
        <v>5</v>
      </c>
      <c r="M450" s="3">
        <v>7</v>
      </c>
      <c r="N450" s="3">
        <v>3</v>
      </c>
      <c r="O450">
        <v>1</v>
      </c>
      <c r="P450">
        <f t="shared" si="18"/>
        <v>1</v>
      </c>
      <c r="Q450">
        <f t="shared" si="19"/>
        <v>1</v>
      </c>
      <c r="R450">
        <f t="shared" si="20"/>
        <v>1</v>
      </c>
      <c r="S450" s="10" t="str" cm="1">
        <f t="array" ref="S450">_xlfn.IFS(N450="", "", N450&gt;=9,"Promoter", N450&gt;=7,"Passive", N450&lt;=6,"Detractor")</f>
        <v>Detractor</v>
      </c>
    </row>
    <row r="451" spans="1:19" ht="14.25" customHeight="1">
      <c r="A451" s="3" t="s">
        <v>482</v>
      </c>
      <c r="B451" s="3" t="s">
        <v>20</v>
      </c>
      <c r="C451" s="3" t="s">
        <v>35</v>
      </c>
      <c r="D451" s="4">
        <v>45939</v>
      </c>
      <c r="E451" s="4">
        <v>45944</v>
      </c>
      <c r="F451" s="4">
        <v>45947</v>
      </c>
      <c r="G451" s="4">
        <v>45953</v>
      </c>
      <c r="H451" s="3" t="s">
        <v>22</v>
      </c>
      <c r="J451" s="4">
        <v>45979</v>
      </c>
      <c r="K451" s="3">
        <v>5</v>
      </c>
      <c r="L451" s="3">
        <v>3</v>
      </c>
      <c r="M451" s="3">
        <v>6</v>
      </c>
      <c r="N451" s="3">
        <v>3</v>
      </c>
      <c r="O451">
        <v>1</v>
      </c>
      <c r="P451">
        <f t="shared" ref="P451:P514" si="21">IF(E451&lt;&gt;"", 1, 0)</f>
        <v>1</v>
      </c>
      <c r="Q451">
        <f t="shared" ref="Q451:Q514" si="22">IF(G451&lt;&gt;"",1,0)</f>
        <v>1</v>
      </c>
      <c r="R451">
        <f t="shared" ref="R451:R514" si="23">IF(AND(G451&lt;&gt;"", H451="No"), 1, 0)</f>
        <v>1</v>
      </c>
      <c r="S451" s="10" t="str" cm="1">
        <f t="array" ref="S451">_xlfn.IFS(N451="", "", N451&gt;=9,"Promoter", N451&gt;=7,"Passive", N451&lt;=6,"Detractor")</f>
        <v>Detractor</v>
      </c>
    </row>
    <row r="452" spans="1:19" ht="14.25" customHeight="1">
      <c r="A452" s="3" t="s">
        <v>483</v>
      </c>
      <c r="B452" s="3" t="s">
        <v>20</v>
      </c>
      <c r="C452" s="3" t="s">
        <v>21</v>
      </c>
      <c r="D452" s="4">
        <v>45955</v>
      </c>
      <c r="E452" s="4">
        <v>45957</v>
      </c>
      <c r="F452" s="4">
        <v>45961</v>
      </c>
      <c r="G452" s="4">
        <v>45965</v>
      </c>
      <c r="H452" s="3" t="s">
        <v>22</v>
      </c>
      <c r="J452" s="4">
        <v>45980</v>
      </c>
      <c r="K452" s="3">
        <v>2</v>
      </c>
      <c r="L452" s="3">
        <v>4</v>
      </c>
      <c r="M452" s="3">
        <v>4</v>
      </c>
      <c r="N452" s="3">
        <v>0</v>
      </c>
      <c r="O452">
        <v>1</v>
      </c>
      <c r="P452">
        <f t="shared" si="21"/>
        <v>1</v>
      </c>
      <c r="Q452">
        <f t="shared" si="22"/>
        <v>1</v>
      </c>
      <c r="R452">
        <f t="shared" si="23"/>
        <v>1</v>
      </c>
      <c r="S452" s="10" t="str" cm="1">
        <f t="array" ref="S452">_xlfn.IFS(N452="", "", N452&gt;=9,"Promoter", N452&gt;=7,"Passive", N452&lt;=6,"Detractor")</f>
        <v>Detractor</v>
      </c>
    </row>
    <row r="453" spans="1:19" ht="14.25" customHeight="1">
      <c r="A453" s="3" t="s">
        <v>484</v>
      </c>
      <c r="B453" s="3" t="s">
        <v>20</v>
      </c>
      <c r="C453" s="3" t="s">
        <v>27</v>
      </c>
      <c r="D453" s="4">
        <v>45956</v>
      </c>
      <c r="H453" s="3" t="s">
        <v>28</v>
      </c>
      <c r="I453" s="3" t="s">
        <v>29</v>
      </c>
      <c r="O453">
        <v>1</v>
      </c>
      <c r="P453">
        <f t="shared" si="21"/>
        <v>0</v>
      </c>
      <c r="Q453">
        <f t="shared" si="22"/>
        <v>0</v>
      </c>
      <c r="R453">
        <f t="shared" si="23"/>
        <v>0</v>
      </c>
      <c r="S453" s="10" t="str" cm="1">
        <f t="array" ref="S453">_xlfn.IFS(N453="", "", N453&gt;=9,"Promoter", N453&gt;=7,"Passive", N453&lt;=6,"Detractor")</f>
        <v/>
      </c>
    </row>
    <row r="454" spans="1:19" ht="14.25" customHeight="1">
      <c r="A454" s="3" t="s">
        <v>485</v>
      </c>
      <c r="B454" s="3" t="s">
        <v>26</v>
      </c>
      <c r="C454" s="3" t="s">
        <v>21</v>
      </c>
      <c r="D454" s="4">
        <v>45958</v>
      </c>
      <c r="E454" s="4">
        <v>45962</v>
      </c>
      <c r="F454" s="4">
        <v>45966</v>
      </c>
      <c r="G454" s="4">
        <v>45973</v>
      </c>
      <c r="H454" s="3" t="s">
        <v>22</v>
      </c>
      <c r="J454" s="4">
        <v>45985</v>
      </c>
      <c r="K454" s="3">
        <v>4</v>
      </c>
      <c r="L454" s="3">
        <v>4</v>
      </c>
      <c r="M454" s="3">
        <v>7</v>
      </c>
      <c r="N454" s="3">
        <v>4</v>
      </c>
      <c r="O454">
        <v>1</v>
      </c>
      <c r="P454">
        <f t="shared" si="21"/>
        <v>1</v>
      </c>
      <c r="Q454">
        <f t="shared" si="22"/>
        <v>1</v>
      </c>
      <c r="R454">
        <f t="shared" si="23"/>
        <v>1</v>
      </c>
      <c r="S454" s="10" t="str" cm="1">
        <f t="array" ref="S454">_xlfn.IFS(N454="", "", N454&gt;=9,"Promoter", N454&gt;=7,"Passive", N454&lt;=6,"Detractor")</f>
        <v>Detractor</v>
      </c>
    </row>
    <row r="455" spans="1:19" ht="14.25" customHeight="1">
      <c r="A455" s="3" t="s">
        <v>486</v>
      </c>
      <c r="B455" s="3" t="s">
        <v>26</v>
      </c>
      <c r="C455" s="3" t="s">
        <v>27</v>
      </c>
      <c r="D455" s="4">
        <v>45944</v>
      </c>
      <c r="H455" s="3" t="s">
        <v>28</v>
      </c>
      <c r="I455" s="3" t="s">
        <v>29</v>
      </c>
      <c r="O455">
        <v>1</v>
      </c>
      <c r="P455">
        <f t="shared" si="21"/>
        <v>0</v>
      </c>
      <c r="Q455">
        <f t="shared" si="22"/>
        <v>0</v>
      </c>
      <c r="R455">
        <f t="shared" si="23"/>
        <v>0</v>
      </c>
      <c r="S455" s="10" t="str" cm="1">
        <f t="array" ref="S455">_xlfn.IFS(N455="", "", N455&gt;=9,"Promoter", N455&gt;=7,"Passive", N455&lt;=6,"Detractor")</f>
        <v/>
      </c>
    </row>
    <row r="456" spans="1:19" ht="14.25" customHeight="1">
      <c r="A456" s="3" t="s">
        <v>487</v>
      </c>
      <c r="B456" s="3" t="s">
        <v>24</v>
      </c>
      <c r="C456" s="3" t="s">
        <v>27</v>
      </c>
      <c r="D456" s="4">
        <v>45941</v>
      </c>
      <c r="H456" s="3" t="s">
        <v>28</v>
      </c>
      <c r="I456" s="3" t="s">
        <v>38</v>
      </c>
      <c r="O456">
        <v>1</v>
      </c>
      <c r="P456">
        <f t="shared" si="21"/>
        <v>0</v>
      </c>
      <c r="Q456">
        <f t="shared" si="22"/>
        <v>0</v>
      </c>
      <c r="R456">
        <f t="shared" si="23"/>
        <v>0</v>
      </c>
      <c r="S456" s="10" t="str" cm="1">
        <f t="array" ref="S456">_xlfn.IFS(N456="", "", N456&gt;=9,"Promoter", N456&gt;=7,"Passive", N456&lt;=6,"Detractor")</f>
        <v/>
      </c>
    </row>
    <row r="457" spans="1:19" ht="14.25" customHeight="1">
      <c r="A457" s="3" t="s">
        <v>488</v>
      </c>
      <c r="B457" s="3" t="s">
        <v>24</v>
      </c>
      <c r="C457" s="3" t="s">
        <v>21</v>
      </c>
      <c r="D457" s="4">
        <v>45960</v>
      </c>
      <c r="E457" s="4">
        <v>45961</v>
      </c>
      <c r="F457" s="4">
        <v>45963</v>
      </c>
      <c r="G457" s="4">
        <v>45965</v>
      </c>
      <c r="H457" s="3" t="s">
        <v>22</v>
      </c>
      <c r="J457" s="4">
        <v>45984</v>
      </c>
      <c r="K457" s="3">
        <v>1</v>
      </c>
      <c r="L457" s="3">
        <v>2</v>
      </c>
      <c r="M457" s="3">
        <v>2</v>
      </c>
      <c r="N457" s="3">
        <v>9</v>
      </c>
      <c r="O457">
        <v>1</v>
      </c>
      <c r="P457">
        <f t="shared" si="21"/>
        <v>1</v>
      </c>
      <c r="Q457">
        <f t="shared" si="22"/>
        <v>1</v>
      </c>
      <c r="R457">
        <f t="shared" si="23"/>
        <v>1</v>
      </c>
      <c r="S457" s="10" t="str" cm="1">
        <f t="array" ref="S457">_xlfn.IFS(N457="", "", N457&gt;=9,"Promoter", N457&gt;=7,"Passive", N457&lt;=6,"Detractor")</f>
        <v>Promoter</v>
      </c>
    </row>
    <row r="458" spans="1:19" ht="14.25" customHeight="1">
      <c r="A458" s="3" t="s">
        <v>489</v>
      </c>
      <c r="B458" s="3" t="s">
        <v>24</v>
      </c>
      <c r="C458" s="3" t="s">
        <v>21</v>
      </c>
      <c r="D458" s="4">
        <v>45956</v>
      </c>
      <c r="E458" s="4">
        <v>45958</v>
      </c>
      <c r="F458" s="4">
        <v>45961</v>
      </c>
      <c r="G458" s="4">
        <v>45968</v>
      </c>
      <c r="H458" s="3" t="s">
        <v>28</v>
      </c>
      <c r="I458" s="3" t="s">
        <v>68</v>
      </c>
      <c r="K458" s="3">
        <v>2</v>
      </c>
      <c r="L458" s="3">
        <v>3</v>
      </c>
      <c r="M458" s="3">
        <v>7</v>
      </c>
      <c r="O458">
        <v>1</v>
      </c>
      <c r="P458">
        <f t="shared" si="21"/>
        <v>1</v>
      </c>
      <c r="Q458">
        <f t="shared" si="22"/>
        <v>1</v>
      </c>
      <c r="R458">
        <f t="shared" si="23"/>
        <v>0</v>
      </c>
      <c r="S458" s="10" t="str" cm="1">
        <f t="array" ref="S458">_xlfn.IFS(N458="", "", N458&gt;=9,"Promoter", N458&gt;=7,"Passive", N458&lt;=6,"Detractor")</f>
        <v/>
      </c>
    </row>
    <row r="459" spans="1:19" ht="14.25" customHeight="1">
      <c r="A459" s="3" t="s">
        <v>490</v>
      </c>
      <c r="B459" s="3" t="s">
        <v>37</v>
      </c>
      <c r="C459" s="3" t="s">
        <v>21</v>
      </c>
      <c r="D459" s="4">
        <v>45947</v>
      </c>
      <c r="E459" s="4">
        <v>45951</v>
      </c>
      <c r="F459" s="4">
        <v>45955</v>
      </c>
      <c r="G459" s="4">
        <v>45959</v>
      </c>
      <c r="H459" s="3" t="s">
        <v>22</v>
      </c>
      <c r="J459" s="4">
        <v>45985</v>
      </c>
      <c r="K459" s="3">
        <v>4</v>
      </c>
      <c r="L459" s="3">
        <v>4</v>
      </c>
      <c r="M459" s="3">
        <v>4</v>
      </c>
      <c r="N459" s="3">
        <v>5</v>
      </c>
      <c r="O459">
        <v>1</v>
      </c>
      <c r="P459">
        <f t="shared" si="21"/>
        <v>1</v>
      </c>
      <c r="Q459">
        <f t="shared" si="22"/>
        <v>1</v>
      </c>
      <c r="R459">
        <f t="shared" si="23"/>
        <v>1</v>
      </c>
      <c r="S459" s="10" t="str" cm="1">
        <f t="array" ref="S459">_xlfn.IFS(N459="", "", N459&gt;=9,"Promoter", N459&gt;=7,"Passive", N459&lt;=6,"Detractor")</f>
        <v>Detractor</v>
      </c>
    </row>
    <row r="460" spans="1:19" ht="14.25" customHeight="1">
      <c r="A460" s="3" t="s">
        <v>491</v>
      </c>
      <c r="B460" s="3" t="s">
        <v>20</v>
      </c>
      <c r="C460" s="3" t="s">
        <v>35</v>
      </c>
      <c r="D460" s="4">
        <v>45939</v>
      </c>
      <c r="E460" s="4">
        <v>45942</v>
      </c>
      <c r="F460" s="4">
        <v>45944</v>
      </c>
      <c r="G460" s="4">
        <v>45947</v>
      </c>
      <c r="H460" s="3" t="s">
        <v>22</v>
      </c>
      <c r="J460" s="4">
        <v>45969</v>
      </c>
      <c r="K460" s="3">
        <v>3</v>
      </c>
      <c r="L460" s="3">
        <v>2</v>
      </c>
      <c r="M460" s="3">
        <v>3</v>
      </c>
      <c r="N460" s="3">
        <v>5</v>
      </c>
      <c r="O460">
        <v>1</v>
      </c>
      <c r="P460">
        <f t="shared" si="21"/>
        <v>1</v>
      </c>
      <c r="Q460">
        <f t="shared" si="22"/>
        <v>1</v>
      </c>
      <c r="R460">
        <f t="shared" si="23"/>
        <v>1</v>
      </c>
      <c r="S460" s="10" t="str" cm="1">
        <f t="array" ref="S460">_xlfn.IFS(N460="", "", N460&gt;=9,"Promoter", N460&gt;=7,"Passive", N460&lt;=6,"Detractor")</f>
        <v>Detractor</v>
      </c>
    </row>
    <row r="461" spans="1:19" ht="14.25" customHeight="1">
      <c r="A461" s="3" t="s">
        <v>492</v>
      </c>
      <c r="B461" s="3" t="s">
        <v>20</v>
      </c>
      <c r="C461" s="3" t="s">
        <v>21</v>
      </c>
      <c r="D461" s="4">
        <v>45957</v>
      </c>
      <c r="E461" s="4">
        <v>45958</v>
      </c>
      <c r="F461" s="4">
        <v>45963</v>
      </c>
      <c r="G461" s="4">
        <v>45969</v>
      </c>
      <c r="H461" s="3" t="s">
        <v>22</v>
      </c>
      <c r="J461" s="4">
        <v>45983</v>
      </c>
      <c r="K461" s="3">
        <v>1</v>
      </c>
      <c r="L461" s="3">
        <v>5</v>
      </c>
      <c r="M461" s="3">
        <v>6</v>
      </c>
      <c r="N461" s="3">
        <v>1</v>
      </c>
      <c r="O461">
        <v>1</v>
      </c>
      <c r="P461">
        <f t="shared" si="21"/>
        <v>1</v>
      </c>
      <c r="Q461">
        <f t="shared" si="22"/>
        <v>1</v>
      </c>
      <c r="R461">
        <f t="shared" si="23"/>
        <v>1</v>
      </c>
      <c r="S461" s="10" t="str" cm="1">
        <f t="array" ref="S461">_xlfn.IFS(N461="", "", N461&gt;=9,"Promoter", N461&gt;=7,"Passive", N461&lt;=6,"Detractor")</f>
        <v>Detractor</v>
      </c>
    </row>
    <row r="462" spans="1:19" ht="14.25" customHeight="1">
      <c r="A462" s="3" t="s">
        <v>493</v>
      </c>
      <c r="B462" s="3" t="s">
        <v>24</v>
      </c>
      <c r="C462" s="3" t="s">
        <v>21</v>
      </c>
      <c r="D462" s="4">
        <v>45931</v>
      </c>
      <c r="E462" s="4">
        <v>45935</v>
      </c>
      <c r="F462" s="4">
        <v>45939</v>
      </c>
      <c r="G462" s="4">
        <v>45945</v>
      </c>
      <c r="H462" s="3" t="s">
        <v>28</v>
      </c>
      <c r="I462" s="3" t="s">
        <v>68</v>
      </c>
      <c r="K462" s="3">
        <v>4</v>
      </c>
      <c r="L462" s="3">
        <v>4</v>
      </c>
      <c r="M462" s="3">
        <v>6</v>
      </c>
      <c r="O462">
        <v>1</v>
      </c>
      <c r="P462">
        <f t="shared" si="21"/>
        <v>1</v>
      </c>
      <c r="Q462">
        <f t="shared" si="22"/>
        <v>1</v>
      </c>
      <c r="R462">
        <f t="shared" si="23"/>
        <v>0</v>
      </c>
      <c r="S462" s="10" t="str" cm="1">
        <f t="array" ref="S462">_xlfn.IFS(N462="", "", N462&gt;=9,"Promoter", N462&gt;=7,"Passive", N462&lt;=6,"Detractor")</f>
        <v/>
      </c>
    </row>
    <row r="463" spans="1:19" ht="14.25" customHeight="1">
      <c r="A463" s="3" t="s">
        <v>494</v>
      </c>
      <c r="B463" s="3" t="s">
        <v>20</v>
      </c>
      <c r="C463" s="3" t="s">
        <v>27</v>
      </c>
      <c r="D463" s="4">
        <v>45940</v>
      </c>
      <c r="H463" s="3" t="s">
        <v>28</v>
      </c>
      <c r="I463" s="3" t="s">
        <v>38</v>
      </c>
      <c r="O463">
        <v>1</v>
      </c>
      <c r="P463">
        <f t="shared" si="21"/>
        <v>0</v>
      </c>
      <c r="Q463">
        <f t="shared" si="22"/>
        <v>0</v>
      </c>
      <c r="R463">
        <f t="shared" si="23"/>
        <v>0</v>
      </c>
      <c r="S463" s="10" t="str" cm="1">
        <f t="array" ref="S463">_xlfn.IFS(N463="", "", N463&gt;=9,"Promoter", N463&gt;=7,"Passive", N463&lt;=6,"Detractor")</f>
        <v/>
      </c>
    </row>
    <row r="464" spans="1:19" ht="14.25" customHeight="1">
      <c r="A464" s="3" t="s">
        <v>495</v>
      </c>
      <c r="B464" s="3" t="s">
        <v>24</v>
      </c>
      <c r="C464" s="3" t="s">
        <v>27</v>
      </c>
      <c r="D464" s="4">
        <v>45954</v>
      </c>
      <c r="H464" s="3" t="s">
        <v>28</v>
      </c>
      <c r="I464" s="3" t="s">
        <v>38</v>
      </c>
      <c r="O464">
        <v>1</v>
      </c>
      <c r="P464">
        <f t="shared" si="21"/>
        <v>0</v>
      </c>
      <c r="Q464">
        <f t="shared" si="22"/>
        <v>0</v>
      </c>
      <c r="R464">
        <f t="shared" si="23"/>
        <v>0</v>
      </c>
      <c r="S464" s="10" t="str" cm="1">
        <f t="array" ref="S464">_xlfn.IFS(N464="", "", N464&gt;=9,"Promoter", N464&gt;=7,"Passive", N464&lt;=6,"Detractor")</f>
        <v/>
      </c>
    </row>
    <row r="465" spans="1:19" ht="14.25" customHeight="1">
      <c r="A465" s="3" t="s">
        <v>496</v>
      </c>
      <c r="B465" s="3" t="s">
        <v>37</v>
      </c>
      <c r="C465" s="3" t="s">
        <v>21</v>
      </c>
      <c r="D465" s="4">
        <v>45940</v>
      </c>
      <c r="E465" s="4">
        <v>45941</v>
      </c>
      <c r="F465" s="4">
        <v>45943</v>
      </c>
      <c r="G465" s="4">
        <v>45949</v>
      </c>
      <c r="H465" s="3" t="s">
        <v>22</v>
      </c>
      <c r="J465" s="4">
        <v>45975</v>
      </c>
      <c r="K465" s="3">
        <v>1</v>
      </c>
      <c r="L465" s="3">
        <v>2</v>
      </c>
      <c r="M465" s="3">
        <v>6</v>
      </c>
      <c r="N465" s="3">
        <v>1</v>
      </c>
      <c r="O465">
        <v>1</v>
      </c>
      <c r="P465">
        <f t="shared" si="21"/>
        <v>1</v>
      </c>
      <c r="Q465">
        <f t="shared" si="22"/>
        <v>1</v>
      </c>
      <c r="R465">
        <f t="shared" si="23"/>
        <v>1</v>
      </c>
      <c r="S465" s="10" t="str" cm="1">
        <f t="array" ref="S465">_xlfn.IFS(N465="", "", N465&gt;=9,"Promoter", N465&gt;=7,"Passive", N465&lt;=6,"Detractor")</f>
        <v>Detractor</v>
      </c>
    </row>
    <row r="466" spans="1:19" ht="14.25" customHeight="1">
      <c r="A466" s="3" t="s">
        <v>497</v>
      </c>
      <c r="B466" s="3" t="s">
        <v>37</v>
      </c>
      <c r="C466" s="3" t="s">
        <v>35</v>
      </c>
      <c r="D466" s="4">
        <v>45957</v>
      </c>
      <c r="E466" s="4">
        <v>45961</v>
      </c>
      <c r="F466" s="4">
        <v>45963</v>
      </c>
      <c r="G466" s="4">
        <v>45966</v>
      </c>
      <c r="H466" s="3" t="s">
        <v>22</v>
      </c>
      <c r="J466" s="4">
        <v>45994</v>
      </c>
      <c r="K466" s="3">
        <v>4</v>
      </c>
      <c r="L466" s="3">
        <v>2</v>
      </c>
      <c r="M466" s="3">
        <v>3</v>
      </c>
      <c r="N466" s="3">
        <v>4</v>
      </c>
      <c r="O466">
        <v>1</v>
      </c>
      <c r="P466">
        <f t="shared" si="21"/>
        <v>1</v>
      </c>
      <c r="Q466">
        <f t="shared" si="22"/>
        <v>1</v>
      </c>
      <c r="R466">
        <f t="shared" si="23"/>
        <v>1</v>
      </c>
      <c r="S466" s="10" t="str" cm="1">
        <f t="array" ref="S466">_xlfn.IFS(N466="", "", N466&gt;=9,"Promoter", N466&gt;=7,"Passive", N466&lt;=6,"Detractor")</f>
        <v>Detractor</v>
      </c>
    </row>
    <row r="467" spans="1:19" ht="14.25" customHeight="1">
      <c r="A467" s="3" t="s">
        <v>498</v>
      </c>
      <c r="B467" s="3" t="s">
        <v>26</v>
      </c>
      <c r="C467" s="3" t="s">
        <v>35</v>
      </c>
      <c r="D467" s="4">
        <v>45949</v>
      </c>
      <c r="E467" s="4">
        <v>45954</v>
      </c>
      <c r="F467" s="4">
        <v>45957</v>
      </c>
      <c r="G467" s="4">
        <v>45964</v>
      </c>
      <c r="H467" s="3" t="s">
        <v>22</v>
      </c>
      <c r="J467" s="4">
        <v>45974</v>
      </c>
      <c r="K467" s="3">
        <v>5</v>
      </c>
      <c r="L467" s="3">
        <v>3</v>
      </c>
      <c r="M467" s="3">
        <v>7</v>
      </c>
      <c r="N467" s="3">
        <v>4</v>
      </c>
      <c r="O467">
        <v>1</v>
      </c>
      <c r="P467">
        <f t="shared" si="21"/>
        <v>1</v>
      </c>
      <c r="Q467">
        <f t="shared" si="22"/>
        <v>1</v>
      </c>
      <c r="R467">
        <f t="shared" si="23"/>
        <v>1</v>
      </c>
      <c r="S467" s="10" t="str" cm="1">
        <f t="array" ref="S467">_xlfn.IFS(N467="", "", N467&gt;=9,"Promoter", N467&gt;=7,"Passive", N467&lt;=6,"Detractor")</f>
        <v>Detractor</v>
      </c>
    </row>
    <row r="468" spans="1:19" ht="14.25" customHeight="1">
      <c r="A468" s="3" t="s">
        <v>499</v>
      </c>
      <c r="B468" s="3" t="s">
        <v>37</v>
      </c>
      <c r="C468" s="3" t="s">
        <v>35</v>
      </c>
      <c r="D468" s="4">
        <v>45949</v>
      </c>
      <c r="E468" s="4">
        <v>45952</v>
      </c>
      <c r="F468" s="4">
        <v>45954</v>
      </c>
      <c r="G468" s="4">
        <v>45959</v>
      </c>
      <c r="H468" s="3" t="s">
        <v>22</v>
      </c>
      <c r="J468" s="4">
        <v>45974</v>
      </c>
      <c r="K468" s="3">
        <v>3</v>
      </c>
      <c r="L468" s="3">
        <v>2</v>
      </c>
      <c r="M468" s="3">
        <v>5</v>
      </c>
      <c r="N468" s="3">
        <v>1</v>
      </c>
      <c r="O468">
        <v>1</v>
      </c>
      <c r="P468">
        <f t="shared" si="21"/>
        <v>1</v>
      </c>
      <c r="Q468">
        <f t="shared" si="22"/>
        <v>1</v>
      </c>
      <c r="R468">
        <f t="shared" si="23"/>
        <v>1</v>
      </c>
      <c r="S468" s="10" t="str" cm="1">
        <f t="array" ref="S468">_xlfn.IFS(N468="", "", N468&gt;=9,"Promoter", N468&gt;=7,"Passive", N468&lt;=6,"Detractor")</f>
        <v>Detractor</v>
      </c>
    </row>
    <row r="469" spans="1:19" ht="14.25" customHeight="1">
      <c r="A469" s="3" t="s">
        <v>500</v>
      </c>
      <c r="B469" s="3" t="s">
        <v>24</v>
      </c>
      <c r="C469" s="3" t="s">
        <v>21</v>
      </c>
      <c r="D469" s="4">
        <v>45952</v>
      </c>
      <c r="E469" s="4">
        <v>45954</v>
      </c>
      <c r="F469" s="4">
        <v>45958</v>
      </c>
      <c r="G469" s="4">
        <v>45962</v>
      </c>
      <c r="H469" s="3" t="s">
        <v>22</v>
      </c>
      <c r="J469" s="4">
        <v>45978</v>
      </c>
      <c r="K469" s="3">
        <v>2</v>
      </c>
      <c r="L469" s="3">
        <v>4</v>
      </c>
      <c r="M469" s="3">
        <v>4</v>
      </c>
      <c r="N469" s="3">
        <v>1</v>
      </c>
      <c r="O469">
        <v>1</v>
      </c>
      <c r="P469">
        <f t="shared" si="21"/>
        <v>1</v>
      </c>
      <c r="Q469">
        <f t="shared" si="22"/>
        <v>1</v>
      </c>
      <c r="R469">
        <f t="shared" si="23"/>
        <v>1</v>
      </c>
      <c r="S469" s="10" t="str" cm="1">
        <f t="array" ref="S469">_xlfn.IFS(N469="", "", N469&gt;=9,"Promoter", N469&gt;=7,"Passive", N469&lt;=6,"Detractor")</f>
        <v>Detractor</v>
      </c>
    </row>
    <row r="470" spans="1:19" ht="14.25" customHeight="1">
      <c r="A470" s="3" t="s">
        <v>501</v>
      </c>
      <c r="B470" s="3" t="s">
        <v>37</v>
      </c>
      <c r="C470" s="3" t="s">
        <v>21</v>
      </c>
      <c r="D470" s="4">
        <v>45946</v>
      </c>
      <c r="E470" s="4">
        <v>45950</v>
      </c>
      <c r="F470" s="4">
        <v>45951</v>
      </c>
      <c r="G470" s="4">
        <v>45958</v>
      </c>
      <c r="H470" s="3" t="s">
        <v>22</v>
      </c>
      <c r="J470" s="4">
        <v>45974</v>
      </c>
      <c r="K470" s="3">
        <v>4</v>
      </c>
      <c r="L470" s="3">
        <v>1</v>
      </c>
      <c r="M470" s="3">
        <v>7</v>
      </c>
      <c r="N470" s="3">
        <v>0</v>
      </c>
      <c r="O470">
        <v>1</v>
      </c>
      <c r="P470">
        <f t="shared" si="21"/>
        <v>1</v>
      </c>
      <c r="Q470">
        <f t="shared" si="22"/>
        <v>1</v>
      </c>
      <c r="R470">
        <f t="shared" si="23"/>
        <v>1</v>
      </c>
      <c r="S470" s="10" t="str" cm="1">
        <f t="array" ref="S470">_xlfn.IFS(N470="", "", N470&gt;=9,"Promoter", N470&gt;=7,"Passive", N470&lt;=6,"Detractor")</f>
        <v>Detractor</v>
      </c>
    </row>
    <row r="471" spans="1:19" ht="14.25" customHeight="1">
      <c r="A471" s="3" t="s">
        <v>502</v>
      </c>
      <c r="B471" s="3" t="s">
        <v>26</v>
      </c>
      <c r="C471" s="3" t="s">
        <v>27</v>
      </c>
      <c r="D471" s="4">
        <v>45958</v>
      </c>
      <c r="H471" s="3" t="s">
        <v>28</v>
      </c>
      <c r="I471" s="3" t="s">
        <v>38</v>
      </c>
      <c r="O471">
        <v>1</v>
      </c>
      <c r="P471">
        <f t="shared" si="21"/>
        <v>0</v>
      </c>
      <c r="Q471">
        <f t="shared" si="22"/>
        <v>0</v>
      </c>
      <c r="R471">
        <f t="shared" si="23"/>
        <v>0</v>
      </c>
      <c r="S471" s="10" t="str" cm="1">
        <f t="array" ref="S471">_xlfn.IFS(N471="", "", N471&gt;=9,"Promoter", N471&gt;=7,"Passive", N471&lt;=6,"Detractor")</f>
        <v/>
      </c>
    </row>
    <row r="472" spans="1:19" ht="14.25" customHeight="1">
      <c r="A472" s="3" t="s">
        <v>503</v>
      </c>
      <c r="B472" s="3" t="s">
        <v>20</v>
      </c>
      <c r="C472" s="3" t="s">
        <v>21</v>
      </c>
      <c r="D472" s="4">
        <v>45935</v>
      </c>
      <c r="E472" s="4">
        <v>45936</v>
      </c>
      <c r="F472" s="4">
        <v>45941</v>
      </c>
      <c r="G472" s="4">
        <v>45943</v>
      </c>
      <c r="H472" s="3" t="s">
        <v>22</v>
      </c>
      <c r="J472" s="4">
        <v>45954</v>
      </c>
      <c r="K472" s="3">
        <v>1</v>
      </c>
      <c r="L472" s="3">
        <v>5</v>
      </c>
      <c r="M472" s="3">
        <v>2</v>
      </c>
      <c r="N472" s="3">
        <v>7</v>
      </c>
      <c r="O472">
        <v>1</v>
      </c>
      <c r="P472">
        <f t="shared" si="21"/>
        <v>1</v>
      </c>
      <c r="Q472">
        <f t="shared" si="22"/>
        <v>1</v>
      </c>
      <c r="R472">
        <f t="shared" si="23"/>
        <v>1</v>
      </c>
      <c r="S472" s="10" t="str" cm="1">
        <f t="array" ref="S472">_xlfn.IFS(N472="", "", N472&gt;=9,"Promoter", N472&gt;=7,"Passive", N472&lt;=6,"Detractor")</f>
        <v>Passive</v>
      </c>
    </row>
    <row r="473" spans="1:19" ht="14.25" customHeight="1">
      <c r="A473" s="3" t="s">
        <v>504</v>
      </c>
      <c r="B473" s="3" t="s">
        <v>24</v>
      </c>
      <c r="C473" s="3" t="s">
        <v>27</v>
      </c>
      <c r="D473" s="4">
        <v>45945</v>
      </c>
      <c r="H473" s="3" t="s">
        <v>28</v>
      </c>
      <c r="I473" s="3" t="s">
        <v>68</v>
      </c>
      <c r="O473">
        <v>1</v>
      </c>
      <c r="P473">
        <f t="shared" si="21"/>
        <v>0</v>
      </c>
      <c r="Q473">
        <f t="shared" si="22"/>
        <v>0</v>
      </c>
      <c r="R473">
        <f t="shared" si="23"/>
        <v>0</v>
      </c>
      <c r="S473" s="10" t="str" cm="1">
        <f t="array" ref="S473">_xlfn.IFS(N473="", "", N473&gt;=9,"Promoter", N473&gt;=7,"Passive", N473&lt;=6,"Detractor")</f>
        <v/>
      </c>
    </row>
    <row r="474" spans="1:19" ht="14.25" customHeight="1">
      <c r="A474" s="3" t="s">
        <v>505</v>
      </c>
      <c r="B474" s="3" t="s">
        <v>20</v>
      </c>
      <c r="C474" s="3" t="s">
        <v>27</v>
      </c>
      <c r="D474" s="4">
        <v>45948</v>
      </c>
      <c r="H474" s="3" t="s">
        <v>28</v>
      </c>
      <c r="I474" s="3" t="s">
        <v>38</v>
      </c>
      <c r="O474">
        <v>1</v>
      </c>
      <c r="P474">
        <f t="shared" si="21"/>
        <v>0</v>
      </c>
      <c r="Q474">
        <f t="shared" si="22"/>
        <v>0</v>
      </c>
      <c r="R474">
        <f t="shared" si="23"/>
        <v>0</v>
      </c>
      <c r="S474" s="10" t="str" cm="1">
        <f t="array" ref="S474">_xlfn.IFS(N474="", "", N474&gt;=9,"Promoter", N474&gt;=7,"Passive", N474&lt;=6,"Detractor")</f>
        <v/>
      </c>
    </row>
    <row r="475" spans="1:19" ht="14.25" customHeight="1">
      <c r="A475" s="3" t="s">
        <v>506</v>
      </c>
      <c r="B475" s="3" t="s">
        <v>26</v>
      </c>
      <c r="C475" s="3" t="s">
        <v>21</v>
      </c>
      <c r="D475" s="4">
        <v>45946</v>
      </c>
      <c r="E475" s="4">
        <v>45949</v>
      </c>
      <c r="F475" s="4">
        <v>45953</v>
      </c>
      <c r="G475" s="4">
        <v>45956</v>
      </c>
      <c r="H475" s="3" t="s">
        <v>22</v>
      </c>
      <c r="J475" s="4">
        <v>45973</v>
      </c>
      <c r="K475" s="3">
        <v>3</v>
      </c>
      <c r="L475" s="3">
        <v>4</v>
      </c>
      <c r="M475" s="3">
        <v>3</v>
      </c>
      <c r="N475" s="3">
        <v>8</v>
      </c>
      <c r="O475">
        <v>1</v>
      </c>
      <c r="P475">
        <f t="shared" si="21"/>
        <v>1</v>
      </c>
      <c r="Q475">
        <f t="shared" si="22"/>
        <v>1</v>
      </c>
      <c r="R475">
        <f t="shared" si="23"/>
        <v>1</v>
      </c>
      <c r="S475" s="10" t="str" cm="1">
        <f t="array" ref="S475">_xlfn.IFS(N475="", "", N475&gt;=9,"Promoter", N475&gt;=7,"Passive", N475&lt;=6,"Detractor")</f>
        <v>Passive</v>
      </c>
    </row>
    <row r="476" spans="1:19" ht="14.25" customHeight="1">
      <c r="A476" s="3" t="s">
        <v>507</v>
      </c>
      <c r="B476" s="3" t="s">
        <v>26</v>
      </c>
      <c r="C476" s="3" t="s">
        <v>27</v>
      </c>
      <c r="D476" s="4">
        <v>45942</v>
      </c>
      <c r="H476" s="3" t="s">
        <v>28</v>
      </c>
      <c r="I476" s="3" t="s">
        <v>106</v>
      </c>
      <c r="O476">
        <v>1</v>
      </c>
      <c r="P476">
        <f t="shared" si="21"/>
        <v>0</v>
      </c>
      <c r="Q476">
        <f t="shared" si="22"/>
        <v>0</v>
      </c>
      <c r="R476">
        <f t="shared" si="23"/>
        <v>0</v>
      </c>
      <c r="S476" s="10" t="str" cm="1">
        <f t="array" ref="S476">_xlfn.IFS(N476="", "", N476&gt;=9,"Promoter", N476&gt;=7,"Passive", N476&lt;=6,"Detractor")</f>
        <v/>
      </c>
    </row>
    <row r="477" spans="1:19" ht="14.25" customHeight="1">
      <c r="A477" s="3" t="s">
        <v>508</v>
      </c>
      <c r="B477" s="3" t="s">
        <v>26</v>
      </c>
      <c r="C477" s="3" t="s">
        <v>21</v>
      </c>
      <c r="D477" s="4">
        <v>45941</v>
      </c>
      <c r="E477" s="4">
        <v>45943</v>
      </c>
      <c r="F477" s="4">
        <v>45947</v>
      </c>
      <c r="G477" s="4">
        <v>45952</v>
      </c>
      <c r="H477" s="3" t="s">
        <v>28</v>
      </c>
      <c r="I477" s="3" t="s">
        <v>29</v>
      </c>
      <c r="K477" s="3">
        <v>2</v>
      </c>
      <c r="L477" s="3">
        <v>4</v>
      </c>
      <c r="M477" s="3">
        <v>5</v>
      </c>
      <c r="O477">
        <v>1</v>
      </c>
      <c r="P477">
        <f t="shared" si="21"/>
        <v>1</v>
      </c>
      <c r="Q477">
        <f t="shared" si="22"/>
        <v>1</v>
      </c>
      <c r="R477">
        <f t="shared" si="23"/>
        <v>0</v>
      </c>
      <c r="S477" s="10" t="str" cm="1">
        <f t="array" ref="S477">_xlfn.IFS(N477="", "", N477&gt;=9,"Promoter", N477&gt;=7,"Passive", N477&lt;=6,"Detractor")</f>
        <v/>
      </c>
    </row>
    <row r="478" spans="1:19" ht="14.25" customHeight="1">
      <c r="A478" s="3" t="s">
        <v>509</v>
      </c>
      <c r="B478" s="3" t="s">
        <v>20</v>
      </c>
      <c r="C478" s="3" t="s">
        <v>35</v>
      </c>
      <c r="D478" s="4">
        <v>45948</v>
      </c>
      <c r="E478" s="4">
        <v>45949</v>
      </c>
      <c r="F478" s="4">
        <v>45954</v>
      </c>
      <c r="G478" s="4">
        <v>45959</v>
      </c>
      <c r="H478" s="3" t="s">
        <v>22</v>
      </c>
      <c r="J478" s="4">
        <v>45970</v>
      </c>
      <c r="K478" s="3">
        <v>1</v>
      </c>
      <c r="L478" s="3">
        <v>5</v>
      </c>
      <c r="M478" s="3">
        <v>5</v>
      </c>
      <c r="N478" s="3">
        <v>2</v>
      </c>
      <c r="O478">
        <v>1</v>
      </c>
      <c r="P478">
        <f t="shared" si="21"/>
        <v>1</v>
      </c>
      <c r="Q478">
        <f t="shared" si="22"/>
        <v>1</v>
      </c>
      <c r="R478">
        <f t="shared" si="23"/>
        <v>1</v>
      </c>
      <c r="S478" s="10" t="str" cm="1">
        <f t="array" ref="S478">_xlfn.IFS(N478="", "", N478&gt;=9,"Promoter", N478&gt;=7,"Passive", N478&lt;=6,"Detractor")</f>
        <v>Detractor</v>
      </c>
    </row>
    <row r="479" spans="1:19" ht="14.25" customHeight="1">
      <c r="A479" s="3" t="s">
        <v>510</v>
      </c>
      <c r="B479" s="3" t="s">
        <v>20</v>
      </c>
      <c r="C479" s="3" t="s">
        <v>21</v>
      </c>
      <c r="D479" s="4">
        <v>45955</v>
      </c>
      <c r="E479" s="4">
        <v>45958</v>
      </c>
      <c r="F479" s="4">
        <v>45963</v>
      </c>
      <c r="G479" s="4">
        <v>45965</v>
      </c>
      <c r="H479" s="3" t="s">
        <v>28</v>
      </c>
      <c r="I479" s="3" t="s">
        <v>29</v>
      </c>
      <c r="K479" s="3">
        <v>3</v>
      </c>
      <c r="L479" s="3">
        <v>5</v>
      </c>
      <c r="M479" s="3">
        <v>2</v>
      </c>
      <c r="O479">
        <v>1</v>
      </c>
      <c r="P479">
        <f t="shared" si="21"/>
        <v>1</v>
      </c>
      <c r="Q479">
        <f t="shared" si="22"/>
        <v>1</v>
      </c>
      <c r="R479">
        <f t="shared" si="23"/>
        <v>0</v>
      </c>
      <c r="S479" s="10" t="str" cm="1">
        <f t="array" ref="S479">_xlfn.IFS(N479="", "", N479&gt;=9,"Promoter", N479&gt;=7,"Passive", N479&lt;=6,"Detractor")</f>
        <v/>
      </c>
    </row>
    <row r="480" spans="1:19" ht="14.25" customHeight="1">
      <c r="A480" s="3" t="s">
        <v>511</v>
      </c>
      <c r="B480" s="3" t="s">
        <v>20</v>
      </c>
      <c r="C480" s="3" t="s">
        <v>21</v>
      </c>
      <c r="D480" s="4">
        <v>45948</v>
      </c>
      <c r="E480" s="4">
        <v>45949</v>
      </c>
      <c r="F480" s="4">
        <v>45951</v>
      </c>
      <c r="G480" s="4">
        <v>45954</v>
      </c>
      <c r="H480" s="3" t="s">
        <v>22</v>
      </c>
      <c r="J480" s="4">
        <v>45978</v>
      </c>
      <c r="K480" s="3">
        <v>1</v>
      </c>
      <c r="L480" s="3">
        <v>2</v>
      </c>
      <c r="M480" s="3">
        <v>3</v>
      </c>
      <c r="N480" s="3">
        <v>7</v>
      </c>
      <c r="O480">
        <v>1</v>
      </c>
      <c r="P480">
        <f t="shared" si="21"/>
        <v>1</v>
      </c>
      <c r="Q480">
        <f t="shared" si="22"/>
        <v>1</v>
      </c>
      <c r="R480">
        <f t="shared" si="23"/>
        <v>1</v>
      </c>
      <c r="S480" s="10" t="str" cm="1">
        <f t="array" ref="S480">_xlfn.IFS(N480="", "", N480&gt;=9,"Promoter", N480&gt;=7,"Passive", N480&lt;=6,"Detractor")</f>
        <v>Passive</v>
      </c>
    </row>
    <row r="481" spans="1:19" ht="14.25" customHeight="1">
      <c r="A481" s="3" t="s">
        <v>512</v>
      </c>
      <c r="B481" s="3" t="s">
        <v>20</v>
      </c>
      <c r="C481" s="3" t="s">
        <v>21</v>
      </c>
      <c r="D481" s="4">
        <v>45943</v>
      </c>
      <c r="E481" s="4">
        <v>45946</v>
      </c>
      <c r="F481" s="4">
        <v>45950</v>
      </c>
      <c r="G481" s="4">
        <v>45955</v>
      </c>
      <c r="H481" s="3" t="s">
        <v>28</v>
      </c>
      <c r="I481" s="3" t="s">
        <v>31</v>
      </c>
      <c r="K481" s="3">
        <v>3</v>
      </c>
      <c r="L481" s="3">
        <v>4</v>
      </c>
      <c r="M481" s="3">
        <v>5</v>
      </c>
      <c r="O481">
        <v>1</v>
      </c>
      <c r="P481">
        <f t="shared" si="21"/>
        <v>1</v>
      </c>
      <c r="Q481">
        <f t="shared" si="22"/>
        <v>1</v>
      </c>
      <c r="R481">
        <f t="shared" si="23"/>
        <v>0</v>
      </c>
      <c r="S481" s="10" t="str" cm="1">
        <f t="array" ref="S481">_xlfn.IFS(N481="", "", N481&gt;=9,"Promoter", N481&gt;=7,"Passive", N481&lt;=6,"Detractor")</f>
        <v/>
      </c>
    </row>
    <row r="482" spans="1:19" ht="14.25" customHeight="1">
      <c r="A482" s="3" t="s">
        <v>513</v>
      </c>
      <c r="B482" s="3" t="s">
        <v>26</v>
      </c>
      <c r="C482" s="3" t="s">
        <v>21</v>
      </c>
      <c r="D482" s="4">
        <v>45945</v>
      </c>
      <c r="E482" s="4">
        <v>45947</v>
      </c>
      <c r="F482" s="4">
        <v>45949</v>
      </c>
      <c r="G482" s="4">
        <v>45956</v>
      </c>
      <c r="H482" s="3" t="s">
        <v>22</v>
      </c>
      <c r="J482" s="4">
        <v>45967</v>
      </c>
      <c r="K482" s="3">
        <v>2</v>
      </c>
      <c r="L482" s="3">
        <v>2</v>
      </c>
      <c r="M482" s="3">
        <v>7</v>
      </c>
      <c r="N482" s="3">
        <v>2</v>
      </c>
      <c r="O482">
        <v>1</v>
      </c>
      <c r="P482">
        <f t="shared" si="21"/>
        <v>1</v>
      </c>
      <c r="Q482">
        <f t="shared" si="22"/>
        <v>1</v>
      </c>
      <c r="R482">
        <f t="shared" si="23"/>
        <v>1</v>
      </c>
      <c r="S482" s="10" t="str" cm="1">
        <f t="array" ref="S482">_xlfn.IFS(N482="", "", N482&gt;=9,"Promoter", N482&gt;=7,"Passive", N482&lt;=6,"Detractor")</f>
        <v>Detractor</v>
      </c>
    </row>
    <row r="483" spans="1:19" ht="14.25" customHeight="1">
      <c r="A483" s="3" t="s">
        <v>514</v>
      </c>
      <c r="B483" s="3" t="s">
        <v>26</v>
      </c>
      <c r="C483" s="3" t="s">
        <v>21</v>
      </c>
      <c r="D483" s="4">
        <v>45960</v>
      </c>
      <c r="E483" s="4">
        <v>45962</v>
      </c>
      <c r="F483" s="4">
        <v>45965</v>
      </c>
      <c r="G483" s="4">
        <v>45971</v>
      </c>
      <c r="H483" s="3" t="s">
        <v>22</v>
      </c>
      <c r="J483" s="4">
        <v>45992</v>
      </c>
      <c r="K483" s="3">
        <v>2</v>
      </c>
      <c r="L483" s="3">
        <v>3</v>
      </c>
      <c r="M483" s="3">
        <v>6</v>
      </c>
      <c r="N483" s="3">
        <v>8</v>
      </c>
      <c r="O483">
        <v>1</v>
      </c>
      <c r="P483">
        <f t="shared" si="21"/>
        <v>1</v>
      </c>
      <c r="Q483">
        <f t="shared" si="22"/>
        <v>1</v>
      </c>
      <c r="R483">
        <f t="shared" si="23"/>
        <v>1</v>
      </c>
      <c r="S483" s="10" t="str" cm="1">
        <f t="array" ref="S483">_xlfn.IFS(N483="", "", N483&gt;=9,"Promoter", N483&gt;=7,"Passive", N483&lt;=6,"Detractor")</f>
        <v>Passive</v>
      </c>
    </row>
    <row r="484" spans="1:19" ht="14.25" customHeight="1">
      <c r="A484" s="3" t="s">
        <v>515</v>
      </c>
      <c r="B484" s="3" t="s">
        <v>24</v>
      </c>
      <c r="C484" s="3" t="s">
        <v>21</v>
      </c>
      <c r="D484" s="4">
        <v>45941</v>
      </c>
      <c r="E484" s="4">
        <v>45942</v>
      </c>
      <c r="F484" s="4">
        <v>45944</v>
      </c>
      <c r="G484" s="4">
        <v>45946</v>
      </c>
      <c r="H484" s="3" t="s">
        <v>22</v>
      </c>
      <c r="J484" s="4">
        <v>45962</v>
      </c>
      <c r="K484" s="3">
        <v>1</v>
      </c>
      <c r="L484" s="3">
        <v>2</v>
      </c>
      <c r="M484" s="3">
        <v>2</v>
      </c>
      <c r="N484" s="3">
        <v>5</v>
      </c>
      <c r="O484">
        <v>1</v>
      </c>
      <c r="P484">
        <f t="shared" si="21"/>
        <v>1</v>
      </c>
      <c r="Q484">
        <f t="shared" si="22"/>
        <v>1</v>
      </c>
      <c r="R484">
        <f t="shared" si="23"/>
        <v>1</v>
      </c>
      <c r="S484" s="10" t="str" cm="1">
        <f t="array" ref="S484">_xlfn.IFS(N484="", "", N484&gt;=9,"Promoter", N484&gt;=7,"Passive", N484&lt;=6,"Detractor")</f>
        <v>Detractor</v>
      </c>
    </row>
    <row r="485" spans="1:19" ht="14.25" customHeight="1">
      <c r="A485" s="3" t="s">
        <v>516</v>
      </c>
      <c r="B485" s="3" t="s">
        <v>24</v>
      </c>
      <c r="C485" s="3" t="s">
        <v>21</v>
      </c>
      <c r="D485" s="4">
        <v>45958</v>
      </c>
      <c r="E485" s="4">
        <v>45961</v>
      </c>
      <c r="F485" s="4">
        <v>45964</v>
      </c>
      <c r="G485" s="4">
        <v>45970</v>
      </c>
      <c r="H485" s="3" t="s">
        <v>22</v>
      </c>
      <c r="J485" s="4">
        <v>45988</v>
      </c>
      <c r="K485" s="3">
        <v>3</v>
      </c>
      <c r="L485" s="3">
        <v>3</v>
      </c>
      <c r="M485" s="3">
        <v>6</v>
      </c>
      <c r="N485" s="3">
        <v>5</v>
      </c>
      <c r="O485">
        <v>1</v>
      </c>
      <c r="P485">
        <f t="shared" si="21"/>
        <v>1</v>
      </c>
      <c r="Q485">
        <f t="shared" si="22"/>
        <v>1</v>
      </c>
      <c r="R485">
        <f t="shared" si="23"/>
        <v>1</v>
      </c>
      <c r="S485" s="10" t="str" cm="1">
        <f t="array" ref="S485">_xlfn.IFS(N485="", "", N485&gt;=9,"Promoter", N485&gt;=7,"Passive", N485&lt;=6,"Detractor")</f>
        <v>Detractor</v>
      </c>
    </row>
    <row r="486" spans="1:19" ht="14.25" customHeight="1">
      <c r="A486" s="3" t="s">
        <v>517</v>
      </c>
      <c r="B486" s="3" t="s">
        <v>20</v>
      </c>
      <c r="C486" s="3" t="s">
        <v>21</v>
      </c>
      <c r="D486" s="4">
        <v>45937</v>
      </c>
      <c r="E486" s="4">
        <v>45941</v>
      </c>
      <c r="F486" s="4">
        <v>45942</v>
      </c>
      <c r="G486" s="4">
        <v>45944</v>
      </c>
      <c r="H486" s="3" t="s">
        <v>22</v>
      </c>
      <c r="J486" s="4">
        <v>45965</v>
      </c>
      <c r="K486" s="3">
        <v>4</v>
      </c>
      <c r="L486" s="3">
        <v>1</v>
      </c>
      <c r="M486" s="3">
        <v>2</v>
      </c>
      <c r="N486" s="3">
        <v>6</v>
      </c>
      <c r="O486">
        <v>1</v>
      </c>
      <c r="P486">
        <f t="shared" si="21"/>
        <v>1</v>
      </c>
      <c r="Q486">
        <f t="shared" si="22"/>
        <v>1</v>
      </c>
      <c r="R486">
        <f t="shared" si="23"/>
        <v>1</v>
      </c>
      <c r="S486" s="10" t="str" cm="1">
        <f t="array" ref="S486">_xlfn.IFS(N486="", "", N486&gt;=9,"Promoter", N486&gt;=7,"Passive", N486&lt;=6,"Detractor")</f>
        <v>Detractor</v>
      </c>
    </row>
    <row r="487" spans="1:19" ht="14.25" customHeight="1">
      <c r="A487" s="3" t="s">
        <v>518</v>
      </c>
      <c r="B487" s="3" t="s">
        <v>37</v>
      </c>
      <c r="C487" s="3" t="s">
        <v>21</v>
      </c>
      <c r="D487" s="4">
        <v>45953</v>
      </c>
      <c r="E487" s="4">
        <v>45955</v>
      </c>
      <c r="F487" s="4">
        <v>45959</v>
      </c>
      <c r="G487" s="4">
        <v>45963</v>
      </c>
      <c r="H487" s="3" t="s">
        <v>28</v>
      </c>
      <c r="I487" s="3" t="s">
        <v>31</v>
      </c>
      <c r="K487" s="3">
        <v>2</v>
      </c>
      <c r="L487" s="3">
        <v>4</v>
      </c>
      <c r="M487" s="3">
        <v>4</v>
      </c>
      <c r="O487">
        <v>1</v>
      </c>
      <c r="P487">
        <f t="shared" si="21"/>
        <v>1</v>
      </c>
      <c r="Q487">
        <f t="shared" si="22"/>
        <v>1</v>
      </c>
      <c r="R487">
        <f t="shared" si="23"/>
        <v>0</v>
      </c>
      <c r="S487" s="10" t="str" cm="1">
        <f t="array" ref="S487">_xlfn.IFS(N487="", "", N487&gt;=9,"Promoter", N487&gt;=7,"Passive", N487&lt;=6,"Detractor")</f>
        <v/>
      </c>
    </row>
    <row r="488" spans="1:19" ht="14.25" customHeight="1">
      <c r="A488" s="3" t="s">
        <v>519</v>
      </c>
      <c r="B488" s="3" t="s">
        <v>37</v>
      </c>
      <c r="C488" s="3" t="s">
        <v>21</v>
      </c>
      <c r="D488" s="4">
        <v>45938</v>
      </c>
      <c r="E488" s="4">
        <v>45942</v>
      </c>
      <c r="F488" s="4">
        <v>45945</v>
      </c>
      <c r="G488" s="4">
        <v>45949</v>
      </c>
      <c r="H488" s="3" t="s">
        <v>22</v>
      </c>
      <c r="J488" s="4">
        <v>45973</v>
      </c>
      <c r="K488" s="3">
        <v>4</v>
      </c>
      <c r="L488" s="3">
        <v>3</v>
      </c>
      <c r="M488" s="3">
        <v>4</v>
      </c>
      <c r="N488" s="3">
        <v>9</v>
      </c>
      <c r="O488">
        <v>1</v>
      </c>
      <c r="P488">
        <f t="shared" si="21"/>
        <v>1</v>
      </c>
      <c r="Q488">
        <f t="shared" si="22"/>
        <v>1</v>
      </c>
      <c r="R488">
        <f t="shared" si="23"/>
        <v>1</v>
      </c>
      <c r="S488" s="10" t="str" cm="1">
        <f t="array" ref="S488">_xlfn.IFS(N488="", "", N488&gt;=9,"Promoter", N488&gt;=7,"Passive", N488&lt;=6,"Detractor")</f>
        <v>Promoter</v>
      </c>
    </row>
    <row r="489" spans="1:19" ht="14.25" customHeight="1">
      <c r="A489" s="3" t="s">
        <v>520</v>
      </c>
      <c r="B489" s="3" t="s">
        <v>26</v>
      </c>
      <c r="C489" s="3" t="s">
        <v>35</v>
      </c>
      <c r="D489" s="4">
        <v>45949</v>
      </c>
      <c r="E489" s="4">
        <v>45953</v>
      </c>
      <c r="F489" s="4">
        <v>45954</v>
      </c>
      <c r="G489" s="4">
        <v>45957</v>
      </c>
      <c r="H489" s="3" t="s">
        <v>22</v>
      </c>
      <c r="J489" s="4">
        <v>45983</v>
      </c>
      <c r="K489" s="3">
        <v>4</v>
      </c>
      <c r="L489" s="3">
        <v>1</v>
      </c>
      <c r="M489" s="3">
        <v>3</v>
      </c>
      <c r="N489" s="3">
        <v>4</v>
      </c>
      <c r="O489">
        <v>1</v>
      </c>
      <c r="P489">
        <f t="shared" si="21"/>
        <v>1</v>
      </c>
      <c r="Q489">
        <f t="shared" si="22"/>
        <v>1</v>
      </c>
      <c r="R489">
        <f t="shared" si="23"/>
        <v>1</v>
      </c>
      <c r="S489" s="10" t="str" cm="1">
        <f t="array" ref="S489">_xlfn.IFS(N489="", "", N489&gt;=9,"Promoter", N489&gt;=7,"Passive", N489&lt;=6,"Detractor")</f>
        <v>Detractor</v>
      </c>
    </row>
    <row r="490" spans="1:19" ht="14.25" customHeight="1">
      <c r="A490" s="3" t="s">
        <v>521</v>
      </c>
      <c r="B490" s="3" t="s">
        <v>26</v>
      </c>
      <c r="C490" s="3" t="s">
        <v>21</v>
      </c>
      <c r="D490" s="4">
        <v>45943</v>
      </c>
      <c r="E490" s="4">
        <v>45948</v>
      </c>
      <c r="F490" s="4">
        <v>45953</v>
      </c>
      <c r="G490" s="4">
        <v>45958</v>
      </c>
      <c r="H490" s="3" t="s">
        <v>22</v>
      </c>
      <c r="J490" s="4">
        <v>45980</v>
      </c>
      <c r="K490" s="3">
        <v>5</v>
      </c>
      <c r="L490" s="3">
        <v>5</v>
      </c>
      <c r="M490" s="3">
        <v>5</v>
      </c>
      <c r="N490" s="3">
        <v>5</v>
      </c>
      <c r="O490">
        <v>1</v>
      </c>
      <c r="P490">
        <f t="shared" si="21"/>
        <v>1</v>
      </c>
      <c r="Q490">
        <f t="shared" si="22"/>
        <v>1</v>
      </c>
      <c r="R490">
        <f t="shared" si="23"/>
        <v>1</v>
      </c>
      <c r="S490" s="10" t="str" cm="1">
        <f t="array" ref="S490">_xlfn.IFS(N490="", "", N490&gt;=9,"Promoter", N490&gt;=7,"Passive", N490&lt;=6,"Detractor")</f>
        <v>Detractor</v>
      </c>
    </row>
    <row r="491" spans="1:19" ht="14.25" customHeight="1">
      <c r="A491" s="3" t="s">
        <v>522</v>
      </c>
      <c r="B491" s="3" t="s">
        <v>26</v>
      </c>
      <c r="C491" s="3" t="s">
        <v>35</v>
      </c>
      <c r="D491" s="4">
        <v>45938</v>
      </c>
      <c r="E491" s="4">
        <v>45939</v>
      </c>
      <c r="F491" s="4">
        <v>45941</v>
      </c>
      <c r="G491" s="4">
        <v>45947</v>
      </c>
      <c r="H491" s="3" t="s">
        <v>22</v>
      </c>
      <c r="J491" s="4">
        <v>45977</v>
      </c>
      <c r="K491" s="3">
        <v>1</v>
      </c>
      <c r="L491" s="3">
        <v>2</v>
      </c>
      <c r="M491" s="3">
        <v>6</v>
      </c>
      <c r="N491" s="3">
        <v>2</v>
      </c>
      <c r="O491">
        <v>1</v>
      </c>
      <c r="P491">
        <f t="shared" si="21"/>
        <v>1</v>
      </c>
      <c r="Q491">
        <f t="shared" si="22"/>
        <v>1</v>
      </c>
      <c r="R491">
        <f t="shared" si="23"/>
        <v>1</v>
      </c>
      <c r="S491" s="10" t="str" cm="1">
        <f t="array" ref="S491">_xlfn.IFS(N491="", "", N491&gt;=9,"Promoter", N491&gt;=7,"Passive", N491&lt;=6,"Detractor")</f>
        <v>Detractor</v>
      </c>
    </row>
    <row r="492" spans="1:19" ht="14.25" customHeight="1">
      <c r="A492" s="3" t="s">
        <v>523</v>
      </c>
      <c r="B492" s="3" t="s">
        <v>24</v>
      </c>
      <c r="C492" s="3" t="s">
        <v>21</v>
      </c>
      <c r="D492" s="4">
        <v>45958</v>
      </c>
      <c r="E492" s="4">
        <v>45959</v>
      </c>
      <c r="F492" s="4">
        <v>45960</v>
      </c>
      <c r="G492" s="4">
        <v>45965</v>
      </c>
      <c r="H492" s="3" t="s">
        <v>22</v>
      </c>
      <c r="J492" s="4">
        <v>45978</v>
      </c>
      <c r="K492" s="3">
        <v>1</v>
      </c>
      <c r="L492" s="3">
        <v>1</v>
      </c>
      <c r="M492" s="3">
        <v>5</v>
      </c>
      <c r="N492" s="3">
        <v>9</v>
      </c>
      <c r="O492">
        <v>1</v>
      </c>
      <c r="P492">
        <f t="shared" si="21"/>
        <v>1</v>
      </c>
      <c r="Q492">
        <f t="shared" si="22"/>
        <v>1</v>
      </c>
      <c r="R492">
        <f t="shared" si="23"/>
        <v>1</v>
      </c>
      <c r="S492" s="10" t="str" cm="1">
        <f t="array" ref="S492">_xlfn.IFS(N492="", "", N492&gt;=9,"Promoter", N492&gt;=7,"Passive", N492&lt;=6,"Detractor")</f>
        <v>Promoter</v>
      </c>
    </row>
    <row r="493" spans="1:19" ht="14.25" customHeight="1">
      <c r="A493" s="3" t="s">
        <v>524</v>
      </c>
      <c r="B493" s="3" t="s">
        <v>24</v>
      </c>
      <c r="C493" s="3" t="s">
        <v>21</v>
      </c>
      <c r="D493" s="4">
        <v>45955</v>
      </c>
      <c r="E493" s="4">
        <v>45956</v>
      </c>
      <c r="F493" s="4">
        <v>45959</v>
      </c>
      <c r="G493" s="4">
        <v>45963</v>
      </c>
      <c r="H493" s="3" t="s">
        <v>28</v>
      </c>
      <c r="I493" s="3" t="s">
        <v>29</v>
      </c>
      <c r="K493" s="3">
        <v>1</v>
      </c>
      <c r="L493" s="3">
        <v>3</v>
      </c>
      <c r="M493" s="3">
        <v>4</v>
      </c>
      <c r="O493">
        <v>1</v>
      </c>
      <c r="P493">
        <f t="shared" si="21"/>
        <v>1</v>
      </c>
      <c r="Q493">
        <f t="shared" si="22"/>
        <v>1</v>
      </c>
      <c r="R493">
        <f t="shared" si="23"/>
        <v>0</v>
      </c>
      <c r="S493" s="10" t="str" cm="1">
        <f t="array" ref="S493">_xlfn.IFS(N493="", "", N493&gt;=9,"Promoter", N493&gt;=7,"Passive", N493&lt;=6,"Detractor")</f>
        <v/>
      </c>
    </row>
    <row r="494" spans="1:19" ht="14.25" customHeight="1">
      <c r="A494" s="3" t="s">
        <v>525</v>
      </c>
      <c r="B494" s="3" t="s">
        <v>26</v>
      </c>
      <c r="C494" s="3" t="s">
        <v>21</v>
      </c>
      <c r="D494" s="4">
        <v>45944</v>
      </c>
      <c r="E494" s="4">
        <v>45947</v>
      </c>
      <c r="F494" s="4">
        <v>45951</v>
      </c>
      <c r="G494" s="4">
        <v>45957</v>
      </c>
      <c r="H494" s="3" t="s">
        <v>22</v>
      </c>
      <c r="J494" s="4">
        <v>45967</v>
      </c>
      <c r="K494" s="3">
        <v>3</v>
      </c>
      <c r="L494" s="3">
        <v>4</v>
      </c>
      <c r="M494" s="3">
        <v>6</v>
      </c>
      <c r="N494" s="3">
        <v>3</v>
      </c>
      <c r="O494">
        <v>1</v>
      </c>
      <c r="P494">
        <f t="shared" si="21"/>
        <v>1</v>
      </c>
      <c r="Q494">
        <f t="shared" si="22"/>
        <v>1</v>
      </c>
      <c r="R494">
        <f t="shared" si="23"/>
        <v>1</v>
      </c>
      <c r="S494" s="10" t="str" cm="1">
        <f t="array" ref="S494">_xlfn.IFS(N494="", "", N494&gt;=9,"Promoter", N494&gt;=7,"Passive", N494&lt;=6,"Detractor")</f>
        <v>Detractor</v>
      </c>
    </row>
    <row r="495" spans="1:19" ht="14.25" customHeight="1">
      <c r="A495" s="3" t="s">
        <v>526</v>
      </c>
      <c r="B495" s="3" t="s">
        <v>26</v>
      </c>
      <c r="C495" s="3" t="s">
        <v>21</v>
      </c>
      <c r="D495" s="4">
        <v>45932</v>
      </c>
      <c r="E495" s="4">
        <v>45934</v>
      </c>
      <c r="F495" s="4">
        <v>45939</v>
      </c>
      <c r="G495" s="4">
        <v>45946</v>
      </c>
      <c r="H495" s="3" t="s">
        <v>22</v>
      </c>
      <c r="J495" s="4">
        <v>45963</v>
      </c>
      <c r="K495" s="3">
        <v>2</v>
      </c>
      <c r="L495" s="3">
        <v>5</v>
      </c>
      <c r="M495" s="3">
        <v>7</v>
      </c>
      <c r="N495" s="3">
        <v>1</v>
      </c>
      <c r="O495">
        <v>1</v>
      </c>
      <c r="P495">
        <f t="shared" si="21"/>
        <v>1</v>
      </c>
      <c r="Q495">
        <f t="shared" si="22"/>
        <v>1</v>
      </c>
      <c r="R495">
        <f t="shared" si="23"/>
        <v>1</v>
      </c>
      <c r="S495" s="10" t="str" cm="1">
        <f t="array" ref="S495">_xlfn.IFS(N495="", "", N495&gt;=9,"Promoter", N495&gt;=7,"Passive", N495&lt;=6,"Detractor")</f>
        <v>Detractor</v>
      </c>
    </row>
    <row r="496" spans="1:19" ht="14.25" customHeight="1">
      <c r="A496" s="3" t="s">
        <v>527</v>
      </c>
      <c r="B496" s="3" t="s">
        <v>26</v>
      </c>
      <c r="C496" s="3" t="s">
        <v>27</v>
      </c>
      <c r="D496" s="4">
        <v>45941</v>
      </c>
      <c r="H496" s="3" t="s">
        <v>28</v>
      </c>
      <c r="I496" s="3" t="s">
        <v>106</v>
      </c>
      <c r="O496">
        <v>1</v>
      </c>
      <c r="P496">
        <f t="shared" si="21"/>
        <v>0</v>
      </c>
      <c r="Q496">
        <f t="shared" si="22"/>
        <v>0</v>
      </c>
      <c r="R496">
        <f t="shared" si="23"/>
        <v>0</v>
      </c>
      <c r="S496" s="10" t="str" cm="1">
        <f t="array" ref="S496">_xlfn.IFS(N496="", "", N496&gt;=9,"Promoter", N496&gt;=7,"Passive", N496&lt;=6,"Detractor")</f>
        <v/>
      </c>
    </row>
    <row r="497" spans="1:19" ht="14.25" customHeight="1">
      <c r="A497" s="3" t="s">
        <v>528</v>
      </c>
      <c r="B497" s="3" t="s">
        <v>37</v>
      </c>
      <c r="C497" s="3" t="s">
        <v>27</v>
      </c>
      <c r="D497" s="4">
        <v>45954</v>
      </c>
      <c r="H497" s="3" t="s">
        <v>28</v>
      </c>
      <c r="I497" s="3" t="s">
        <v>68</v>
      </c>
      <c r="O497">
        <v>1</v>
      </c>
      <c r="P497">
        <f t="shared" si="21"/>
        <v>0</v>
      </c>
      <c r="Q497">
        <f t="shared" si="22"/>
        <v>0</v>
      </c>
      <c r="R497">
        <f t="shared" si="23"/>
        <v>0</v>
      </c>
      <c r="S497" s="10" t="str" cm="1">
        <f t="array" ref="S497">_xlfn.IFS(N497="", "", N497&gt;=9,"Promoter", N497&gt;=7,"Passive", N497&lt;=6,"Detractor")</f>
        <v/>
      </c>
    </row>
    <row r="498" spans="1:19" ht="14.25" customHeight="1">
      <c r="A498" s="3" t="s">
        <v>529</v>
      </c>
      <c r="B498" s="3" t="s">
        <v>24</v>
      </c>
      <c r="C498" s="3" t="s">
        <v>27</v>
      </c>
      <c r="D498" s="4">
        <v>45946</v>
      </c>
      <c r="H498" s="3" t="s">
        <v>28</v>
      </c>
      <c r="I498" s="3" t="s">
        <v>68</v>
      </c>
      <c r="O498">
        <v>1</v>
      </c>
      <c r="P498">
        <f t="shared" si="21"/>
        <v>0</v>
      </c>
      <c r="Q498">
        <f t="shared" si="22"/>
        <v>0</v>
      </c>
      <c r="R498">
        <f t="shared" si="23"/>
        <v>0</v>
      </c>
      <c r="S498" s="10" t="str" cm="1">
        <f t="array" ref="S498">_xlfn.IFS(N498="", "", N498&gt;=9,"Promoter", N498&gt;=7,"Passive", N498&lt;=6,"Detractor")</f>
        <v/>
      </c>
    </row>
    <row r="499" spans="1:19" ht="14.25" customHeight="1">
      <c r="A499" s="3" t="s">
        <v>530</v>
      </c>
      <c r="B499" s="3" t="s">
        <v>37</v>
      </c>
      <c r="C499" s="3" t="s">
        <v>27</v>
      </c>
      <c r="D499" s="4">
        <v>45953</v>
      </c>
      <c r="H499" s="3" t="s">
        <v>28</v>
      </c>
      <c r="I499" s="3" t="s">
        <v>106</v>
      </c>
      <c r="O499">
        <v>1</v>
      </c>
      <c r="P499">
        <f t="shared" si="21"/>
        <v>0</v>
      </c>
      <c r="Q499">
        <f t="shared" si="22"/>
        <v>0</v>
      </c>
      <c r="R499">
        <f t="shared" si="23"/>
        <v>0</v>
      </c>
      <c r="S499" s="10" t="str" cm="1">
        <f t="array" ref="S499">_xlfn.IFS(N499="", "", N499&gt;=9,"Promoter", N499&gt;=7,"Passive", N499&lt;=6,"Detractor")</f>
        <v/>
      </c>
    </row>
    <row r="500" spans="1:19" ht="14.25" customHeight="1">
      <c r="A500" s="3" t="s">
        <v>531</v>
      </c>
      <c r="B500" s="3" t="s">
        <v>37</v>
      </c>
      <c r="C500" s="3" t="s">
        <v>35</v>
      </c>
      <c r="D500" s="4">
        <v>45960</v>
      </c>
      <c r="E500" s="4">
        <v>45962</v>
      </c>
      <c r="F500" s="4">
        <v>45967</v>
      </c>
      <c r="G500" s="4">
        <v>45970</v>
      </c>
      <c r="H500" s="3" t="s">
        <v>22</v>
      </c>
      <c r="J500" s="4">
        <v>45991</v>
      </c>
      <c r="K500" s="3">
        <v>2</v>
      </c>
      <c r="L500" s="3">
        <v>5</v>
      </c>
      <c r="M500" s="3">
        <v>3</v>
      </c>
      <c r="N500" s="3">
        <v>8</v>
      </c>
      <c r="O500">
        <v>1</v>
      </c>
      <c r="P500">
        <f t="shared" si="21"/>
        <v>1</v>
      </c>
      <c r="Q500">
        <f t="shared" si="22"/>
        <v>1</v>
      </c>
      <c r="R500">
        <f t="shared" si="23"/>
        <v>1</v>
      </c>
      <c r="S500" s="10" t="str" cm="1">
        <f t="array" ref="S500">_xlfn.IFS(N500="", "", N500&gt;=9,"Promoter", N500&gt;=7,"Passive", N500&lt;=6,"Detractor")</f>
        <v>Passive</v>
      </c>
    </row>
    <row r="501" spans="1:19" ht="14.25" customHeight="1">
      <c r="A501" s="3" t="s">
        <v>532</v>
      </c>
      <c r="B501" s="3" t="s">
        <v>26</v>
      </c>
      <c r="C501" s="3" t="s">
        <v>35</v>
      </c>
      <c r="D501" s="4">
        <v>45956</v>
      </c>
      <c r="E501" s="4">
        <v>45961</v>
      </c>
      <c r="F501" s="4">
        <v>45962</v>
      </c>
      <c r="G501" s="4">
        <v>45967</v>
      </c>
      <c r="H501" s="3" t="s">
        <v>22</v>
      </c>
      <c r="J501" s="4">
        <v>45992</v>
      </c>
      <c r="K501" s="3">
        <v>5</v>
      </c>
      <c r="L501" s="3">
        <v>1</v>
      </c>
      <c r="M501" s="3">
        <v>5</v>
      </c>
      <c r="N501" s="3">
        <v>7</v>
      </c>
      <c r="O501">
        <v>1</v>
      </c>
      <c r="P501">
        <f t="shared" si="21"/>
        <v>1</v>
      </c>
      <c r="Q501">
        <f t="shared" si="22"/>
        <v>1</v>
      </c>
      <c r="R501">
        <f t="shared" si="23"/>
        <v>1</v>
      </c>
      <c r="S501" s="10" t="str" cm="1">
        <f t="array" ref="S501">_xlfn.IFS(N501="", "", N501&gt;=9,"Promoter", N501&gt;=7,"Passive", N501&lt;=6,"Detractor")</f>
        <v>Passive</v>
      </c>
    </row>
    <row r="502" spans="1:19" ht="14.25" customHeight="1">
      <c r="A502" s="3" t="s">
        <v>533</v>
      </c>
      <c r="B502" s="3" t="s">
        <v>26</v>
      </c>
      <c r="C502" s="3" t="s">
        <v>21</v>
      </c>
      <c r="D502" s="4">
        <v>45943</v>
      </c>
      <c r="E502" s="4">
        <v>45948</v>
      </c>
      <c r="F502" s="4">
        <v>45949</v>
      </c>
      <c r="G502" s="4">
        <v>45951</v>
      </c>
      <c r="H502" s="3" t="s">
        <v>22</v>
      </c>
      <c r="J502" s="4">
        <v>45980</v>
      </c>
      <c r="K502" s="3">
        <v>5</v>
      </c>
      <c r="L502" s="3">
        <v>1</v>
      </c>
      <c r="M502" s="3">
        <v>2</v>
      </c>
      <c r="N502" s="3">
        <v>9</v>
      </c>
      <c r="O502">
        <v>1</v>
      </c>
      <c r="P502">
        <f t="shared" si="21"/>
        <v>1</v>
      </c>
      <c r="Q502">
        <f t="shared" si="22"/>
        <v>1</v>
      </c>
      <c r="R502">
        <f t="shared" si="23"/>
        <v>1</v>
      </c>
      <c r="S502" s="10" t="str" cm="1">
        <f t="array" ref="S502">_xlfn.IFS(N502="", "", N502&gt;=9,"Promoter", N502&gt;=7,"Passive", N502&lt;=6,"Detractor")</f>
        <v>Promoter</v>
      </c>
    </row>
    <row r="503" spans="1:19" ht="14.25" customHeight="1">
      <c r="A503" s="3" t="s">
        <v>534</v>
      </c>
      <c r="B503" s="3" t="s">
        <v>20</v>
      </c>
      <c r="C503" s="3" t="s">
        <v>35</v>
      </c>
      <c r="D503" s="4">
        <v>45943</v>
      </c>
      <c r="E503" s="4">
        <v>45948</v>
      </c>
      <c r="F503" s="4">
        <v>45950</v>
      </c>
      <c r="G503" s="4">
        <v>45952</v>
      </c>
      <c r="H503" s="3" t="s">
        <v>22</v>
      </c>
      <c r="J503" s="4">
        <v>45976</v>
      </c>
      <c r="K503" s="3">
        <v>5</v>
      </c>
      <c r="L503" s="3">
        <v>2</v>
      </c>
      <c r="M503" s="3">
        <v>2</v>
      </c>
      <c r="N503" s="3">
        <v>4</v>
      </c>
      <c r="O503">
        <v>1</v>
      </c>
      <c r="P503">
        <f t="shared" si="21"/>
        <v>1</v>
      </c>
      <c r="Q503">
        <f t="shared" si="22"/>
        <v>1</v>
      </c>
      <c r="R503">
        <f t="shared" si="23"/>
        <v>1</v>
      </c>
      <c r="S503" s="10" t="str" cm="1">
        <f t="array" ref="S503">_xlfn.IFS(N503="", "", N503&gt;=9,"Promoter", N503&gt;=7,"Passive", N503&lt;=6,"Detractor")</f>
        <v>Detractor</v>
      </c>
    </row>
    <row r="504" spans="1:19" ht="14.25" customHeight="1">
      <c r="A504" s="3" t="s">
        <v>535</v>
      </c>
      <c r="B504" s="3" t="s">
        <v>20</v>
      </c>
      <c r="C504" s="3" t="s">
        <v>21</v>
      </c>
      <c r="D504" s="4">
        <v>45952</v>
      </c>
      <c r="E504" s="4">
        <v>45956</v>
      </c>
      <c r="F504" s="4">
        <v>45961</v>
      </c>
      <c r="G504" s="4">
        <v>45967</v>
      </c>
      <c r="H504" s="3" t="s">
        <v>22</v>
      </c>
      <c r="J504" s="4">
        <v>45982</v>
      </c>
      <c r="K504" s="3">
        <v>4</v>
      </c>
      <c r="L504" s="3">
        <v>5</v>
      </c>
      <c r="M504" s="3">
        <v>6</v>
      </c>
      <c r="N504" s="3">
        <v>5</v>
      </c>
      <c r="O504">
        <v>1</v>
      </c>
      <c r="P504">
        <f t="shared" si="21"/>
        <v>1</v>
      </c>
      <c r="Q504">
        <f t="shared" si="22"/>
        <v>1</v>
      </c>
      <c r="R504">
        <f t="shared" si="23"/>
        <v>1</v>
      </c>
      <c r="S504" s="10" t="str" cm="1">
        <f t="array" ref="S504">_xlfn.IFS(N504="", "", N504&gt;=9,"Promoter", N504&gt;=7,"Passive", N504&lt;=6,"Detractor")</f>
        <v>Detractor</v>
      </c>
    </row>
    <row r="505" spans="1:19" ht="14.25" customHeight="1">
      <c r="A505" s="3" t="s">
        <v>536</v>
      </c>
      <c r="B505" s="3" t="s">
        <v>37</v>
      </c>
      <c r="C505" s="3" t="s">
        <v>21</v>
      </c>
      <c r="D505" s="4">
        <v>45956</v>
      </c>
      <c r="E505" s="4">
        <v>45957</v>
      </c>
      <c r="F505" s="4">
        <v>45962</v>
      </c>
      <c r="G505" s="4">
        <v>45964</v>
      </c>
      <c r="H505" s="3" t="s">
        <v>22</v>
      </c>
      <c r="J505" s="4">
        <v>45989</v>
      </c>
      <c r="K505" s="3">
        <v>1</v>
      </c>
      <c r="L505" s="3">
        <v>5</v>
      </c>
      <c r="M505" s="3">
        <v>2</v>
      </c>
      <c r="N505" s="3">
        <v>10</v>
      </c>
      <c r="O505">
        <v>1</v>
      </c>
      <c r="P505">
        <f t="shared" si="21"/>
        <v>1</v>
      </c>
      <c r="Q505">
        <f t="shared" si="22"/>
        <v>1</v>
      </c>
      <c r="R505">
        <f t="shared" si="23"/>
        <v>1</v>
      </c>
      <c r="S505" s="10" t="str" cm="1">
        <f t="array" ref="S505">_xlfn.IFS(N505="", "", N505&gt;=9,"Promoter", N505&gt;=7,"Passive", N505&lt;=6,"Detractor")</f>
        <v>Promoter</v>
      </c>
    </row>
    <row r="506" spans="1:19" ht="14.25" customHeight="1">
      <c r="A506" s="3" t="s">
        <v>537</v>
      </c>
      <c r="B506" s="3" t="s">
        <v>24</v>
      </c>
      <c r="C506" s="3" t="s">
        <v>21</v>
      </c>
      <c r="D506" s="4">
        <v>45957</v>
      </c>
      <c r="E506" s="4">
        <v>45960</v>
      </c>
      <c r="F506" s="4">
        <v>45962</v>
      </c>
      <c r="G506" s="4">
        <v>45964</v>
      </c>
      <c r="H506" s="3" t="s">
        <v>22</v>
      </c>
      <c r="J506" s="4">
        <v>45992</v>
      </c>
      <c r="K506" s="3">
        <v>3</v>
      </c>
      <c r="L506" s="3">
        <v>2</v>
      </c>
      <c r="M506" s="3">
        <v>2</v>
      </c>
      <c r="N506" s="3">
        <v>1</v>
      </c>
      <c r="O506">
        <v>1</v>
      </c>
      <c r="P506">
        <f t="shared" si="21"/>
        <v>1</v>
      </c>
      <c r="Q506">
        <f t="shared" si="22"/>
        <v>1</v>
      </c>
      <c r="R506">
        <f t="shared" si="23"/>
        <v>1</v>
      </c>
      <c r="S506" s="10" t="str" cm="1">
        <f t="array" ref="S506">_xlfn.IFS(N506="", "", N506&gt;=9,"Promoter", N506&gt;=7,"Passive", N506&lt;=6,"Detractor")</f>
        <v>Detractor</v>
      </c>
    </row>
    <row r="507" spans="1:19" ht="14.25" customHeight="1">
      <c r="A507" s="3" t="s">
        <v>538</v>
      </c>
      <c r="B507" s="3" t="s">
        <v>26</v>
      </c>
      <c r="C507" s="3" t="s">
        <v>21</v>
      </c>
      <c r="D507" s="4">
        <v>45951</v>
      </c>
      <c r="E507" s="4">
        <v>45953</v>
      </c>
      <c r="F507" s="4">
        <v>45957</v>
      </c>
      <c r="G507" s="4">
        <v>45961</v>
      </c>
      <c r="H507" s="3" t="s">
        <v>22</v>
      </c>
      <c r="J507" s="4">
        <v>45988</v>
      </c>
      <c r="K507" s="3">
        <v>2</v>
      </c>
      <c r="L507" s="3">
        <v>4</v>
      </c>
      <c r="M507" s="3">
        <v>4</v>
      </c>
      <c r="N507" s="3">
        <v>10</v>
      </c>
      <c r="O507">
        <v>1</v>
      </c>
      <c r="P507">
        <f t="shared" si="21"/>
        <v>1</v>
      </c>
      <c r="Q507">
        <f t="shared" si="22"/>
        <v>1</v>
      </c>
      <c r="R507">
        <f t="shared" si="23"/>
        <v>1</v>
      </c>
      <c r="S507" s="10" t="str" cm="1">
        <f t="array" ref="S507">_xlfn.IFS(N507="", "", N507&gt;=9,"Promoter", N507&gt;=7,"Passive", N507&lt;=6,"Detractor")</f>
        <v>Promoter</v>
      </c>
    </row>
    <row r="508" spans="1:19" ht="14.25" customHeight="1">
      <c r="A508" s="3" t="s">
        <v>539</v>
      </c>
      <c r="B508" s="3" t="s">
        <v>26</v>
      </c>
      <c r="C508" s="3" t="s">
        <v>21</v>
      </c>
      <c r="D508" s="4">
        <v>45935</v>
      </c>
      <c r="E508" s="4">
        <v>45938</v>
      </c>
      <c r="F508" s="4">
        <v>45940</v>
      </c>
      <c r="G508" s="4">
        <v>45943</v>
      </c>
      <c r="H508" s="3" t="s">
        <v>22</v>
      </c>
      <c r="J508" s="4">
        <v>45964</v>
      </c>
      <c r="K508" s="3">
        <v>3</v>
      </c>
      <c r="L508" s="3">
        <v>2</v>
      </c>
      <c r="M508" s="3">
        <v>3</v>
      </c>
      <c r="N508" s="3">
        <v>5</v>
      </c>
      <c r="O508">
        <v>1</v>
      </c>
      <c r="P508">
        <f t="shared" si="21"/>
        <v>1</v>
      </c>
      <c r="Q508">
        <f t="shared" si="22"/>
        <v>1</v>
      </c>
      <c r="R508">
        <f t="shared" si="23"/>
        <v>1</v>
      </c>
      <c r="S508" s="10" t="str" cm="1">
        <f t="array" ref="S508">_xlfn.IFS(N508="", "", N508&gt;=9,"Promoter", N508&gt;=7,"Passive", N508&lt;=6,"Detractor")</f>
        <v>Detractor</v>
      </c>
    </row>
    <row r="509" spans="1:19" ht="14.25" customHeight="1">
      <c r="A509" s="3" t="s">
        <v>540</v>
      </c>
      <c r="B509" s="3" t="s">
        <v>37</v>
      </c>
      <c r="C509" s="3" t="s">
        <v>21</v>
      </c>
      <c r="D509" s="4">
        <v>45946</v>
      </c>
      <c r="E509" s="4">
        <v>45947</v>
      </c>
      <c r="F509" s="4">
        <v>45950</v>
      </c>
      <c r="G509" s="4">
        <v>45952</v>
      </c>
      <c r="H509" s="3" t="s">
        <v>22</v>
      </c>
      <c r="J509" s="4">
        <v>45973</v>
      </c>
      <c r="K509" s="3">
        <v>1</v>
      </c>
      <c r="L509" s="3">
        <v>3</v>
      </c>
      <c r="M509" s="3">
        <v>2</v>
      </c>
      <c r="N509" s="3">
        <v>5</v>
      </c>
      <c r="O509">
        <v>1</v>
      </c>
      <c r="P509">
        <f t="shared" si="21"/>
        <v>1</v>
      </c>
      <c r="Q509">
        <f t="shared" si="22"/>
        <v>1</v>
      </c>
      <c r="R509">
        <f t="shared" si="23"/>
        <v>1</v>
      </c>
      <c r="S509" s="10" t="str" cm="1">
        <f t="array" ref="S509">_xlfn.IFS(N509="", "", N509&gt;=9,"Promoter", N509&gt;=7,"Passive", N509&lt;=6,"Detractor")</f>
        <v>Detractor</v>
      </c>
    </row>
    <row r="510" spans="1:19" ht="14.25" customHeight="1">
      <c r="A510" s="3" t="s">
        <v>541</v>
      </c>
      <c r="B510" s="3" t="s">
        <v>20</v>
      </c>
      <c r="C510" s="3" t="s">
        <v>27</v>
      </c>
      <c r="D510" s="4">
        <v>45961</v>
      </c>
      <c r="H510" s="3" t="s">
        <v>28</v>
      </c>
      <c r="I510" s="3" t="s">
        <v>68</v>
      </c>
      <c r="O510">
        <v>1</v>
      </c>
      <c r="P510">
        <f t="shared" si="21"/>
        <v>0</v>
      </c>
      <c r="Q510">
        <f t="shared" si="22"/>
        <v>0</v>
      </c>
      <c r="R510">
        <f t="shared" si="23"/>
        <v>0</v>
      </c>
      <c r="S510" s="10" t="str" cm="1">
        <f t="array" ref="S510">_xlfn.IFS(N510="", "", N510&gt;=9,"Promoter", N510&gt;=7,"Passive", N510&lt;=6,"Detractor")</f>
        <v/>
      </c>
    </row>
    <row r="511" spans="1:19" ht="14.25" customHeight="1">
      <c r="A511" s="3" t="s">
        <v>542</v>
      </c>
      <c r="B511" s="3" t="s">
        <v>24</v>
      </c>
      <c r="C511" s="3" t="s">
        <v>21</v>
      </c>
      <c r="D511" s="4">
        <v>45932</v>
      </c>
      <c r="E511" s="4">
        <v>45933</v>
      </c>
      <c r="F511" s="4">
        <v>45936</v>
      </c>
      <c r="G511" s="4">
        <v>45938</v>
      </c>
      <c r="H511" s="3" t="s">
        <v>22</v>
      </c>
      <c r="J511" s="4">
        <v>45953</v>
      </c>
      <c r="K511" s="3">
        <v>1</v>
      </c>
      <c r="L511" s="3">
        <v>3</v>
      </c>
      <c r="M511" s="3">
        <v>2</v>
      </c>
      <c r="N511" s="3">
        <v>7</v>
      </c>
      <c r="O511">
        <v>1</v>
      </c>
      <c r="P511">
        <f t="shared" si="21"/>
        <v>1</v>
      </c>
      <c r="Q511">
        <f t="shared" si="22"/>
        <v>1</v>
      </c>
      <c r="R511">
        <f t="shared" si="23"/>
        <v>1</v>
      </c>
      <c r="S511" s="10" t="str" cm="1">
        <f t="array" ref="S511">_xlfn.IFS(N511="", "", N511&gt;=9,"Promoter", N511&gt;=7,"Passive", N511&lt;=6,"Detractor")</f>
        <v>Passive</v>
      </c>
    </row>
    <row r="512" spans="1:19" ht="14.25" customHeight="1">
      <c r="A512" s="3" t="s">
        <v>543</v>
      </c>
      <c r="B512" s="3" t="s">
        <v>20</v>
      </c>
      <c r="C512" s="3" t="s">
        <v>27</v>
      </c>
      <c r="D512" s="4">
        <v>45935</v>
      </c>
      <c r="H512" s="3" t="s">
        <v>28</v>
      </c>
      <c r="I512" s="3" t="s">
        <v>38</v>
      </c>
      <c r="O512">
        <v>1</v>
      </c>
      <c r="P512">
        <f t="shared" si="21"/>
        <v>0</v>
      </c>
      <c r="Q512">
        <f t="shared" si="22"/>
        <v>0</v>
      </c>
      <c r="R512">
        <f t="shared" si="23"/>
        <v>0</v>
      </c>
      <c r="S512" s="10" t="str" cm="1">
        <f t="array" ref="S512">_xlfn.IFS(N512="", "", N512&gt;=9,"Promoter", N512&gt;=7,"Passive", N512&lt;=6,"Detractor")</f>
        <v/>
      </c>
    </row>
    <row r="513" spans="1:19" ht="14.25" customHeight="1">
      <c r="A513" s="3" t="s">
        <v>544</v>
      </c>
      <c r="B513" s="3" t="s">
        <v>20</v>
      </c>
      <c r="C513" s="3" t="s">
        <v>35</v>
      </c>
      <c r="D513" s="4">
        <v>45947</v>
      </c>
      <c r="E513" s="4">
        <v>45949</v>
      </c>
      <c r="F513" s="4">
        <v>45950</v>
      </c>
      <c r="G513" s="4">
        <v>45955</v>
      </c>
      <c r="H513" s="3" t="s">
        <v>22</v>
      </c>
      <c r="J513" s="4">
        <v>45973</v>
      </c>
      <c r="K513" s="3">
        <v>2</v>
      </c>
      <c r="L513" s="3">
        <v>1</v>
      </c>
      <c r="M513" s="3">
        <v>5</v>
      </c>
      <c r="N513" s="3">
        <v>7</v>
      </c>
      <c r="O513">
        <v>1</v>
      </c>
      <c r="P513">
        <f t="shared" si="21"/>
        <v>1</v>
      </c>
      <c r="Q513">
        <f t="shared" si="22"/>
        <v>1</v>
      </c>
      <c r="R513">
        <f t="shared" si="23"/>
        <v>1</v>
      </c>
      <c r="S513" s="10" t="str" cm="1">
        <f t="array" ref="S513">_xlfn.IFS(N513="", "", N513&gt;=9,"Promoter", N513&gt;=7,"Passive", N513&lt;=6,"Detractor")</f>
        <v>Passive</v>
      </c>
    </row>
    <row r="514" spans="1:19" ht="14.25" customHeight="1">
      <c r="A514" s="3" t="s">
        <v>545</v>
      </c>
      <c r="B514" s="3" t="s">
        <v>20</v>
      </c>
      <c r="C514" s="3" t="s">
        <v>27</v>
      </c>
      <c r="D514" s="4">
        <v>45961</v>
      </c>
      <c r="H514" s="3" t="s">
        <v>28</v>
      </c>
      <c r="I514" s="3" t="s">
        <v>29</v>
      </c>
      <c r="O514">
        <v>1</v>
      </c>
      <c r="P514">
        <f t="shared" si="21"/>
        <v>0</v>
      </c>
      <c r="Q514">
        <f t="shared" si="22"/>
        <v>0</v>
      </c>
      <c r="R514">
        <f t="shared" si="23"/>
        <v>0</v>
      </c>
      <c r="S514" s="10" t="str" cm="1">
        <f t="array" ref="S514">_xlfn.IFS(N514="", "", N514&gt;=9,"Promoter", N514&gt;=7,"Passive", N514&lt;=6,"Detractor")</f>
        <v/>
      </c>
    </row>
    <row r="515" spans="1:19" ht="14.25" customHeight="1">
      <c r="A515" s="3" t="s">
        <v>546</v>
      </c>
      <c r="B515" s="3" t="s">
        <v>20</v>
      </c>
      <c r="C515" s="3" t="s">
        <v>21</v>
      </c>
      <c r="D515" s="4">
        <v>45949</v>
      </c>
      <c r="E515" s="4">
        <v>45953</v>
      </c>
      <c r="F515" s="4">
        <v>45955</v>
      </c>
      <c r="G515" s="4">
        <v>45961</v>
      </c>
      <c r="H515" s="3" t="s">
        <v>22</v>
      </c>
      <c r="J515" s="4">
        <v>45973</v>
      </c>
      <c r="K515" s="3">
        <v>4</v>
      </c>
      <c r="L515" s="3">
        <v>2</v>
      </c>
      <c r="M515" s="3">
        <v>6</v>
      </c>
      <c r="N515" s="3">
        <v>3</v>
      </c>
      <c r="O515">
        <v>1</v>
      </c>
      <c r="P515">
        <f t="shared" ref="P515:P578" si="24">IF(E515&lt;&gt;"", 1, 0)</f>
        <v>1</v>
      </c>
      <c r="Q515">
        <f t="shared" ref="Q515:Q578" si="25">IF(G515&lt;&gt;"",1,0)</f>
        <v>1</v>
      </c>
      <c r="R515">
        <f t="shared" ref="R515:R578" si="26">IF(AND(G515&lt;&gt;"", H515="No"), 1, 0)</f>
        <v>1</v>
      </c>
      <c r="S515" s="10" t="str" cm="1">
        <f t="array" ref="S515">_xlfn.IFS(N515="", "", N515&gt;=9,"Promoter", N515&gt;=7,"Passive", N515&lt;=6,"Detractor")</f>
        <v>Detractor</v>
      </c>
    </row>
    <row r="516" spans="1:19" ht="14.25" customHeight="1">
      <c r="A516" s="3" t="s">
        <v>547</v>
      </c>
      <c r="B516" s="3" t="s">
        <v>26</v>
      </c>
      <c r="C516" s="3" t="s">
        <v>21</v>
      </c>
      <c r="D516" s="4">
        <v>45941</v>
      </c>
      <c r="E516" s="4">
        <v>45946</v>
      </c>
      <c r="F516" s="4">
        <v>45948</v>
      </c>
      <c r="G516" s="4">
        <v>45952</v>
      </c>
      <c r="H516" s="3" t="s">
        <v>22</v>
      </c>
      <c r="J516" s="4">
        <v>45971</v>
      </c>
      <c r="K516" s="3">
        <v>5</v>
      </c>
      <c r="L516" s="3">
        <v>2</v>
      </c>
      <c r="M516" s="3">
        <v>4</v>
      </c>
      <c r="N516" s="3">
        <v>5</v>
      </c>
      <c r="O516">
        <v>1</v>
      </c>
      <c r="P516">
        <f t="shared" si="24"/>
        <v>1</v>
      </c>
      <c r="Q516">
        <f t="shared" si="25"/>
        <v>1</v>
      </c>
      <c r="R516">
        <f t="shared" si="26"/>
        <v>1</v>
      </c>
      <c r="S516" s="10" t="str" cm="1">
        <f t="array" ref="S516">_xlfn.IFS(N516="", "", N516&gt;=9,"Promoter", N516&gt;=7,"Passive", N516&lt;=6,"Detractor")</f>
        <v>Detractor</v>
      </c>
    </row>
    <row r="517" spans="1:19" ht="14.25" customHeight="1">
      <c r="A517" s="3" t="s">
        <v>548</v>
      </c>
      <c r="B517" s="3" t="s">
        <v>26</v>
      </c>
      <c r="C517" s="3" t="s">
        <v>35</v>
      </c>
      <c r="D517" s="4">
        <v>45958</v>
      </c>
      <c r="E517" s="4">
        <v>45962</v>
      </c>
      <c r="F517" s="4">
        <v>45963</v>
      </c>
      <c r="G517" s="4">
        <v>45970</v>
      </c>
      <c r="H517" s="3" t="s">
        <v>28</v>
      </c>
      <c r="I517" s="3" t="s">
        <v>29</v>
      </c>
      <c r="K517" s="3">
        <v>4</v>
      </c>
      <c r="L517" s="3">
        <v>1</v>
      </c>
      <c r="M517" s="3">
        <v>7</v>
      </c>
      <c r="O517">
        <v>1</v>
      </c>
      <c r="P517">
        <f t="shared" si="24"/>
        <v>1</v>
      </c>
      <c r="Q517">
        <f t="shared" si="25"/>
        <v>1</v>
      </c>
      <c r="R517">
        <f t="shared" si="26"/>
        <v>0</v>
      </c>
      <c r="S517" s="10" t="str" cm="1">
        <f t="array" ref="S517">_xlfn.IFS(N517="", "", N517&gt;=9,"Promoter", N517&gt;=7,"Passive", N517&lt;=6,"Detractor")</f>
        <v/>
      </c>
    </row>
    <row r="518" spans="1:19" ht="14.25" customHeight="1">
      <c r="A518" s="3" t="s">
        <v>549</v>
      </c>
      <c r="B518" s="3" t="s">
        <v>20</v>
      </c>
      <c r="C518" s="3" t="s">
        <v>21</v>
      </c>
      <c r="D518" s="4">
        <v>45934</v>
      </c>
      <c r="E518" s="4">
        <v>45935</v>
      </c>
      <c r="F518" s="4">
        <v>45939</v>
      </c>
      <c r="G518" s="4">
        <v>45946</v>
      </c>
      <c r="H518" s="3" t="s">
        <v>22</v>
      </c>
      <c r="J518" s="4">
        <v>45956</v>
      </c>
      <c r="K518" s="3">
        <v>1</v>
      </c>
      <c r="L518" s="3">
        <v>4</v>
      </c>
      <c r="M518" s="3">
        <v>7</v>
      </c>
      <c r="N518" s="3">
        <v>2</v>
      </c>
      <c r="O518">
        <v>1</v>
      </c>
      <c r="P518">
        <f t="shared" si="24"/>
        <v>1</v>
      </c>
      <c r="Q518">
        <f t="shared" si="25"/>
        <v>1</v>
      </c>
      <c r="R518">
        <f t="shared" si="26"/>
        <v>1</v>
      </c>
      <c r="S518" s="10" t="str" cm="1">
        <f t="array" ref="S518">_xlfn.IFS(N518="", "", N518&gt;=9,"Promoter", N518&gt;=7,"Passive", N518&lt;=6,"Detractor")</f>
        <v>Detractor</v>
      </c>
    </row>
    <row r="519" spans="1:19" ht="14.25" customHeight="1">
      <c r="A519" s="3" t="s">
        <v>550</v>
      </c>
      <c r="B519" s="3" t="s">
        <v>24</v>
      </c>
      <c r="C519" s="3" t="s">
        <v>35</v>
      </c>
      <c r="D519" s="4">
        <v>45958</v>
      </c>
      <c r="E519" s="4">
        <v>45959</v>
      </c>
      <c r="F519" s="4">
        <v>45961</v>
      </c>
      <c r="G519" s="4">
        <v>45967</v>
      </c>
      <c r="H519" s="3" t="s">
        <v>22</v>
      </c>
      <c r="J519" s="4">
        <v>45989</v>
      </c>
      <c r="K519" s="3">
        <v>1</v>
      </c>
      <c r="L519" s="3">
        <v>2</v>
      </c>
      <c r="M519" s="3">
        <v>6</v>
      </c>
      <c r="N519" s="3">
        <v>1</v>
      </c>
      <c r="O519">
        <v>1</v>
      </c>
      <c r="P519">
        <f t="shared" si="24"/>
        <v>1</v>
      </c>
      <c r="Q519">
        <f t="shared" si="25"/>
        <v>1</v>
      </c>
      <c r="R519">
        <f t="shared" si="26"/>
        <v>1</v>
      </c>
      <c r="S519" s="10" t="str" cm="1">
        <f t="array" ref="S519">_xlfn.IFS(N519="", "", N519&gt;=9,"Promoter", N519&gt;=7,"Passive", N519&lt;=6,"Detractor")</f>
        <v>Detractor</v>
      </c>
    </row>
    <row r="520" spans="1:19" ht="14.25" customHeight="1">
      <c r="A520" s="3" t="s">
        <v>551</v>
      </c>
      <c r="B520" s="3" t="s">
        <v>37</v>
      </c>
      <c r="C520" s="3" t="s">
        <v>35</v>
      </c>
      <c r="D520" s="4">
        <v>45958</v>
      </c>
      <c r="E520" s="4">
        <v>45962</v>
      </c>
      <c r="F520" s="4">
        <v>45967</v>
      </c>
      <c r="G520" s="4">
        <v>45972</v>
      </c>
      <c r="H520" s="3" t="s">
        <v>22</v>
      </c>
      <c r="J520" s="4">
        <v>45983</v>
      </c>
      <c r="K520" s="3">
        <v>4</v>
      </c>
      <c r="L520" s="3">
        <v>5</v>
      </c>
      <c r="M520" s="3">
        <v>5</v>
      </c>
      <c r="N520" s="3">
        <v>10</v>
      </c>
      <c r="O520">
        <v>1</v>
      </c>
      <c r="P520">
        <f t="shared" si="24"/>
        <v>1</v>
      </c>
      <c r="Q520">
        <f t="shared" si="25"/>
        <v>1</v>
      </c>
      <c r="R520">
        <f t="shared" si="26"/>
        <v>1</v>
      </c>
      <c r="S520" s="10" t="str" cm="1">
        <f t="array" ref="S520">_xlfn.IFS(N520="", "", N520&gt;=9,"Promoter", N520&gt;=7,"Passive", N520&lt;=6,"Detractor")</f>
        <v>Promoter</v>
      </c>
    </row>
    <row r="521" spans="1:19" ht="14.25" customHeight="1">
      <c r="A521" s="3" t="s">
        <v>552</v>
      </c>
      <c r="B521" s="3" t="s">
        <v>24</v>
      </c>
      <c r="C521" s="3" t="s">
        <v>21</v>
      </c>
      <c r="D521" s="4">
        <v>45945</v>
      </c>
      <c r="E521" s="4">
        <v>45950</v>
      </c>
      <c r="F521" s="4">
        <v>45952</v>
      </c>
      <c r="G521" s="4">
        <v>45957</v>
      </c>
      <c r="H521" s="3" t="s">
        <v>22</v>
      </c>
      <c r="J521" s="4">
        <v>45972</v>
      </c>
      <c r="K521" s="3">
        <v>5</v>
      </c>
      <c r="L521" s="3">
        <v>2</v>
      </c>
      <c r="M521" s="3">
        <v>5</v>
      </c>
      <c r="N521" s="3">
        <v>6</v>
      </c>
      <c r="O521">
        <v>1</v>
      </c>
      <c r="P521">
        <f t="shared" si="24"/>
        <v>1</v>
      </c>
      <c r="Q521">
        <f t="shared" si="25"/>
        <v>1</v>
      </c>
      <c r="R521">
        <f t="shared" si="26"/>
        <v>1</v>
      </c>
      <c r="S521" s="10" t="str" cm="1">
        <f t="array" ref="S521">_xlfn.IFS(N521="", "", N521&gt;=9,"Promoter", N521&gt;=7,"Passive", N521&lt;=6,"Detractor")</f>
        <v>Detractor</v>
      </c>
    </row>
    <row r="522" spans="1:19" ht="14.25" customHeight="1">
      <c r="A522" s="3" t="s">
        <v>553</v>
      </c>
      <c r="B522" s="3" t="s">
        <v>24</v>
      </c>
      <c r="C522" s="3" t="s">
        <v>21</v>
      </c>
      <c r="D522" s="4">
        <v>45934</v>
      </c>
      <c r="E522" s="4">
        <v>45939</v>
      </c>
      <c r="F522" s="4">
        <v>45943</v>
      </c>
      <c r="G522" s="4">
        <v>45950</v>
      </c>
      <c r="H522" s="3" t="s">
        <v>22</v>
      </c>
      <c r="J522" s="4">
        <v>45978</v>
      </c>
      <c r="K522" s="3">
        <v>5</v>
      </c>
      <c r="L522" s="3">
        <v>4</v>
      </c>
      <c r="M522" s="3">
        <v>7</v>
      </c>
      <c r="N522" s="3">
        <v>7</v>
      </c>
      <c r="O522">
        <v>1</v>
      </c>
      <c r="P522">
        <f t="shared" si="24"/>
        <v>1</v>
      </c>
      <c r="Q522">
        <f t="shared" si="25"/>
        <v>1</v>
      </c>
      <c r="R522">
        <f t="shared" si="26"/>
        <v>1</v>
      </c>
      <c r="S522" s="10" t="str" cm="1">
        <f t="array" ref="S522">_xlfn.IFS(N522="", "", N522&gt;=9,"Promoter", N522&gt;=7,"Passive", N522&lt;=6,"Detractor")</f>
        <v>Passive</v>
      </c>
    </row>
    <row r="523" spans="1:19" ht="14.25" customHeight="1">
      <c r="A523" s="3" t="s">
        <v>554</v>
      </c>
      <c r="B523" s="3" t="s">
        <v>24</v>
      </c>
      <c r="C523" s="3" t="s">
        <v>21</v>
      </c>
      <c r="D523" s="4">
        <v>45947</v>
      </c>
      <c r="E523" s="4">
        <v>45948</v>
      </c>
      <c r="F523" s="4">
        <v>45950</v>
      </c>
      <c r="G523" s="4">
        <v>45955</v>
      </c>
      <c r="H523" s="3" t="s">
        <v>22</v>
      </c>
      <c r="J523" s="4">
        <v>45971</v>
      </c>
      <c r="K523" s="3">
        <v>1</v>
      </c>
      <c r="L523" s="3">
        <v>2</v>
      </c>
      <c r="M523" s="3">
        <v>5</v>
      </c>
      <c r="N523" s="3">
        <v>4</v>
      </c>
      <c r="O523">
        <v>1</v>
      </c>
      <c r="P523">
        <f t="shared" si="24"/>
        <v>1</v>
      </c>
      <c r="Q523">
        <f t="shared" si="25"/>
        <v>1</v>
      </c>
      <c r="R523">
        <f t="shared" si="26"/>
        <v>1</v>
      </c>
      <c r="S523" s="10" t="str" cm="1">
        <f t="array" ref="S523">_xlfn.IFS(N523="", "", N523&gt;=9,"Promoter", N523&gt;=7,"Passive", N523&lt;=6,"Detractor")</f>
        <v>Detractor</v>
      </c>
    </row>
    <row r="524" spans="1:19" ht="14.25" customHeight="1">
      <c r="A524" s="3" t="s">
        <v>555</v>
      </c>
      <c r="B524" s="3" t="s">
        <v>20</v>
      </c>
      <c r="C524" s="3" t="s">
        <v>27</v>
      </c>
      <c r="D524" s="4">
        <v>45960</v>
      </c>
      <c r="H524" s="3" t="s">
        <v>28</v>
      </c>
      <c r="I524" s="3" t="s">
        <v>106</v>
      </c>
      <c r="O524">
        <v>1</v>
      </c>
      <c r="P524">
        <f t="shared" si="24"/>
        <v>0</v>
      </c>
      <c r="Q524">
        <f t="shared" si="25"/>
        <v>0</v>
      </c>
      <c r="R524">
        <f t="shared" si="26"/>
        <v>0</v>
      </c>
      <c r="S524" s="10" t="str" cm="1">
        <f t="array" ref="S524">_xlfn.IFS(N524="", "", N524&gt;=9,"Promoter", N524&gt;=7,"Passive", N524&lt;=6,"Detractor")</f>
        <v/>
      </c>
    </row>
    <row r="525" spans="1:19" ht="14.25" customHeight="1">
      <c r="A525" s="3" t="s">
        <v>556</v>
      </c>
      <c r="B525" s="3" t="s">
        <v>26</v>
      </c>
      <c r="C525" s="3" t="s">
        <v>21</v>
      </c>
      <c r="D525" s="4">
        <v>45945</v>
      </c>
      <c r="E525" s="4">
        <v>45950</v>
      </c>
      <c r="F525" s="4">
        <v>45955</v>
      </c>
      <c r="G525" s="4">
        <v>45957</v>
      </c>
      <c r="H525" s="3" t="s">
        <v>22</v>
      </c>
      <c r="J525" s="4">
        <v>45974</v>
      </c>
      <c r="K525" s="3">
        <v>5</v>
      </c>
      <c r="L525" s="3">
        <v>5</v>
      </c>
      <c r="M525" s="3">
        <v>2</v>
      </c>
      <c r="N525" s="3">
        <v>4</v>
      </c>
      <c r="O525">
        <v>1</v>
      </c>
      <c r="P525">
        <f t="shared" si="24"/>
        <v>1</v>
      </c>
      <c r="Q525">
        <f t="shared" si="25"/>
        <v>1</v>
      </c>
      <c r="R525">
        <f t="shared" si="26"/>
        <v>1</v>
      </c>
      <c r="S525" s="10" t="str" cm="1">
        <f t="array" ref="S525">_xlfn.IFS(N525="", "", N525&gt;=9,"Promoter", N525&gt;=7,"Passive", N525&lt;=6,"Detractor")</f>
        <v>Detractor</v>
      </c>
    </row>
    <row r="526" spans="1:19" ht="14.25" customHeight="1">
      <c r="A526" s="3" t="s">
        <v>557</v>
      </c>
      <c r="B526" s="3" t="s">
        <v>24</v>
      </c>
      <c r="C526" s="3" t="s">
        <v>21</v>
      </c>
      <c r="D526" s="4">
        <v>45931</v>
      </c>
      <c r="E526" s="4">
        <v>45936</v>
      </c>
      <c r="F526" s="4">
        <v>45939</v>
      </c>
      <c r="G526" s="4">
        <v>45946</v>
      </c>
      <c r="H526" s="3" t="s">
        <v>22</v>
      </c>
      <c r="J526" s="4">
        <v>45976</v>
      </c>
      <c r="K526" s="3">
        <v>5</v>
      </c>
      <c r="L526" s="3">
        <v>3</v>
      </c>
      <c r="M526" s="3">
        <v>7</v>
      </c>
      <c r="N526" s="3">
        <v>8</v>
      </c>
      <c r="O526">
        <v>1</v>
      </c>
      <c r="P526">
        <f t="shared" si="24"/>
        <v>1</v>
      </c>
      <c r="Q526">
        <f t="shared" si="25"/>
        <v>1</v>
      </c>
      <c r="R526">
        <f t="shared" si="26"/>
        <v>1</v>
      </c>
      <c r="S526" s="10" t="str" cm="1">
        <f t="array" ref="S526">_xlfn.IFS(N526="", "", N526&gt;=9,"Promoter", N526&gt;=7,"Passive", N526&lt;=6,"Detractor")</f>
        <v>Passive</v>
      </c>
    </row>
    <row r="527" spans="1:19" ht="14.25" customHeight="1">
      <c r="A527" s="3" t="s">
        <v>558</v>
      </c>
      <c r="B527" s="3" t="s">
        <v>20</v>
      </c>
      <c r="C527" s="3" t="s">
        <v>35</v>
      </c>
      <c r="D527" s="4">
        <v>45954</v>
      </c>
      <c r="E527" s="4">
        <v>45956</v>
      </c>
      <c r="F527" s="4">
        <v>45959</v>
      </c>
      <c r="G527" s="4">
        <v>45965</v>
      </c>
      <c r="H527" s="3" t="s">
        <v>22</v>
      </c>
      <c r="J527" s="4">
        <v>45982</v>
      </c>
      <c r="K527" s="3">
        <v>2</v>
      </c>
      <c r="L527" s="3">
        <v>3</v>
      </c>
      <c r="M527" s="3">
        <v>6</v>
      </c>
      <c r="N527" s="3">
        <v>8</v>
      </c>
      <c r="O527">
        <v>1</v>
      </c>
      <c r="P527">
        <f t="shared" si="24"/>
        <v>1</v>
      </c>
      <c r="Q527">
        <f t="shared" si="25"/>
        <v>1</v>
      </c>
      <c r="R527">
        <f t="shared" si="26"/>
        <v>1</v>
      </c>
      <c r="S527" s="10" t="str" cm="1">
        <f t="array" ref="S527">_xlfn.IFS(N527="", "", N527&gt;=9,"Promoter", N527&gt;=7,"Passive", N527&lt;=6,"Detractor")</f>
        <v>Passive</v>
      </c>
    </row>
    <row r="528" spans="1:19" ht="14.25" customHeight="1">
      <c r="A528" s="3" t="s">
        <v>559</v>
      </c>
      <c r="B528" s="3" t="s">
        <v>24</v>
      </c>
      <c r="C528" s="3" t="s">
        <v>21</v>
      </c>
      <c r="D528" s="4">
        <v>45935</v>
      </c>
      <c r="E528" s="4">
        <v>45937</v>
      </c>
      <c r="F528" s="4">
        <v>45941</v>
      </c>
      <c r="G528" s="4">
        <v>45947</v>
      </c>
      <c r="H528" s="3" t="s">
        <v>22</v>
      </c>
      <c r="J528" s="4">
        <v>45963</v>
      </c>
      <c r="K528" s="3">
        <v>2</v>
      </c>
      <c r="L528" s="3">
        <v>4</v>
      </c>
      <c r="M528" s="3">
        <v>6</v>
      </c>
      <c r="N528" s="3">
        <v>6</v>
      </c>
      <c r="O528">
        <v>1</v>
      </c>
      <c r="P528">
        <f t="shared" si="24"/>
        <v>1</v>
      </c>
      <c r="Q528">
        <f t="shared" si="25"/>
        <v>1</v>
      </c>
      <c r="R528">
        <f t="shared" si="26"/>
        <v>1</v>
      </c>
      <c r="S528" s="10" t="str" cm="1">
        <f t="array" ref="S528">_xlfn.IFS(N528="", "", N528&gt;=9,"Promoter", N528&gt;=7,"Passive", N528&lt;=6,"Detractor")</f>
        <v>Detractor</v>
      </c>
    </row>
    <row r="529" spans="1:19" ht="14.25" customHeight="1">
      <c r="A529" s="3" t="s">
        <v>560</v>
      </c>
      <c r="B529" s="3" t="s">
        <v>24</v>
      </c>
      <c r="C529" s="3" t="s">
        <v>21</v>
      </c>
      <c r="D529" s="4">
        <v>45944</v>
      </c>
      <c r="E529" s="4">
        <v>45947</v>
      </c>
      <c r="F529" s="4">
        <v>45951</v>
      </c>
      <c r="G529" s="4">
        <v>45957</v>
      </c>
      <c r="H529" s="3" t="s">
        <v>22</v>
      </c>
      <c r="J529" s="4">
        <v>45975</v>
      </c>
      <c r="K529" s="3">
        <v>3</v>
      </c>
      <c r="L529" s="3">
        <v>4</v>
      </c>
      <c r="M529" s="3">
        <v>6</v>
      </c>
      <c r="N529" s="3">
        <v>4</v>
      </c>
      <c r="O529">
        <v>1</v>
      </c>
      <c r="P529">
        <f t="shared" si="24"/>
        <v>1</v>
      </c>
      <c r="Q529">
        <f t="shared" si="25"/>
        <v>1</v>
      </c>
      <c r="R529">
        <f t="shared" si="26"/>
        <v>1</v>
      </c>
      <c r="S529" s="10" t="str" cm="1">
        <f t="array" ref="S529">_xlfn.IFS(N529="", "", N529&gt;=9,"Promoter", N529&gt;=7,"Passive", N529&lt;=6,"Detractor")</f>
        <v>Detractor</v>
      </c>
    </row>
    <row r="530" spans="1:19" ht="14.25" customHeight="1">
      <c r="A530" s="3" t="s">
        <v>561</v>
      </c>
      <c r="B530" s="3" t="s">
        <v>20</v>
      </c>
      <c r="C530" s="3" t="s">
        <v>27</v>
      </c>
      <c r="D530" s="4">
        <v>45958</v>
      </c>
      <c r="H530" s="3" t="s">
        <v>28</v>
      </c>
      <c r="I530" s="3" t="s">
        <v>68</v>
      </c>
      <c r="O530">
        <v>1</v>
      </c>
      <c r="P530">
        <f t="shared" si="24"/>
        <v>0</v>
      </c>
      <c r="Q530">
        <f t="shared" si="25"/>
        <v>0</v>
      </c>
      <c r="R530">
        <f t="shared" si="26"/>
        <v>0</v>
      </c>
      <c r="S530" s="10" t="str" cm="1">
        <f t="array" ref="S530">_xlfn.IFS(N530="", "", N530&gt;=9,"Promoter", N530&gt;=7,"Passive", N530&lt;=6,"Detractor")</f>
        <v/>
      </c>
    </row>
    <row r="531" spans="1:19" ht="14.25" customHeight="1">
      <c r="A531" s="3" t="s">
        <v>562</v>
      </c>
      <c r="B531" s="3" t="s">
        <v>26</v>
      </c>
      <c r="C531" s="3" t="s">
        <v>27</v>
      </c>
      <c r="D531" s="4">
        <v>45951</v>
      </c>
      <c r="H531" s="3" t="s">
        <v>28</v>
      </c>
      <c r="I531" s="3" t="s">
        <v>31</v>
      </c>
      <c r="O531">
        <v>1</v>
      </c>
      <c r="P531">
        <f t="shared" si="24"/>
        <v>0</v>
      </c>
      <c r="Q531">
        <f t="shared" si="25"/>
        <v>0</v>
      </c>
      <c r="R531">
        <f t="shared" si="26"/>
        <v>0</v>
      </c>
      <c r="S531" s="10" t="str" cm="1">
        <f t="array" ref="S531">_xlfn.IFS(N531="", "", N531&gt;=9,"Promoter", N531&gt;=7,"Passive", N531&lt;=6,"Detractor")</f>
        <v/>
      </c>
    </row>
    <row r="532" spans="1:19" ht="14.25" customHeight="1">
      <c r="A532" s="3" t="s">
        <v>563</v>
      </c>
      <c r="B532" s="3" t="s">
        <v>26</v>
      </c>
      <c r="C532" s="3" t="s">
        <v>21</v>
      </c>
      <c r="D532" s="4">
        <v>45935</v>
      </c>
      <c r="E532" s="4">
        <v>45939</v>
      </c>
      <c r="F532" s="4">
        <v>45944</v>
      </c>
      <c r="G532" s="4">
        <v>45947</v>
      </c>
      <c r="H532" s="3" t="s">
        <v>22</v>
      </c>
      <c r="J532" s="4">
        <v>45977</v>
      </c>
      <c r="K532" s="3">
        <v>4</v>
      </c>
      <c r="L532" s="3">
        <v>5</v>
      </c>
      <c r="M532" s="3">
        <v>3</v>
      </c>
      <c r="N532" s="3">
        <v>2</v>
      </c>
      <c r="O532">
        <v>1</v>
      </c>
      <c r="P532">
        <f t="shared" si="24"/>
        <v>1</v>
      </c>
      <c r="Q532">
        <f t="shared" si="25"/>
        <v>1</v>
      </c>
      <c r="R532">
        <f t="shared" si="26"/>
        <v>1</v>
      </c>
      <c r="S532" s="10" t="str" cm="1">
        <f t="array" ref="S532">_xlfn.IFS(N532="", "", N532&gt;=9,"Promoter", N532&gt;=7,"Passive", N532&lt;=6,"Detractor")</f>
        <v>Detractor</v>
      </c>
    </row>
    <row r="533" spans="1:19" ht="14.25" customHeight="1">
      <c r="A533" s="3" t="s">
        <v>564</v>
      </c>
      <c r="B533" s="3" t="s">
        <v>37</v>
      </c>
      <c r="C533" s="3" t="s">
        <v>35</v>
      </c>
      <c r="D533" s="4">
        <v>45933</v>
      </c>
      <c r="E533" s="4">
        <v>45934</v>
      </c>
      <c r="F533" s="4">
        <v>45937</v>
      </c>
      <c r="G533" s="4">
        <v>45941</v>
      </c>
      <c r="H533" s="3" t="s">
        <v>22</v>
      </c>
      <c r="J533" s="4">
        <v>45964</v>
      </c>
      <c r="K533" s="3">
        <v>1</v>
      </c>
      <c r="L533" s="3">
        <v>3</v>
      </c>
      <c r="M533" s="3">
        <v>4</v>
      </c>
      <c r="N533" s="3">
        <v>2</v>
      </c>
      <c r="O533">
        <v>1</v>
      </c>
      <c r="P533">
        <f t="shared" si="24"/>
        <v>1</v>
      </c>
      <c r="Q533">
        <f t="shared" si="25"/>
        <v>1</v>
      </c>
      <c r="R533">
        <f t="shared" si="26"/>
        <v>1</v>
      </c>
      <c r="S533" s="10" t="str" cm="1">
        <f t="array" ref="S533">_xlfn.IFS(N533="", "", N533&gt;=9,"Promoter", N533&gt;=7,"Passive", N533&lt;=6,"Detractor")</f>
        <v>Detractor</v>
      </c>
    </row>
    <row r="534" spans="1:19" ht="14.25" customHeight="1">
      <c r="A534" s="3" t="s">
        <v>565</v>
      </c>
      <c r="B534" s="3" t="s">
        <v>20</v>
      </c>
      <c r="C534" s="3" t="s">
        <v>27</v>
      </c>
      <c r="D534" s="4">
        <v>45946</v>
      </c>
      <c r="H534" s="3" t="s">
        <v>28</v>
      </c>
      <c r="I534" s="3" t="s">
        <v>31</v>
      </c>
      <c r="O534">
        <v>1</v>
      </c>
      <c r="P534">
        <f t="shared" si="24"/>
        <v>0</v>
      </c>
      <c r="Q534">
        <f t="shared" si="25"/>
        <v>0</v>
      </c>
      <c r="R534">
        <f t="shared" si="26"/>
        <v>0</v>
      </c>
      <c r="S534" s="10" t="str" cm="1">
        <f t="array" ref="S534">_xlfn.IFS(N534="", "", N534&gt;=9,"Promoter", N534&gt;=7,"Passive", N534&lt;=6,"Detractor")</f>
        <v/>
      </c>
    </row>
    <row r="535" spans="1:19" ht="14.25" customHeight="1">
      <c r="A535" s="3" t="s">
        <v>566</v>
      </c>
      <c r="B535" s="3" t="s">
        <v>37</v>
      </c>
      <c r="C535" s="3" t="s">
        <v>21</v>
      </c>
      <c r="D535" s="4">
        <v>45956</v>
      </c>
      <c r="E535" s="4">
        <v>45961</v>
      </c>
      <c r="F535" s="4">
        <v>45964</v>
      </c>
      <c r="G535" s="4">
        <v>45966</v>
      </c>
      <c r="H535" s="3" t="s">
        <v>22</v>
      </c>
      <c r="J535" s="4">
        <v>45992</v>
      </c>
      <c r="K535" s="3">
        <v>5</v>
      </c>
      <c r="L535" s="3">
        <v>3</v>
      </c>
      <c r="M535" s="3">
        <v>2</v>
      </c>
      <c r="N535" s="3">
        <v>1</v>
      </c>
      <c r="O535">
        <v>1</v>
      </c>
      <c r="P535">
        <f t="shared" si="24"/>
        <v>1</v>
      </c>
      <c r="Q535">
        <f t="shared" si="25"/>
        <v>1</v>
      </c>
      <c r="R535">
        <f t="shared" si="26"/>
        <v>1</v>
      </c>
      <c r="S535" s="10" t="str" cm="1">
        <f t="array" ref="S535">_xlfn.IFS(N535="", "", N535&gt;=9,"Promoter", N535&gt;=7,"Passive", N535&lt;=6,"Detractor")</f>
        <v>Detractor</v>
      </c>
    </row>
    <row r="536" spans="1:19" ht="14.25" customHeight="1">
      <c r="A536" s="3" t="s">
        <v>567</v>
      </c>
      <c r="B536" s="3" t="s">
        <v>37</v>
      </c>
      <c r="C536" s="3" t="s">
        <v>35</v>
      </c>
      <c r="D536" s="4">
        <v>45939</v>
      </c>
      <c r="E536" s="4">
        <v>45942</v>
      </c>
      <c r="F536" s="4">
        <v>45945</v>
      </c>
      <c r="G536" s="4">
        <v>45949</v>
      </c>
      <c r="H536" s="3" t="s">
        <v>22</v>
      </c>
      <c r="J536" s="4">
        <v>45959</v>
      </c>
      <c r="K536" s="3">
        <v>3</v>
      </c>
      <c r="L536" s="3">
        <v>3</v>
      </c>
      <c r="M536" s="3">
        <v>4</v>
      </c>
      <c r="N536" s="3">
        <v>0</v>
      </c>
      <c r="O536">
        <v>1</v>
      </c>
      <c r="P536">
        <f t="shared" si="24"/>
        <v>1</v>
      </c>
      <c r="Q536">
        <f t="shared" si="25"/>
        <v>1</v>
      </c>
      <c r="R536">
        <f t="shared" si="26"/>
        <v>1</v>
      </c>
      <c r="S536" s="10" t="str" cm="1">
        <f t="array" ref="S536">_xlfn.IFS(N536="", "", N536&gt;=9,"Promoter", N536&gt;=7,"Passive", N536&lt;=6,"Detractor")</f>
        <v>Detractor</v>
      </c>
    </row>
    <row r="537" spans="1:19" ht="14.25" customHeight="1">
      <c r="A537" s="3" t="s">
        <v>568</v>
      </c>
      <c r="B537" s="3" t="s">
        <v>37</v>
      </c>
      <c r="C537" s="3" t="s">
        <v>35</v>
      </c>
      <c r="D537" s="4">
        <v>45941</v>
      </c>
      <c r="E537" s="4">
        <v>45943</v>
      </c>
      <c r="F537" s="4">
        <v>45946</v>
      </c>
      <c r="G537" s="4">
        <v>45948</v>
      </c>
      <c r="H537" s="3" t="s">
        <v>28</v>
      </c>
      <c r="I537" s="3" t="s">
        <v>68</v>
      </c>
      <c r="K537" s="3">
        <v>2</v>
      </c>
      <c r="L537" s="3">
        <v>3</v>
      </c>
      <c r="M537" s="3">
        <v>2</v>
      </c>
      <c r="O537">
        <v>1</v>
      </c>
      <c r="P537">
        <f t="shared" si="24"/>
        <v>1</v>
      </c>
      <c r="Q537">
        <f t="shared" si="25"/>
        <v>1</v>
      </c>
      <c r="R537">
        <f t="shared" si="26"/>
        <v>0</v>
      </c>
      <c r="S537" s="10" t="str" cm="1">
        <f t="array" ref="S537">_xlfn.IFS(N537="", "", N537&gt;=9,"Promoter", N537&gt;=7,"Passive", N537&lt;=6,"Detractor")</f>
        <v/>
      </c>
    </row>
    <row r="538" spans="1:19" ht="14.25" customHeight="1">
      <c r="A538" s="3" t="s">
        <v>569</v>
      </c>
      <c r="B538" s="3" t="s">
        <v>26</v>
      </c>
      <c r="C538" s="3" t="s">
        <v>21</v>
      </c>
      <c r="D538" s="4">
        <v>45950</v>
      </c>
      <c r="E538" s="4">
        <v>45955</v>
      </c>
      <c r="F538" s="4">
        <v>45960</v>
      </c>
      <c r="G538" s="4">
        <v>45966</v>
      </c>
      <c r="H538" s="3" t="s">
        <v>22</v>
      </c>
      <c r="J538" s="4">
        <v>45976</v>
      </c>
      <c r="K538" s="3">
        <v>5</v>
      </c>
      <c r="L538" s="3">
        <v>5</v>
      </c>
      <c r="M538" s="3">
        <v>6</v>
      </c>
      <c r="N538" s="3">
        <v>0</v>
      </c>
      <c r="O538">
        <v>1</v>
      </c>
      <c r="P538">
        <f t="shared" si="24"/>
        <v>1</v>
      </c>
      <c r="Q538">
        <f t="shared" si="25"/>
        <v>1</v>
      </c>
      <c r="R538">
        <f t="shared" si="26"/>
        <v>1</v>
      </c>
      <c r="S538" s="10" t="str" cm="1">
        <f t="array" ref="S538">_xlfn.IFS(N538="", "", N538&gt;=9,"Promoter", N538&gt;=7,"Passive", N538&lt;=6,"Detractor")</f>
        <v>Detractor</v>
      </c>
    </row>
    <row r="539" spans="1:19" ht="14.25" customHeight="1">
      <c r="A539" s="3" t="s">
        <v>570</v>
      </c>
      <c r="B539" s="3" t="s">
        <v>20</v>
      </c>
      <c r="C539" s="3" t="s">
        <v>35</v>
      </c>
      <c r="D539" s="4">
        <v>45953</v>
      </c>
      <c r="E539" s="4">
        <v>45957</v>
      </c>
      <c r="F539" s="4">
        <v>45961</v>
      </c>
      <c r="G539" s="4">
        <v>45964</v>
      </c>
      <c r="H539" s="3" t="s">
        <v>22</v>
      </c>
      <c r="J539" s="4">
        <v>45989</v>
      </c>
      <c r="K539" s="3">
        <v>4</v>
      </c>
      <c r="L539" s="3">
        <v>4</v>
      </c>
      <c r="M539" s="3">
        <v>3</v>
      </c>
      <c r="N539" s="3">
        <v>3</v>
      </c>
      <c r="O539">
        <v>1</v>
      </c>
      <c r="P539">
        <f t="shared" si="24"/>
        <v>1</v>
      </c>
      <c r="Q539">
        <f t="shared" si="25"/>
        <v>1</v>
      </c>
      <c r="R539">
        <f t="shared" si="26"/>
        <v>1</v>
      </c>
      <c r="S539" s="10" t="str" cm="1">
        <f t="array" ref="S539">_xlfn.IFS(N539="", "", N539&gt;=9,"Promoter", N539&gt;=7,"Passive", N539&lt;=6,"Detractor")</f>
        <v>Detractor</v>
      </c>
    </row>
    <row r="540" spans="1:19" ht="14.25" customHeight="1">
      <c r="A540" s="3" t="s">
        <v>571</v>
      </c>
      <c r="B540" s="3" t="s">
        <v>37</v>
      </c>
      <c r="C540" s="3" t="s">
        <v>27</v>
      </c>
      <c r="D540" s="4">
        <v>45943</v>
      </c>
      <c r="H540" s="3" t="s">
        <v>28</v>
      </c>
      <c r="I540" s="3" t="s">
        <v>31</v>
      </c>
      <c r="O540">
        <v>1</v>
      </c>
      <c r="P540">
        <f t="shared" si="24"/>
        <v>0</v>
      </c>
      <c r="Q540">
        <f t="shared" si="25"/>
        <v>0</v>
      </c>
      <c r="R540">
        <f t="shared" si="26"/>
        <v>0</v>
      </c>
      <c r="S540" s="10" t="str" cm="1">
        <f t="array" ref="S540">_xlfn.IFS(N540="", "", N540&gt;=9,"Promoter", N540&gt;=7,"Passive", N540&lt;=6,"Detractor")</f>
        <v/>
      </c>
    </row>
    <row r="541" spans="1:19" ht="14.25" customHeight="1">
      <c r="A541" s="3" t="s">
        <v>572</v>
      </c>
      <c r="B541" s="3" t="s">
        <v>20</v>
      </c>
      <c r="C541" s="3" t="s">
        <v>21</v>
      </c>
      <c r="D541" s="4">
        <v>45951</v>
      </c>
      <c r="E541" s="4">
        <v>45953</v>
      </c>
      <c r="F541" s="4">
        <v>45957</v>
      </c>
      <c r="G541" s="4">
        <v>45960</v>
      </c>
      <c r="H541" s="3" t="s">
        <v>28</v>
      </c>
      <c r="I541" s="3" t="s">
        <v>106</v>
      </c>
      <c r="K541" s="3">
        <v>2</v>
      </c>
      <c r="L541" s="3">
        <v>4</v>
      </c>
      <c r="M541" s="3">
        <v>3</v>
      </c>
      <c r="O541">
        <v>1</v>
      </c>
      <c r="P541">
        <f t="shared" si="24"/>
        <v>1</v>
      </c>
      <c r="Q541">
        <f t="shared" si="25"/>
        <v>1</v>
      </c>
      <c r="R541">
        <f t="shared" si="26"/>
        <v>0</v>
      </c>
      <c r="S541" s="10" t="str" cm="1">
        <f t="array" ref="S541">_xlfn.IFS(N541="", "", N541&gt;=9,"Promoter", N541&gt;=7,"Passive", N541&lt;=6,"Detractor")</f>
        <v/>
      </c>
    </row>
    <row r="542" spans="1:19" ht="14.25" customHeight="1">
      <c r="A542" s="3" t="s">
        <v>573</v>
      </c>
      <c r="B542" s="3" t="s">
        <v>20</v>
      </c>
      <c r="C542" s="3" t="s">
        <v>35</v>
      </c>
      <c r="D542" s="4">
        <v>45933</v>
      </c>
      <c r="E542" s="4">
        <v>45934</v>
      </c>
      <c r="F542" s="4">
        <v>45935</v>
      </c>
      <c r="G542" s="4">
        <v>45941</v>
      </c>
      <c r="H542" s="3" t="s">
        <v>22</v>
      </c>
      <c r="J542" s="4">
        <v>45955</v>
      </c>
      <c r="K542" s="3">
        <v>1</v>
      </c>
      <c r="L542" s="3">
        <v>1</v>
      </c>
      <c r="M542" s="3">
        <v>6</v>
      </c>
      <c r="N542" s="3">
        <v>9</v>
      </c>
      <c r="O542">
        <v>1</v>
      </c>
      <c r="P542">
        <f t="shared" si="24"/>
        <v>1</v>
      </c>
      <c r="Q542">
        <f t="shared" si="25"/>
        <v>1</v>
      </c>
      <c r="R542">
        <f t="shared" si="26"/>
        <v>1</v>
      </c>
      <c r="S542" s="10" t="str" cm="1">
        <f t="array" ref="S542">_xlfn.IFS(N542="", "", N542&gt;=9,"Promoter", N542&gt;=7,"Passive", N542&lt;=6,"Detractor")</f>
        <v>Promoter</v>
      </c>
    </row>
    <row r="543" spans="1:19" ht="14.25" customHeight="1">
      <c r="A543" s="3" t="s">
        <v>574</v>
      </c>
      <c r="B543" s="3" t="s">
        <v>26</v>
      </c>
      <c r="C543" s="3" t="s">
        <v>27</v>
      </c>
      <c r="D543" s="4">
        <v>45958</v>
      </c>
      <c r="H543" s="3" t="s">
        <v>28</v>
      </c>
      <c r="I543" s="3" t="s">
        <v>106</v>
      </c>
      <c r="O543">
        <v>1</v>
      </c>
      <c r="P543">
        <f t="shared" si="24"/>
        <v>0</v>
      </c>
      <c r="Q543">
        <f t="shared" si="25"/>
        <v>0</v>
      </c>
      <c r="R543">
        <f t="shared" si="26"/>
        <v>0</v>
      </c>
      <c r="S543" s="10" t="str" cm="1">
        <f t="array" ref="S543">_xlfn.IFS(N543="", "", N543&gt;=9,"Promoter", N543&gt;=7,"Passive", N543&lt;=6,"Detractor")</f>
        <v/>
      </c>
    </row>
    <row r="544" spans="1:19" ht="14.25" customHeight="1">
      <c r="A544" s="3" t="s">
        <v>575</v>
      </c>
      <c r="B544" s="3" t="s">
        <v>37</v>
      </c>
      <c r="C544" s="3" t="s">
        <v>21</v>
      </c>
      <c r="D544" s="4">
        <v>45941</v>
      </c>
      <c r="E544" s="4">
        <v>45946</v>
      </c>
      <c r="F544" s="4">
        <v>45950</v>
      </c>
      <c r="G544" s="4">
        <v>45954</v>
      </c>
      <c r="H544" s="3" t="s">
        <v>22</v>
      </c>
      <c r="J544" s="4">
        <v>45984</v>
      </c>
      <c r="K544" s="3">
        <v>5</v>
      </c>
      <c r="L544" s="3">
        <v>4</v>
      </c>
      <c r="M544" s="3">
        <v>4</v>
      </c>
      <c r="N544" s="3">
        <v>9</v>
      </c>
      <c r="O544">
        <v>1</v>
      </c>
      <c r="P544">
        <f t="shared" si="24"/>
        <v>1</v>
      </c>
      <c r="Q544">
        <f t="shared" si="25"/>
        <v>1</v>
      </c>
      <c r="R544">
        <f t="shared" si="26"/>
        <v>1</v>
      </c>
      <c r="S544" s="10" t="str" cm="1">
        <f t="array" ref="S544">_xlfn.IFS(N544="", "", N544&gt;=9,"Promoter", N544&gt;=7,"Passive", N544&lt;=6,"Detractor")</f>
        <v>Promoter</v>
      </c>
    </row>
    <row r="545" spans="1:19" ht="14.25" customHeight="1">
      <c r="A545" s="3" t="s">
        <v>576</v>
      </c>
      <c r="B545" s="3" t="s">
        <v>37</v>
      </c>
      <c r="C545" s="3" t="s">
        <v>21</v>
      </c>
      <c r="D545" s="4">
        <v>45958</v>
      </c>
      <c r="E545" s="4">
        <v>45961</v>
      </c>
      <c r="F545" s="4">
        <v>45964</v>
      </c>
      <c r="G545" s="4">
        <v>45969</v>
      </c>
      <c r="H545" s="3" t="s">
        <v>22</v>
      </c>
      <c r="J545" s="4">
        <v>45984</v>
      </c>
      <c r="K545" s="3">
        <v>3</v>
      </c>
      <c r="L545" s="3">
        <v>3</v>
      </c>
      <c r="M545" s="3">
        <v>5</v>
      </c>
      <c r="N545" s="3">
        <v>4</v>
      </c>
      <c r="O545">
        <v>1</v>
      </c>
      <c r="P545">
        <f t="shared" si="24"/>
        <v>1</v>
      </c>
      <c r="Q545">
        <f t="shared" si="25"/>
        <v>1</v>
      </c>
      <c r="R545">
        <f t="shared" si="26"/>
        <v>1</v>
      </c>
      <c r="S545" s="10" t="str" cm="1">
        <f t="array" ref="S545">_xlfn.IFS(N545="", "", N545&gt;=9,"Promoter", N545&gt;=7,"Passive", N545&lt;=6,"Detractor")</f>
        <v>Detractor</v>
      </c>
    </row>
    <row r="546" spans="1:19" ht="14.25" customHeight="1">
      <c r="A546" s="3" t="s">
        <v>577</v>
      </c>
      <c r="B546" s="3" t="s">
        <v>20</v>
      </c>
      <c r="C546" s="3" t="s">
        <v>35</v>
      </c>
      <c r="D546" s="4">
        <v>45952</v>
      </c>
      <c r="E546" s="4">
        <v>45953</v>
      </c>
      <c r="F546" s="4">
        <v>45955</v>
      </c>
      <c r="G546" s="4">
        <v>45961</v>
      </c>
      <c r="H546" s="3" t="s">
        <v>22</v>
      </c>
      <c r="J546" s="4">
        <v>45990</v>
      </c>
      <c r="K546" s="3">
        <v>1</v>
      </c>
      <c r="L546" s="3">
        <v>2</v>
      </c>
      <c r="M546" s="3">
        <v>6</v>
      </c>
      <c r="N546" s="3">
        <v>1</v>
      </c>
      <c r="O546">
        <v>1</v>
      </c>
      <c r="P546">
        <f t="shared" si="24"/>
        <v>1</v>
      </c>
      <c r="Q546">
        <f t="shared" si="25"/>
        <v>1</v>
      </c>
      <c r="R546">
        <f t="shared" si="26"/>
        <v>1</v>
      </c>
      <c r="S546" s="10" t="str" cm="1">
        <f t="array" ref="S546">_xlfn.IFS(N546="", "", N546&gt;=9,"Promoter", N546&gt;=7,"Passive", N546&lt;=6,"Detractor")</f>
        <v>Detractor</v>
      </c>
    </row>
    <row r="547" spans="1:19" ht="14.25" customHeight="1">
      <c r="A547" s="3" t="s">
        <v>578</v>
      </c>
      <c r="B547" s="3" t="s">
        <v>24</v>
      </c>
      <c r="C547" s="3" t="s">
        <v>35</v>
      </c>
      <c r="D547" s="4">
        <v>45958</v>
      </c>
      <c r="E547" s="4">
        <v>45963</v>
      </c>
      <c r="F547" s="4">
        <v>45966</v>
      </c>
      <c r="G547" s="4">
        <v>45973</v>
      </c>
      <c r="H547" s="3" t="s">
        <v>22</v>
      </c>
      <c r="J547" s="4">
        <v>45983</v>
      </c>
      <c r="K547" s="3">
        <v>5</v>
      </c>
      <c r="L547" s="3">
        <v>3</v>
      </c>
      <c r="M547" s="3">
        <v>7</v>
      </c>
      <c r="N547" s="3">
        <v>6</v>
      </c>
      <c r="O547">
        <v>1</v>
      </c>
      <c r="P547">
        <f t="shared" si="24"/>
        <v>1</v>
      </c>
      <c r="Q547">
        <f t="shared" si="25"/>
        <v>1</v>
      </c>
      <c r="R547">
        <f t="shared" si="26"/>
        <v>1</v>
      </c>
      <c r="S547" s="10" t="str" cm="1">
        <f t="array" ref="S547">_xlfn.IFS(N547="", "", N547&gt;=9,"Promoter", N547&gt;=7,"Passive", N547&lt;=6,"Detractor")</f>
        <v>Detractor</v>
      </c>
    </row>
    <row r="548" spans="1:19" ht="14.25" customHeight="1">
      <c r="A548" s="3" t="s">
        <v>579</v>
      </c>
      <c r="B548" s="3" t="s">
        <v>26</v>
      </c>
      <c r="C548" s="3" t="s">
        <v>21</v>
      </c>
      <c r="D548" s="4">
        <v>45948</v>
      </c>
      <c r="E548" s="4">
        <v>45953</v>
      </c>
      <c r="F548" s="4">
        <v>45956</v>
      </c>
      <c r="G548" s="4">
        <v>45963</v>
      </c>
      <c r="H548" s="3" t="s">
        <v>22</v>
      </c>
      <c r="J548" s="4">
        <v>45980</v>
      </c>
      <c r="K548" s="3">
        <v>5</v>
      </c>
      <c r="L548" s="3">
        <v>3</v>
      </c>
      <c r="M548" s="3">
        <v>7</v>
      </c>
      <c r="N548" s="3">
        <v>3</v>
      </c>
      <c r="O548">
        <v>1</v>
      </c>
      <c r="P548">
        <f t="shared" si="24"/>
        <v>1</v>
      </c>
      <c r="Q548">
        <f t="shared" si="25"/>
        <v>1</v>
      </c>
      <c r="R548">
        <f t="shared" si="26"/>
        <v>1</v>
      </c>
      <c r="S548" s="10" t="str" cm="1">
        <f t="array" ref="S548">_xlfn.IFS(N548="", "", N548&gt;=9,"Promoter", N548&gt;=7,"Passive", N548&lt;=6,"Detractor")</f>
        <v>Detractor</v>
      </c>
    </row>
    <row r="549" spans="1:19" ht="14.25" customHeight="1">
      <c r="A549" s="3" t="s">
        <v>580</v>
      </c>
      <c r="B549" s="3" t="s">
        <v>26</v>
      </c>
      <c r="C549" s="3" t="s">
        <v>21</v>
      </c>
      <c r="D549" s="4">
        <v>45943</v>
      </c>
      <c r="E549" s="4">
        <v>45948</v>
      </c>
      <c r="F549" s="4">
        <v>45952</v>
      </c>
      <c r="G549" s="4">
        <v>45959</v>
      </c>
      <c r="H549" s="3" t="s">
        <v>22</v>
      </c>
      <c r="J549" s="4">
        <v>45977</v>
      </c>
      <c r="K549" s="3">
        <v>5</v>
      </c>
      <c r="L549" s="3">
        <v>4</v>
      </c>
      <c r="M549" s="3">
        <v>7</v>
      </c>
      <c r="N549" s="3">
        <v>4</v>
      </c>
      <c r="O549">
        <v>1</v>
      </c>
      <c r="P549">
        <f t="shared" si="24"/>
        <v>1</v>
      </c>
      <c r="Q549">
        <f t="shared" si="25"/>
        <v>1</v>
      </c>
      <c r="R549">
        <f t="shared" si="26"/>
        <v>1</v>
      </c>
      <c r="S549" s="10" t="str" cm="1">
        <f t="array" ref="S549">_xlfn.IFS(N549="", "", N549&gt;=9,"Promoter", N549&gt;=7,"Passive", N549&lt;=6,"Detractor")</f>
        <v>Detractor</v>
      </c>
    </row>
    <row r="550" spans="1:19" ht="14.25" customHeight="1">
      <c r="A550" s="3" t="s">
        <v>581</v>
      </c>
      <c r="B550" s="3" t="s">
        <v>26</v>
      </c>
      <c r="C550" s="3" t="s">
        <v>21</v>
      </c>
      <c r="D550" s="4">
        <v>45961</v>
      </c>
      <c r="E550" s="4">
        <v>45966</v>
      </c>
      <c r="F550" s="4">
        <v>45967</v>
      </c>
      <c r="G550" s="4">
        <v>45974</v>
      </c>
      <c r="H550" s="3" t="s">
        <v>22</v>
      </c>
      <c r="J550" s="4">
        <v>46003</v>
      </c>
      <c r="K550" s="3">
        <v>5</v>
      </c>
      <c r="L550" s="3">
        <v>1</v>
      </c>
      <c r="M550" s="3">
        <v>7</v>
      </c>
      <c r="N550" s="3">
        <v>6</v>
      </c>
      <c r="O550">
        <v>1</v>
      </c>
      <c r="P550">
        <f t="shared" si="24"/>
        <v>1</v>
      </c>
      <c r="Q550">
        <f t="shared" si="25"/>
        <v>1</v>
      </c>
      <c r="R550">
        <f t="shared" si="26"/>
        <v>1</v>
      </c>
      <c r="S550" s="10" t="str" cm="1">
        <f t="array" ref="S550">_xlfn.IFS(N550="", "", N550&gt;=9,"Promoter", N550&gt;=7,"Passive", N550&lt;=6,"Detractor")</f>
        <v>Detractor</v>
      </c>
    </row>
    <row r="551" spans="1:19" ht="14.25" customHeight="1">
      <c r="A551" s="3" t="s">
        <v>582</v>
      </c>
      <c r="B551" s="3" t="s">
        <v>26</v>
      </c>
      <c r="C551" s="3" t="s">
        <v>21</v>
      </c>
      <c r="D551" s="4">
        <v>45941</v>
      </c>
      <c r="E551" s="4">
        <v>45946</v>
      </c>
      <c r="F551" s="4">
        <v>45951</v>
      </c>
      <c r="G551" s="4">
        <v>45953</v>
      </c>
      <c r="H551" s="3" t="s">
        <v>22</v>
      </c>
      <c r="J551" s="4">
        <v>45972</v>
      </c>
      <c r="K551" s="3">
        <v>5</v>
      </c>
      <c r="L551" s="3">
        <v>5</v>
      </c>
      <c r="M551" s="3">
        <v>2</v>
      </c>
      <c r="N551" s="3">
        <v>5</v>
      </c>
      <c r="O551">
        <v>1</v>
      </c>
      <c r="P551">
        <f t="shared" si="24"/>
        <v>1</v>
      </c>
      <c r="Q551">
        <f t="shared" si="25"/>
        <v>1</v>
      </c>
      <c r="R551">
        <f t="shared" si="26"/>
        <v>1</v>
      </c>
      <c r="S551" s="10" t="str" cm="1">
        <f t="array" ref="S551">_xlfn.IFS(N551="", "", N551&gt;=9,"Promoter", N551&gt;=7,"Passive", N551&lt;=6,"Detractor")</f>
        <v>Detractor</v>
      </c>
    </row>
    <row r="552" spans="1:19" ht="14.25" customHeight="1">
      <c r="A552" s="3" t="s">
        <v>583</v>
      </c>
      <c r="B552" s="3" t="s">
        <v>37</v>
      </c>
      <c r="C552" s="3" t="s">
        <v>21</v>
      </c>
      <c r="D552" s="4">
        <v>45951</v>
      </c>
      <c r="E552" s="4">
        <v>45952</v>
      </c>
      <c r="F552" s="4">
        <v>45954</v>
      </c>
      <c r="G552" s="4">
        <v>45958</v>
      </c>
      <c r="H552" s="3" t="s">
        <v>22</v>
      </c>
      <c r="J552" s="4">
        <v>45988</v>
      </c>
      <c r="K552" s="3">
        <v>1</v>
      </c>
      <c r="L552" s="3">
        <v>2</v>
      </c>
      <c r="M552" s="3">
        <v>4</v>
      </c>
      <c r="N552" s="3">
        <v>3</v>
      </c>
      <c r="O552">
        <v>1</v>
      </c>
      <c r="P552">
        <f t="shared" si="24"/>
        <v>1</v>
      </c>
      <c r="Q552">
        <f t="shared" si="25"/>
        <v>1</v>
      </c>
      <c r="R552">
        <f t="shared" si="26"/>
        <v>1</v>
      </c>
      <c r="S552" s="10" t="str" cm="1">
        <f t="array" ref="S552">_xlfn.IFS(N552="", "", N552&gt;=9,"Promoter", N552&gt;=7,"Passive", N552&lt;=6,"Detractor")</f>
        <v>Detractor</v>
      </c>
    </row>
    <row r="553" spans="1:19" ht="14.25" customHeight="1">
      <c r="A553" s="3" t="s">
        <v>584</v>
      </c>
      <c r="B553" s="3" t="s">
        <v>37</v>
      </c>
      <c r="C553" s="3" t="s">
        <v>35</v>
      </c>
      <c r="D553" s="4">
        <v>45953</v>
      </c>
      <c r="E553" s="4">
        <v>45957</v>
      </c>
      <c r="F553" s="4">
        <v>45959</v>
      </c>
      <c r="G553" s="4">
        <v>45966</v>
      </c>
      <c r="H553" s="3" t="s">
        <v>22</v>
      </c>
      <c r="J553" s="4">
        <v>45984</v>
      </c>
      <c r="K553" s="3">
        <v>4</v>
      </c>
      <c r="L553" s="3">
        <v>2</v>
      </c>
      <c r="M553" s="3">
        <v>7</v>
      </c>
      <c r="N553" s="3">
        <v>3</v>
      </c>
      <c r="O553">
        <v>1</v>
      </c>
      <c r="P553">
        <f t="shared" si="24"/>
        <v>1</v>
      </c>
      <c r="Q553">
        <f t="shared" si="25"/>
        <v>1</v>
      </c>
      <c r="R553">
        <f t="shared" si="26"/>
        <v>1</v>
      </c>
      <c r="S553" s="10" t="str" cm="1">
        <f t="array" ref="S553">_xlfn.IFS(N553="", "", N553&gt;=9,"Promoter", N553&gt;=7,"Passive", N553&lt;=6,"Detractor")</f>
        <v>Detractor</v>
      </c>
    </row>
    <row r="554" spans="1:19" ht="14.25" customHeight="1">
      <c r="A554" s="3" t="s">
        <v>585</v>
      </c>
      <c r="B554" s="3" t="s">
        <v>24</v>
      </c>
      <c r="C554" s="3" t="s">
        <v>21</v>
      </c>
      <c r="D554" s="4">
        <v>45959</v>
      </c>
      <c r="E554" s="4">
        <v>45963</v>
      </c>
      <c r="F554" s="4">
        <v>45964</v>
      </c>
      <c r="G554" s="4">
        <v>45969</v>
      </c>
      <c r="H554" s="3" t="s">
        <v>22</v>
      </c>
      <c r="J554" s="4">
        <v>45992</v>
      </c>
      <c r="K554" s="3">
        <v>4</v>
      </c>
      <c r="L554" s="3">
        <v>1</v>
      </c>
      <c r="M554" s="3">
        <v>5</v>
      </c>
      <c r="N554" s="3">
        <v>9</v>
      </c>
      <c r="O554">
        <v>1</v>
      </c>
      <c r="P554">
        <f t="shared" si="24"/>
        <v>1</v>
      </c>
      <c r="Q554">
        <f t="shared" si="25"/>
        <v>1</v>
      </c>
      <c r="R554">
        <f t="shared" si="26"/>
        <v>1</v>
      </c>
      <c r="S554" s="10" t="str" cm="1">
        <f t="array" ref="S554">_xlfn.IFS(N554="", "", N554&gt;=9,"Promoter", N554&gt;=7,"Passive", N554&lt;=6,"Detractor")</f>
        <v>Promoter</v>
      </c>
    </row>
    <row r="555" spans="1:19" ht="14.25" customHeight="1">
      <c r="A555" s="3" t="s">
        <v>586</v>
      </c>
      <c r="B555" s="3" t="s">
        <v>26</v>
      </c>
      <c r="C555" s="3" t="s">
        <v>27</v>
      </c>
      <c r="D555" s="4">
        <v>45955</v>
      </c>
      <c r="H555" s="3" t="s">
        <v>28</v>
      </c>
      <c r="I555" s="3" t="s">
        <v>68</v>
      </c>
      <c r="O555">
        <v>1</v>
      </c>
      <c r="P555">
        <f t="shared" si="24"/>
        <v>0</v>
      </c>
      <c r="Q555">
        <f t="shared" si="25"/>
        <v>0</v>
      </c>
      <c r="R555">
        <f t="shared" si="26"/>
        <v>0</v>
      </c>
      <c r="S555" s="10" t="str" cm="1">
        <f t="array" ref="S555">_xlfn.IFS(N555="", "", N555&gt;=9,"Promoter", N555&gt;=7,"Passive", N555&lt;=6,"Detractor")</f>
        <v/>
      </c>
    </row>
    <row r="556" spans="1:19" ht="14.25" customHeight="1">
      <c r="A556" s="3" t="s">
        <v>587</v>
      </c>
      <c r="B556" s="3" t="s">
        <v>26</v>
      </c>
      <c r="C556" s="3" t="s">
        <v>21</v>
      </c>
      <c r="D556" s="4">
        <v>45946</v>
      </c>
      <c r="E556" s="4">
        <v>45947</v>
      </c>
      <c r="F556" s="4">
        <v>45950</v>
      </c>
      <c r="G556" s="4">
        <v>45957</v>
      </c>
      <c r="H556" s="3" t="s">
        <v>22</v>
      </c>
      <c r="J556" s="4">
        <v>45979</v>
      </c>
      <c r="K556" s="3">
        <v>1</v>
      </c>
      <c r="L556" s="3">
        <v>3</v>
      </c>
      <c r="M556" s="3">
        <v>7</v>
      </c>
      <c r="N556" s="3">
        <v>2</v>
      </c>
      <c r="O556">
        <v>1</v>
      </c>
      <c r="P556">
        <f t="shared" si="24"/>
        <v>1</v>
      </c>
      <c r="Q556">
        <f t="shared" si="25"/>
        <v>1</v>
      </c>
      <c r="R556">
        <f t="shared" si="26"/>
        <v>1</v>
      </c>
      <c r="S556" s="10" t="str" cm="1">
        <f t="array" ref="S556">_xlfn.IFS(N556="", "", N556&gt;=9,"Promoter", N556&gt;=7,"Passive", N556&lt;=6,"Detractor")</f>
        <v>Detractor</v>
      </c>
    </row>
    <row r="557" spans="1:19" ht="14.25" customHeight="1">
      <c r="A557" s="3" t="s">
        <v>588</v>
      </c>
      <c r="B557" s="3" t="s">
        <v>20</v>
      </c>
      <c r="C557" s="3" t="s">
        <v>21</v>
      </c>
      <c r="D557" s="4">
        <v>45958</v>
      </c>
      <c r="E557" s="4">
        <v>45962</v>
      </c>
      <c r="F557" s="4">
        <v>45967</v>
      </c>
      <c r="G557" s="4">
        <v>45970</v>
      </c>
      <c r="H557" s="3" t="s">
        <v>22</v>
      </c>
      <c r="J557" s="4">
        <v>45991</v>
      </c>
      <c r="K557" s="3">
        <v>4</v>
      </c>
      <c r="L557" s="3">
        <v>5</v>
      </c>
      <c r="M557" s="3">
        <v>3</v>
      </c>
      <c r="N557" s="3">
        <v>8</v>
      </c>
      <c r="O557">
        <v>1</v>
      </c>
      <c r="P557">
        <f t="shared" si="24"/>
        <v>1</v>
      </c>
      <c r="Q557">
        <f t="shared" si="25"/>
        <v>1</v>
      </c>
      <c r="R557">
        <f t="shared" si="26"/>
        <v>1</v>
      </c>
      <c r="S557" s="10" t="str" cm="1">
        <f t="array" ref="S557">_xlfn.IFS(N557="", "", N557&gt;=9,"Promoter", N557&gt;=7,"Passive", N557&lt;=6,"Detractor")</f>
        <v>Passive</v>
      </c>
    </row>
    <row r="558" spans="1:19" ht="14.25" customHeight="1">
      <c r="A558" s="3" t="s">
        <v>589</v>
      </c>
      <c r="B558" s="3" t="s">
        <v>37</v>
      </c>
      <c r="C558" s="3" t="s">
        <v>35</v>
      </c>
      <c r="D558" s="4">
        <v>45948</v>
      </c>
      <c r="E558" s="4">
        <v>45951</v>
      </c>
      <c r="F558" s="4">
        <v>45956</v>
      </c>
      <c r="G558" s="4">
        <v>45958</v>
      </c>
      <c r="H558" s="3" t="s">
        <v>22</v>
      </c>
      <c r="J558" s="4">
        <v>45982</v>
      </c>
      <c r="K558" s="3">
        <v>3</v>
      </c>
      <c r="L558" s="3">
        <v>5</v>
      </c>
      <c r="M558" s="3">
        <v>2</v>
      </c>
      <c r="N558" s="3">
        <v>1</v>
      </c>
      <c r="O558">
        <v>1</v>
      </c>
      <c r="P558">
        <f t="shared" si="24"/>
        <v>1</v>
      </c>
      <c r="Q558">
        <f t="shared" si="25"/>
        <v>1</v>
      </c>
      <c r="R558">
        <f t="shared" si="26"/>
        <v>1</v>
      </c>
      <c r="S558" s="10" t="str" cm="1">
        <f t="array" ref="S558">_xlfn.IFS(N558="", "", N558&gt;=9,"Promoter", N558&gt;=7,"Passive", N558&lt;=6,"Detractor")</f>
        <v>Detractor</v>
      </c>
    </row>
    <row r="559" spans="1:19" ht="14.25" customHeight="1">
      <c r="A559" s="3" t="s">
        <v>590</v>
      </c>
      <c r="B559" s="3" t="s">
        <v>26</v>
      </c>
      <c r="C559" s="3" t="s">
        <v>21</v>
      </c>
      <c r="D559" s="4">
        <v>45932</v>
      </c>
      <c r="E559" s="4">
        <v>45935</v>
      </c>
      <c r="F559" s="4">
        <v>45940</v>
      </c>
      <c r="G559" s="4">
        <v>45943</v>
      </c>
      <c r="H559" s="3" t="s">
        <v>22</v>
      </c>
      <c r="J559" s="4">
        <v>45961</v>
      </c>
      <c r="K559" s="3">
        <v>3</v>
      </c>
      <c r="L559" s="3">
        <v>5</v>
      </c>
      <c r="M559" s="3">
        <v>3</v>
      </c>
      <c r="N559" s="3">
        <v>2</v>
      </c>
      <c r="O559">
        <v>1</v>
      </c>
      <c r="P559">
        <f t="shared" si="24"/>
        <v>1</v>
      </c>
      <c r="Q559">
        <f t="shared" si="25"/>
        <v>1</v>
      </c>
      <c r="R559">
        <f t="shared" si="26"/>
        <v>1</v>
      </c>
      <c r="S559" s="10" t="str" cm="1">
        <f t="array" ref="S559">_xlfn.IFS(N559="", "", N559&gt;=9,"Promoter", N559&gt;=7,"Passive", N559&lt;=6,"Detractor")</f>
        <v>Detractor</v>
      </c>
    </row>
    <row r="560" spans="1:19" ht="14.25" customHeight="1">
      <c r="A560" s="3" t="s">
        <v>591</v>
      </c>
      <c r="B560" s="3" t="s">
        <v>24</v>
      </c>
      <c r="C560" s="3" t="s">
        <v>21</v>
      </c>
      <c r="D560" s="4">
        <v>45950</v>
      </c>
      <c r="E560" s="4">
        <v>45951</v>
      </c>
      <c r="F560" s="4">
        <v>45955</v>
      </c>
      <c r="G560" s="4">
        <v>45957</v>
      </c>
      <c r="H560" s="3" t="s">
        <v>22</v>
      </c>
      <c r="J560" s="4">
        <v>45973</v>
      </c>
      <c r="K560" s="3">
        <v>1</v>
      </c>
      <c r="L560" s="3">
        <v>4</v>
      </c>
      <c r="M560" s="3">
        <v>2</v>
      </c>
      <c r="N560" s="3">
        <v>6</v>
      </c>
      <c r="O560">
        <v>1</v>
      </c>
      <c r="P560">
        <f t="shared" si="24"/>
        <v>1</v>
      </c>
      <c r="Q560">
        <f t="shared" si="25"/>
        <v>1</v>
      </c>
      <c r="R560">
        <f t="shared" si="26"/>
        <v>1</v>
      </c>
      <c r="S560" s="10" t="str" cm="1">
        <f t="array" ref="S560">_xlfn.IFS(N560="", "", N560&gt;=9,"Promoter", N560&gt;=7,"Passive", N560&lt;=6,"Detractor")</f>
        <v>Detractor</v>
      </c>
    </row>
    <row r="561" spans="1:19" ht="14.25" customHeight="1">
      <c r="A561" s="3" t="s">
        <v>592</v>
      </c>
      <c r="B561" s="3" t="s">
        <v>24</v>
      </c>
      <c r="C561" s="3" t="s">
        <v>27</v>
      </c>
      <c r="D561" s="4">
        <v>45933</v>
      </c>
      <c r="H561" s="3" t="s">
        <v>28</v>
      </c>
      <c r="I561" s="3" t="s">
        <v>31</v>
      </c>
      <c r="O561">
        <v>1</v>
      </c>
      <c r="P561">
        <f t="shared" si="24"/>
        <v>0</v>
      </c>
      <c r="Q561">
        <f t="shared" si="25"/>
        <v>0</v>
      </c>
      <c r="R561">
        <f t="shared" si="26"/>
        <v>0</v>
      </c>
      <c r="S561" s="10" t="str" cm="1">
        <f t="array" ref="S561">_xlfn.IFS(N561="", "", N561&gt;=9,"Promoter", N561&gt;=7,"Passive", N561&lt;=6,"Detractor")</f>
        <v/>
      </c>
    </row>
    <row r="562" spans="1:19" ht="14.25" customHeight="1">
      <c r="A562" s="3" t="s">
        <v>593</v>
      </c>
      <c r="B562" s="3" t="s">
        <v>37</v>
      </c>
      <c r="C562" s="3" t="s">
        <v>21</v>
      </c>
      <c r="D562" s="4">
        <v>45938</v>
      </c>
      <c r="E562" s="4">
        <v>45941</v>
      </c>
      <c r="F562" s="4">
        <v>45944</v>
      </c>
      <c r="G562" s="4">
        <v>45949</v>
      </c>
      <c r="H562" s="3" t="s">
        <v>22</v>
      </c>
      <c r="J562" s="4">
        <v>45973</v>
      </c>
      <c r="K562" s="3">
        <v>3</v>
      </c>
      <c r="L562" s="3">
        <v>3</v>
      </c>
      <c r="M562" s="3">
        <v>5</v>
      </c>
      <c r="N562" s="3">
        <v>6</v>
      </c>
      <c r="O562">
        <v>1</v>
      </c>
      <c r="P562">
        <f t="shared" si="24"/>
        <v>1</v>
      </c>
      <c r="Q562">
        <f t="shared" si="25"/>
        <v>1</v>
      </c>
      <c r="R562">
        <f t="shared" si="26"/>
        <v>1</v>
      </c>
      <c r="S562" s="10" t="str" cm="1">
        <f t="array" ref="S562">_xlfn.IFS(N562="", "", N562&gt;=9,"Promoter", N562&gt;=7,"Passive", N562&lt;=6,"Detractor")</f>
        <v>Detractor</v>
      </c>
    </row>
    <row r="563" spans="1:19" ht="14.25" customHeight="1">
      <c r="A563" s="3" t="s">
        <v>594</v>
      </c>
      <c r="B563" s="3" t="s">
        <v>24</v>
      </c>
      <c r="C563" s="3" t="s">
        <v>27</v>
      </c>
      <c r="D563" s="4">
        <v>45951</v>
      </c>
      <c r="H563" s="3" t="s">
        <v>28</v>
      </c>
      <c r="I563" s="3" t="s">
        <v>106</v>
      </c>
      <c r="O563">
        <v>1</v>
      </c>
      <c r="P563">
        <f t="shared" si="24"/>
        <v>0</v>
      </c>
      <c r="Q563">
        <f t="shared" si="25"/>
        <v>0</v>
      </c>
      <c r="R563">
        <f t="shared" si="26"/>
        <v>0</v>
      </c>
      <c r="S563" s="10" t="str" cm="1">
        <f t="array" ref="S563">_xlfn.IFS(N563="", "", N563&gt;=9,"Promoter", N563&gt;=7,"Passive", N563&lt;=6,"Detractor")</f>
        <v/>
      </c>
    </row>
    <row r="564" spans="1:19" ht="14.25" customHeight="1">
      <c r="A564" s="3" t="s">
        <v>595</v>
      </c>
      <c r="B564" s="3" t="s">
        <v>24</v>
      </c>
      <c r="C564" s="3" t="s">
        <v>21</v>
      </c>
      <c r="D564" s="4">
        <v>45952</v>
      </c>
      <c r="E564" s="4">
        <v>45953</v>
      </c>
      <c r="F564" s="4">
        <v>45955</v>
      </c>
      <c r="G564" s="4">
        <v>45957</v>
      </c>
      <c r="H564" s="3" t="s">
        <v>22</v>
      </c>
      <c r="J564" s="4">
        <v>45976</v>
      </c>
      <c r="K564" s="3">
        <v>1</v>
      </c>
      <c r="L564" s="3">
        <v>2</v>
      </c>
      <c r="M564" s="3">
        <v>2</v>
      </c>
      <c r="N564" s="3">
        <v>1</v>
      </c>
      <c r="O564">
        <v>1</v>
      </c>
      <c r="P564">
        <f t="shared" si="24"/>
        <v>1</v>
      </c>
      <c r="Q564">
        <f t="shared" si="25"/>
        <v>1</v>
      </c>
      <c r="R564">
        <f t="shared" si="26"/>
        <v>1</v>
      </c>
      <c r="S564" s="10" t="str" cm="1">
        <f t="array" ref="S564">_xlfn.IFS(N564="", "", N564&gt;=9,"Promoter", N564&gt;=7,"Passive", N564&lt;=6,"Detractor")</f>
        <v>Detractor</v>
      </c>
    </row>
    <row r="565" spans="1:19" ht="14.25" customHeight="1">
      <c r="A565" s="3" t="s">
        <v>596</v>
      </c>
      <c r="B565" s="3" t="s">
        <v>37</v>
      </c>
      <c r="C565" s="3" t="s">
        <v>35</v>
      </c>
      <c r="D565" s="4">
        <v>45960</v>
      </c>
      <c r="E565" s="4">
        <v>45963</v>
      </c>
      <c r="F565" s="4">
        <v>45965</v>
      </c>
      <c r="G565" s="4">
        <v>45970</v>
      </c>
      <c r="H565" s="3" t="s">
        <v>22</v>
      </c>
      <c r="J565" s="4">
        <v>45996</v>
      </c>
      <c r="K565" s="3">
        <v>3</v>
      </c>
      <c r="L565" s="3">
        <v>2</v>
      </c>
      <c r="M565" s="3">
        <v>5</v>
      </c>
      <c r="N565" s="3">
        <v>3</v>
      </c>
      <c r="O565">
        <v>1</v>
      </c>
      <c r="P565">
        <f t="shared" si="24"/>
        <v>1</v>
      </c>
      <c r="Q565">
        <f t="shared" si="25"/>
        <v>1</v>
      </c>
      <c r="R565">
        <f t="shared" si="26"/>
        <v>1</v>
      </c>
      <c r="S565" s="10" t="str" cm="1">
        <f t="array" ref="S565">_xlfn.IFS(N565="", "", N565&gt;=9,"Promoter", N565&gt;=7,"Passive", N565&lt;=6,"Detractor")</f>
        <v>Detractor</v>
      </c>
    </row>
    <row r="566" spans="1:19" ht="14.25" customHeight="1">
      <c r="A566" s="3" t="s">
        <v>597</v>
      </c>
      <c r="B566" s="3" t="s">
        <v>26</v>
      </c>
      <c r="C566" s="3" t="s">
        <v>21</v>
      </c>
      <c r="D566" s="4">
        <v>45940</v>
      </c>
      <c r="E566" s="4">
        <v>45942</v>
      </c>
      <c r="F566" s="4">
        <v>45945</v>
      </c>
      <c r="G566" s="4">
        <v>45951</v>
      </c>
      <c r="H566" s="3" t="s">
        <v>22</v>
      </c>
      <c r="J566" s="4">
        <v>45980</v>
      </c>
      <c r="K566" s="3">
        <v>2</v>
      </c>
      <c r="L566" s="3">
        <v>3</v>
      </c>
      <c r="M566" s="3">
        <v>6</v>
      </c>
      <c r="N566" s="3">
        <v>4</v>
      </c>
      <c r="O566">
        <v>1</v>
      </c>
      <c r="P566">
        <f t="shared" si="24"/>
        <v>1</v>
      </c>
      <c r="Q566">
        <f t="shared" si="25"/>
        <v>1</v>
      </c>
      <c r="R566">
        <f t="shared" si="26"/>
        <v>1</v>
      </c>
      <c r="S566" s="10" t="str" cm="1">
        <f t="array" ref="S566">_xlfn.IFS(N566="", "", N566&gt;=9,"Promoter", N566&gt;=7,"Passive", N566&lt;=6,"Detractor")</f>
        <v>Detractor</v>
      </c>
    </row>
    <row r="567" spans="1:19" ht="14.25" customHeight="1">
      <c r="A567" s="3" t="s">
        <v>598</v>
      </c>
      <c r="B567" s="3" t="s">
        <v>26</v>
      </c>
      <c r="C567" s="3" t="s">
        <v>35</v>
      </c>
      <c r="D567" s="4">
        <v>45938</v>
      </c>
      <c r="E567" s="4">
        <v>45939</v>
      </c>
      <c r="F567" s="4">
        <v>45941</v>
      </c>
      <c r="G567" s="4">
        <v>45947</v>
      </c>
      <c r="H567" s="3" t="s">
        <v>22</v>
      </c>
      <c r="J567" s="4">
        <v>45969</v>
      </c>
      <c r="K567" s="3">
        <v>1</v>
      </c>
      <c r="L567" s="3">
        <v>2</v>
      </c>
      <c r="M567" s="3">
        <v>6</v>
      </c>
      <c r="N567" s="3">
        <v>5</v>
      </c>
      <c r="O567">
        <v>1</v>
      </c>
      <c r="P567">
        <f t="shared" si="24"/>
        <v>1</v>
      </c>
      <c r="Q567">
        <f t="shared" si="25"/>
        <v>1</v>
      </c>
      <c r="R567">
        <f t="shared" si="26"/>
        <v>1</v>
      </c>
      <c r="S567" s="10" t="str" cm="1">
        <f t="array" ref="S567">_xlfn.IFS(N567="", "", N567&gt;=9,"Promoter", N567&gt;=7,"Passive", N567&lt;=6,"Detractor")</f>
        <v>Detractor</v>
      </c>
    </row>
    <row r="568" spans="1:19" ht="14.25" customHeight="1">
      <c r="A568" s="3" t="s">
        <v>599</v>
      </c>
      <c r="B568" s="3" t="s">
        <v>24</v>
      </c>
      <c r="C568" s="3" t="s">
        <v>35</v>
      </c>
      <c r="D568" s="4">
        <v>45954</v>
      </c>
      <c r="E568" s="4">
        <v>45959</v>
      </c>
      <c r="F568" s="4">
        <v>45963</v>
      </c>
      <c r="G568" s="4">
        <v>45965</v>
      </c>
      <c r="H568" s="3" t="s">
        <v>22</v>
      </c>
      <c r="J568" s="4">
        <v>45993</v>
      </c>
      <c r="K568" s="3">
        <v>5</v>
      </c>
      <c r="L568" s="3">
        <v>4</v>
      </c>
      <c r="M568" s="3">
        <v>2</v>
      </c>
      <c r="N568" s="3">
        <v>3</v>
      </c>
      <c r="O568">
        <v>1</v>
      </c>
      <c r="P568">
        <f t="shared" si="24"/>
        <v>1</v>
      </c>
      <c r="Q568">
        <f t="shared" si="25"/>
        <v>1</v>
      </c>
      <c r="R568">
        <f t="shared" si="26"/>
        <v>1</v>
      </c>
      <c r="S568" s="10" t="str" cm="1">
        <f t="array" ref="S568">_xlfn.IFS(N568="", "", N568&gt;=9,"Promoter", N568&gt;=7,"Passive", N568&lt;=6,"Detractor")</f>
        <v>Detractor</v>
      </c>
    </row>
    <row r="569" spans="1:19" ht="14.25" customHeight="1">
      <c r="A569" s="3" t="s">
        <v>600</v>
      </c>
      <c r="B569" s="3" t="s">
        <v>24</v>
      </c>
      <c r="C569" s="3" t="s">
        <v>27</v>
      </c>
      <c r="D569" s="4">
        <v>45933</v>
      </c>
      <c r="H569" s="3" t="s">
        <v>28</v>
      </c>
      <c r="I569" s="3" t="s">
        <v>106</v>
      </c>
      <c r="O569">
        <v>1</v>
      </c>
      <c r="P569">
        <f t="shared" si="24"/>
        <v>0</v>
      </c>
      <c r="Q569">
        <f t="shared" si="25"/>
        <v>0</v>
      </c>
      <c r="R569">
        <f t="shared" si="26"/>
        <v>0</v>
      </c>
      <c r="S569" s="10" t="str" cm="1">
        <f t="array" ref="S569">_xlfn.IFS(N569="", "", N569&gt;=9,"Promoter", N569&gt;=7,"Passive", N569&lt;=6,"Detractor")</f>
        <v/>
      </c>
    </row>
    <row r="570" spans="1:19" ht="14.25" customHeight="1">
      <c r="A570" s="3" t="s">
        <v>601</v>
      </c>
      <c r="B570" s="3" t="s">
        <v>26</v>
      </c>
      <c r="C570" s="3" t="s">
        <v>21</v>
      </c>
      <c r="D570" s="4">
        <v>45944</v>
      </c>
      <c r="E570" s="4">
        <v>45947</v>
      </c>
      <c r="F570" s="4">
        <v>45952</v>
      </c>
      <c r="G570" s="4">
        <v>45956</v>
      </c>
      <c r="H570" s="3" t="s">
        <v>22</v>
      </c>
      <c r="J570" s="4">
        <v>45969</v>
      </c>
      <c r="K570" s="3">
        <v>3</v>
      </c>
      <c r="L570" s="3">
        <v>5</v>
      </c>
      <c r="M570" s="3">
        <v>4</v>
      </c>
      <c r="N570" s="3">
        <v>9</v>
      </c>
      <c r="O570">
        <v>1</v>
      </c>
      <c r="P570">
        <f t="shared" si="24"/>
        <v>1</v>
      </c>
      <c r="Q570">
        <f t="shared" si="25"/>
        <v>1</v>
      </c>
      <c r="R570">
        <f t="shared" si="26"/>
        <v>1</v>
      </c>
      <c r="S570" s="10" t="str" cm="1">
        <f t="array" ref="S570">_xlfn.IFS(N570="", "", N570&gt;=9,"Promoter", N570&gt;=7,"Passive", N570&lt;=6,"Detractor")</f>
        <v>Promoter</v>
      </c>
    </row>
    <row r="571" spans="1:19" ht="14.25" customHeight="1">
      <c r="A571" s="3" t="s">
        <v>602</v>
      </c>
      <c r="B571" s="3" t="s">
        <v>37</v>
      </c>
      <c r="C571" s="3" t="s">
        <v>21</v>
      </c>
      <c r="D571" s="4">
        <v>45934</v>
      </c>
      <c r="E571" s="4">
        <v>45936</v>
      </c>
      <c r="F571" s="4">
        <v>45938</v>
      </c>
      <c r="G571" s="4">
        <v>45945</v>
      </c>
      <c r="H571" s="3" t="s">
        <v>22</v>
      </c>
      <c r="J571" s="4">
        <v>45955</v>
      </c>
      <c r="K571" s="3">
        <v>2</v>
      </c>
      <c r="L571" s="3">
        <v>2</v>
      </c>
      <c r="M571" s="3">
        <v>7</v>
      </c>
      <c r="N571" s="3">
        <v>4</v>
      </c>
      <c r="O571">
        <v>1</v>
      </c>
      <c r="P571">
        <f t="shared" si="24"/>
        <v>1</v>
      </c>
      <c r="Q571">
        <f t="shared" si="25"/>
        <v>1</v>
      </c>
      <c r="R571">
        <f t="shared" si="26"/>
        <v>1</v>
      </c>
      <c r="S571" s="10" t="str" cm="1">
        <f t="array" ref="S571">_xlfn.IFS(N571="", "", N571&gt;=9,"Promoter", N571&gt;=7,"Passive", N571&lt;=6,"Detractor")</f>
        <v>Detractor</v>
      </c>
    </row>
    <row r="572" spans="1:19" ht="14.25" customHeight="1">
      <c r="A572" s="3" t="s">
        <v>603</v>
      </c>
      <c r="B572" s="3" t="s">
        <v>24</v>
      </c>
      <c r="C572" s="3" t="s">
        <v>35</v>
      </c>
      <c r="D572" s="4">
        <v>45955</v>
      </c>
      <c r="E572" s="4">
        <v>45956</v>
      </c>
      <c r="F572" s="4">
        <v>45960</v>
      </c>
      <c r="G572" s="4">
        <v>45967</v>
      </c>
      <c r="H572" s="3" t="s">
        <v>22</v>
      </c>
      <c r="J572" s="4">
        <v>45993</v>
      </c>
      <c r="K572" s="3">
        <v>1</v>
      </c>
      <c r="L572" s="3">
        <v>4</v>
      </c>
      <c r="M572" s="3">
        <v>7</v>
      </c>
      <c r="N572" s="3">
        <v>9</v>
      </c>
      <c r="O572">
        <v>1</v>
      </c>
      <c r="P572">
        <f t="shared" si="24"/>
        <v>1</v>
      </c>
      <c r="Q572">
        <f t="shared" si="25"/>
        <v>1</v>
      </c>
      <c r="R572">
        <f t="shared" si="26"/>
        <v>1</v>
      </c>
      <c r="S572" s="10" t="str" cm="1">
        <f t="array" ref="S572">_xlfn.IFS(N572="", "", N572&gt;=9,"Promoter", N572&gt;=7,"Passive", N572&lt;=6,"Detractor")</f>
        <v>Promoter</v>
      </c>
    </row>
    <row r="573" spans="1:19" ht="14.25" customHeight="1">
      <c r="A573" s="3" t="s">
        <v>604</v>
      </c>
      <c r="B573" s="3" t="s">
        <v>20</v>
      </c>
      <c r="C573" s="3" t="s">
        <v>21</v>
      </c>
      <c r="D573" s="4">
        <v>45951</v>
      </c>
      <c r="E573" s="4">
        <v>45954</v>
      </c>
      <c r="F573" s="4">
        <v>45959</v>
      </c>
      <c r="G573" s="4">
        <v>45966</v>
      </c>
      <c r="H573" s="3" t="s">
        <v>22</v>
      </c>
      <c r="J573" s="4">
        <v>45987</v>
      </c>
      <c r="K573" s="3">
        <v>3</v>
      </c>
      <c r="L573" s="3">
        <v>5</v>
      </c>
      <c r="M573" s="3">
        <v>7</v>
      </c>
      <c r="N573" s="3">
        <v>2</v>
      </c>
      <c r="O573">
        <v>1</v>
      </c>
      <c r="P573">
        <f t="shared" si="24"/>
        <v>1</v>
      </c>
      <c r="Q573">
        <f t="shared" si="25"/>
        <v>1</v>
      </c>
      <c r="R573">
        <f t="shared" si="26"/>
        <v>1</v>
      </c>
      <c r="S573" s="10" t="str" cm="1">
        <f t="array" ref="S573">_xlfn.IFS(N573="", "", N573&gt;=9,"Promoter", N573&gt;=7,"Passive", N573&lt;=6,"Detractor")</f>
        <v>Detractor</v>
      </c>
    </row>
    <row r="574" spans="1:19" ht="14.25" customHeight="1">
      <c r="A574" s="3" t="s">
        <v>605</v>
      </c>
      <c r="B574" s="3" t="s">
        <v>37</v>
      </c>
      <c r="C574" s="3" t="s">
        <v>35</v>
      </c>
      <c r="D574" s="4">
        <v>45953</v>
      </c>
      <c r="E574" s="4">
        <v>45958</v>
      </c>
      <c r="F574" s="4">
        <v>45961</v>
      </c>
      <c r="G574" s="4">
        <v>45968</v>
      </c>
      <c r="H574" s="3" t="s">
        <v>22</v>
      </c>
      <c r="J574" s="4">
        <v>45995</v>
      </c>
      <c r="K574" s="3">
        <v>5</v>
      </c>
      <c r="L574" s="3">
        <v>3</v>
      </c>
      <c r="M574" s="3">
        <v>7</v>
      </c>
      <c r="N574" s="3">
        <v>1</v>
      </c>
      <c r="O574">
        <v>1</v>
      </c>
      <c r="P574">
        <f t="shared" si="24"/>
        <v>1</v>
      </c>
      <c r="Q574">
        <f t="shared" si="25"/>
        <v>1</v>
      </c>
      <c r="R574">
        <f t="shared" si="26"/>
        <v>1</v>
      </c>
      <c r="S574" s="10" t="str" cm="1">
        <f t="array" ref="S574">_xlfn.IFS(N574="", "", N574&gt;=9,"Promoter", N574&gt;=7,"Passive", N574&lt;=6,"Detractor")</f>
        <v>Detractor</v>
      </c>
    </row>
    <row r="575" spans="1:19" ht="14.25" customHeight="1">
      <c r="A575" s="3" t="s">
        <v>606</v>
      </c>
      <c r="B575" s="3" t="s">
        <v>24</v>
      </c>
      <c r="C575" s="3" t="s">
        <v>35</v>
      </c>
      <c r="D575" s="4">
        <v>45958</v>
      </c>
      <c r="E575" s="4">
        <v>45961</v>
      </c>
      <c r="F575" s="4">
        <v>45964</v>
      </c>
      <c r="G575" s="4">
        <v>45967</v>
      </c>
      <c r="H575" s="3" t="s">
        <v>22</v>
      </c>
      <c r="J575" s="4">
        <v>45997</v>
      </c>
      <c r="K575" s="3">
        <v>3</v>
      </c>
      <c r="L575" s="3">
        <v>3</v>
      </c>
      <c r="M575" s="3">
        <v>3</v>
      </c>
      <c r="N575" s="3">
        <v>7</v>
      </c>
      <c r="O575">
        <v>1</v>
      </c>
      <c r="P575">
        <f t="shared" si="24"/>
        <v>1</v>
      </c>
      <c r="Q575">
        <f t="shared" si="25"/>
        <v>1</v>
      </c>
      <c r="R575">
        <f t="shared" si="26"/>
        <v>1</v>
      </c>
      <c r="S575" s="10" t="str" cm="1">
        <f t="array" ref="S575">_xlfn.IFS(N575="", "", N575&gt;=9,"Promoter", N575&gt;=7,"Passive", N575&lt;=6,"Detractor")</f>
        <v>Passive</v>
      </c>
    </row>
    <row r="576" spans="1:19" ht="14.25" customHeight="1">
      <c r="A576" s="3" t="s">
        <v>607</v>
      </c>
      <c r="B576" s="3" t="s">
        <v>24</v>
      </c>
      <c r="C576" s="3" t="s">
        <v>21</v>
      </c>
      <c r="D576" s="4">
        <v>45934</v>
      </c>
      <c r="E576" s="4">
        <v>45936</v>
      </c>
      <c r="F576" s="4">
        <v>45940</v>
      </c>
      <c r="G576" s="4">
        <v>45942</v>
      </c>
      <c r="H576" s="3" t="s">
        <v>22</v>
      </c>
      <c r="J576" s="4">
        <v>45971</v>
      </c>
      <c r="K576" s="3">
        <v>2</v>
      </c>
      <c r="L576" s="3">
        <v>4</v>
      </c>
      <c r="M576" s="3">
        <v>2</v>
      </c>
      <c r="N576" s="3">
        <v>0</v>
      </c>
      <c r="O576">
        <v>1</v>
      </c>
      <c r="P576">
        <f t="shared" si="24"/>
        <v>1</v>
      </c>
      <c r="Q576">
        <f t="shared" si="25"/>
        <v>1</v>
      </c>
      <c r="R576">
        <f t="shared" si="26"/>
        <v>1</v>
      </c>
      <c r="S576" s="10" t="str" cm="1">
        <f t="array" ref="S576">_xlfn.IFS(N576="", "", N576&gt;=9,"Promoter", N576&gt;=7,"Passive", N576&lt;=6,"Detractor")</f>
        <v>Detractor</v>
      </c>
    </row>
    <row r="577" spans="1:19" ht="14.25" customHeight="1">
      <c r="A577" s="3" t="s">
        <v>608</v>
      </c>
      <c r="B577" s="3" t="s">
        <v>20</v>
      </c>
      <c r="C577" s="3" t="s">
        <v>35</v>
      </c>
      <c r="D577" s="4">
        <v>45945</v>
      </c>
      <c r="E577" s="4">
        <v>45949</v>
      </c>
      <c r="F577" s="4">
        <v>45953</v>
      </c>
      <c r="G577" s="4">
        <v>45955</v>
      </c>
      <c r="H577" s="3" t="s">
        <v>22</v>
      </c>
      <c r="J577" s="4">
        <v>45984</v>
      </c>
      <c r="K577" s="3">
        <v>4</v>
      </c>
      <c r="L577" s="3">
        <v>4</v>
      </c>
      <c r="M577" s="3">
        <v>2</v>
      </c>
      <c r="N577" s="3">
        <v>10</v>
      </c>
      <c r="O577">
        <v>1</v>
      </c>
      <c r="P577">
        <f t="shared" si="24"/>
        <v>1</v>
      </c>
      <c r="Q577">
        <f t="shared" si="25"/>
        <v>1</v>
      </c>
      <c r="R577">
        <f t="shared" si="26"/>
        <v>1</v>
      </c>
      <c r="S577" s="10" t="str" cm="1">
        <f t="array" ref="S577">_xlfn.IFS(N577="", "", N577&gt;=9,"Promoter", N577&gt;=7,"Passive", N577&lt;=6,"Detractor")</f>
        <v>Promoter</v>
      </c>
    </row>
    <row r="578" spans="1:19" ht="14.25" customHeight="1">
      <c r="A578" s="3" t="s">
        <v>609</v>
      </c>
      <c r="B578" s="3" t="s">
        <v>20</v>
      </c>
      <c r="C578" s="3" t="s">
        <v>21</v>
      </c>
      <c r="D578" s="4">
        <v>45936</v>
      </c>
      <c r="E578" s="4">
        <v>45940</v>
      </c>
      <c r="F578" s="4">
        <v>45944</v>
      </c>
      <c r="G578" s="4">
        <v>45951</v>
      </c>
      <c r="H578" s="3" t="s">
        <v>22</v>
      </c>
      <c r="J578" s="4">
        <v>45970</v>
      </c>
      <c r="K578" s="3">
        <v>4</v>
      </c>
      <c r="L578" s="3">
        <v>4</v>
      </c>
      <c r="M578" s="3">
        <v>7</v>
      </c>
      <c r="N578" s="3">
        <v>7</v>
      </c>
      <c r="O578">
        <v>1</v>
      </c>
      <c r="P578">
        <f t="shared" si="24"/>
        <v>1</v>
      </c>
      <c r="Q578">
        <f t="shared" si="25"/>
        <v>1</v>
      </c>
      <c r="R578">
        <f t="shared" si="26"/>
        <v>1</v>
      </c>
      <c r="S578" s="10" t="str" cm="1">
        <f t="array" ref="S578">_xlfn.IFS(N578="", "", N578&gt;=9,"Promoter", N578&gt;=7,"Passive", N578&lt;=6,"Detractor")</f>
        <v>Passive</v>
      </c>
    </row>
    <row r="579" spans="1:19" ht="14.25" customHeight="1">
      <c r="A579" s="3" t="s">
        <v>610</v>
      </c>
      <c r="B579" s="3" t="s">
        <v>26</v>
      </c>
      <c r="C579" s="3" t="s">
        <v>35</v>
      </c>
      <c r="D579" s="4">
        <v>45953</v>
      </c>
      <c r="E579" s="4">
        <v>45955</v>
      </c>
      <c r="F579" s="4">
        <v>45957</v>
      </c>
      <c r="G579" s="4">
        <v>45960</v>
      </c>
      <c r="H579" s="3" t="s">
        <v>22</v>
      </c>
      <c r="J579" s="4">
        <v>45979</v>
      </c>
      <c r="K579" s="3">
        <v>2</v>
      </c>
      <c r="L579" s="3">
        <v>2</v>
      </c>
      <c r="M579" s="3">
        <v>3</v>
      </c>
      <c r="N579" s="3">
        <v>3</v>
      </c>
      <c r="O579">
        <v>1</v>
      </c>
      <c r="P579">
        <f t="shared" ref="P579:P642" si="27">IF(E579&lt;&gt;"", 1, 0)</f>
        <v>1</v>
      </c>
      <c r="Q579">
        <f t="shared" ref="Q579:Q642" si="28">IF(G579&lt;&gt;"",1,0)</f>
        <v>1</v>
      </c>
      <c r="R579">
        <f t="shared" ref="R579:R642" si="29">IF(AND(G579&lt;&gt;"", H579="No"), 1, 0)</f>
        <v>1</v>
      </c>
      <c r="S579" s="10" t="str" cm="1">
        <f t="array" ref="S579">_xlfn.IFS(N579="", "", N579&gt;=9,"Promoter", N579&gt;=7,"Passive", N579&lt;=6,"Detractor")</f>
        <v>Detractor</v>
      </c>
    </row>
    <row r="580" spans="1:19" ht="14.25" customHeight="1">
      <c r="A580" s="3" t="s">
        <v>611</v>
      </c>
      <c r="B580" s="3" t="s">
        <v>37</v>
      </c>
      <c r="C580" s="3" t="s">
        <v>35</v>
      </c>
      <c r="D580" s="4">
        <v>45940</v>
      </c>
      <c r="E580" s="4">
        <v>45942</v>
      </c>
      <c r="F580" s="4">
        <v>45945</v>
      </c>
      <c r="G580" s="4">
        <v>45952</v>
      </c>
      <c r="H580" s="3" t="s">
        <v>22</v>
      </c>
      <c r="J580" s="4">
        <v>45965</v>
      </c>
      <c r="K580" s="3">
        <v>2</v>
      </c>
      <c r="L580" s="3">
        <v>3</v>
      </c>
      <c r="M580" s="3">
        <v>7</v>
      </c>
      <c r="N580" s="3">
        <v>6</v>
      </c>
      <c r="O580">
        <v>1</v>
      </c>
      <c r="P580">
        <f t="shared" si="27"/>
        <v>1</v>
      </c>
      <c r="Q580">
        <f t="shared" si="28"/>
        <v>1</v>
      </c>
      <c r="R580">
        <f t="shared" si="29"/>
        <v>1</v>
      </c>
      <c r="S580" s="10" t="str" cm="1">
        <f t="array" ref="S580">_xlfn.IFS(N580="", "", N580&gt;=9,"Promoter", N580&gt;=7,"Passive", N580&lt;=6,"Detractor")</f>
        <v>Detractor</v>
      </c>
    </row>
    <row r="581" spans="1:19" ht="14.25" customHeight="1">
      <c r="A581" s="3" t="s">
        <v>612</v>
      </c>
      <c r="B581" s="3" t="s">
        <v>37</v>
      </c>
      <c r="C581" s="3" t="s">
        <v>35</v>
      </c>
      <c r="D581" s="4">
        <v>45959</v>
      </c>
      <c r="E581" s="4">
        <v>45960</v>
      </c>
      <c r="F581" s="4">
        <v>45962</v>
      </c>
      <c r="G581" s="4">
        <v>45964</v>
      </c>
      <c r="H581" s="3" t="s">
        <v>22</v>
      </c>
      <c r="J581" s="4">
        <v>45989</v>
      </c>
      <c r="K581" s="3">
        <v>1</v>
      </c>
      <c r="L581" s="3">
        <v>2</v>
      </c>
      <c r="M581" s="3">
        <v>2</v>
      </c>
      <c r="N581" s="3">
        <v>9</v>
      </c>
      <c r="O581">
        <v>1</v>
      </c>
      <c r="P581">
        <f t="shared" si="27"/>
        <v>1</v>
      </c>
      <c r="Q581">
        <f t="shared" si="28"/>
        <v>1</v>
      </c>
      <c r="R581">
        <f t="shared" si="29"/>
        <v>1</v>
      </c>
      <c r="S581" s="10" t="str" cm="1">
        <f t="array" ref="S581">_xlfn.IFS(N581="", "", N581&gt;=9,"Promoter", N581&gt;=7,"Passive", N581&lt;=6,"Detractor")</f>
        <v>Promoter</v>
      </c>
    </row>
    <row r="582" spans="1:19" ht="14.25" customHeight="1">
      <c r="A582" s="3" t="s">
        <v>613</v>
      </c>
      <c r="B582" s="3" t="s">
        <v>26</v>
      </c>
      <c r="C582" s="3" t="s">
        <v>21</v>
      </c>
      <c r="D582" s="4">
        <v>45931</v>
      </c>
      <c r="E582" s="4">
        <v>45935</v>
      </c>
      <c r="F582" s="4">
        <v>45937</v>
      </c>
      <c r="G582" s="4">
        <v>45940</v>
      </c>
      <c r="H582" s="3" t="s">
        <v>22</v>
      </c>
      <c r="J582" s="4">
        <v>45952</v>
      </c>
      <c r="K582" s="3">
        <v>4</v>
      </c>
      <c r="L582" s="3">
        <v>2</v>
      </c>
      <c r="M582" s="3">
        <v>3</v>
      </c>
      <c r="N582" s="3">
        <v>6</v>
      </c>
      <c r="O582">
        <v>1</v>
      </c>
      <c r="P582">
        <f t="shared" si="27"/>
        <v>1</v>
      </c>
      <c r="Q582">
        <f t="shared" si="28"/>
        <v>1</v>
      </c>
      <c r="R582">
        <f t="shared" si="29"/>
        <v>1</v>
      </c>
      <c r="S582" s="10" t="str" cm="1">
        <f t="array" ref="S582">_xlfn.IFS(N582="", "", N582&gt;=9,"Promoter", N582&gt;=7,"Passive", N582&lt;=6,"Detractor")</f>
        <v>Detractor</v>
      </c>
    </row>
    <row r="583" spans="1:19" ht="14.25" customHeight="1">
      <c r="A583" s="3" t="s">
        <v>614</v>
      </c>
      <c r="B583" s="3" t="s">
        <v>37</v>
      </c>
      <c r="C583" s="3" t="s">
        <v>21</v>
      </c>
      <c r="D583" s="4">
        <v>45932</v>
      </c>
      <c r="E583" s="4">
        <v>45933</v>
      </c>
      <c r="F583" s="4">
        <v>45938</v>
      </c>
      <c r="G583" s="4">
        <v>45943</v>
      </c>
      <c r="H583" s="3" t="s">
        <v>22</v>
      </c>
      <c r="J583" s="4">
        <v>45963</v>
      </c>
      <c r="K583" s="3">
        <v>1</v>
      </c>
      <c r="L583" s="3">
        <v>5</v>
      </c>
      <c r="M583" s="3">
        <v>5</v>
      </c>
      <c r="N583" s="3">
        <v>3</v>
      </c>
      <c r="O583">
        <v>1</v>
      </c>
      <c r="P583">
        <f t="shared" si="27"/>
        <v>1</v>
      </c>
      <c r="Q583">
        <f t="shared" si="28"/>
        <v>1</v>
      </c>
      <c r="R583">
        <f t="shared" si="29"/>
        <v>1</v>
      </c>
      <c r="S583" s="10" t="str" cm="1">
        <f t="array" ref="S583">_xlfn.IFS(N583="", "", N583&gt;=9,"Promoter", N583&gt;=7,"Passive", N583&lt;=6,"Detractor")</f>
        <v>Detractor</v>
      </c>
    </row>
    <row r="584" spans="1:19" ht="14.25" customHeight="1">
      <c r="A584" s="3" t="s">
        <v>615</v>
      </c>
      <c r="B584" s="3" t="s">
        <v>37</v>
      </c>
      <c r="C584" s="3" t="s">
        <v>21</v>
      </c>
      <c r="D584" s="4">
        <v>45941</v>
      </c>
      <c r="E584" s="4">
        <v>45944</v>
      </c>
      <c r="F584" s="4">
        <v>45948</v>
      </c>
      <c r="G584" s="4">
        <v>45952</v>
      </c>
      <c r="H584" s="3" t="s">
        <v>22</v>
      </c>
      <c r="J584" s="4">
        <v>45970</v>
      </c>
      <c r="K584" s="3">
        <v>3</v>
      </c>
      <c r="L584" s="3">
        <v>4</v>
      </c>
      <c r="M584" s="3">
        <v>4</v>
      </c>
      <c r="N584" s="3">
        <v>1</v>
      </c>
      <c r="O584">
        <v>1</v>
      </c>
      <c r="P584">
        <f t="shared" si="27"/>
        <v>1</v>
      </c>
      <c r="Q584">
        <f t="shared" si="28"/>
        <v>1</v>
      </c>
      <c r="R584">
        <f t="shared" si="29"/>
        <v>1</v>
      </c>
      <c r="S584" s="10" t="str" cm="1">
        <f t="array" ref="S584">_xlfn.IFS(N584="", "", N584&gt;=9,"Promoter", N584&gt;=7,"Passive", N584&lt;=6,"Detractor")</f>
        <v>Detractor</v>
      </c>
    </row>
    <row r="585" spans="1:19" ht="14.25" customHeight="1">
      <c r="A585" s="3" t="s">
        <v>616</v>
      </c>
      <c r="B585" s="3" t="s">
        <v>37</v>
      </c>
      <c r="C585" s="3" t="s">
        <v>21</v>
      </c>
      <c r="D585" s="4">
        <v>45956</v>
      </c>
      <c r="E585" s="4">
        <v>45958</v>
      </c>
      <c r="F585" s="4">
        <v>45960</v>
      </c>
      <c r="G585" s="4">
        <v>45966</v>
      </c>
      <c r="H585" s="3" t="s">
        <v>22</v>
      </c>
      <c r="J585" s="4">
        <v>45996</v>
      </c>
      <c r="K585" s="3">
        <v>2</v>
      </c>
      <c r="L585" s="3">
        <v>2</v>
      </c>
      <c r="M585" s="3">
        <v>6</v>
      </c>
      <c r="N585" s="3">
        <v>5</v>
      </c>
      <c r="O585">
        <v>1</v>
      </c>
      <c r="P585">
        <f t="shared" si="27"/>
        <v>1</v>
      </c>
      <c r="Q585">
        <f t="shared" si="28"/>
        <v>1</v>
      </c>
      <c r="R585">
        <f t="shared" si="29"/>
        <v>1</v>
      </c>
      <c r="S585" s="10" t="str" cm="1">
        <f t="array" ref="S585">_xlfn.IFS(N585="", "", N585&gt;=9,"Promoter", N585&gt;=7,"Passive", N585&lt;=6,"Detractor")</f>
        <v>Detractor</v>
      </c>
    </row>
    <row r="586" spans="1:19" ht="14.25" customHeight="1">
      <c r="A586" s="3" t="s">
        <v>617</v>
      </c>
      <c r="B586" s="3" t="s">
        <v>37</v>
      </c>
      <c r="C586" s="3" t="s">
        <v>21</v>
      </c>
      <c r="D586" s="4">
        <v>45932</v>
      </c>
      <c r="E586" s="4">
        <v>45933</v>
      </c>
      <c r="F586" s="4">
        <v>45938</v>
      </c>
      <c r="G586" s="4">
        <v>45944</v>
      </c>
      <c r="H586" s="3" t="s">
        <v>28</v>
      </c>
      <c r="I586" s="3" t="s">
        <v>38</v>
      </c>
      <c r="K586" s="3">
        <v>1</v>
      </c>
      <c r="L586" s="3">
        <v>5</v>
      </c>
      <c r="M586" s="3">
        <v>6</v>
      </c>
      <c r="O586">
        <v>1</v>
      </c>
      <c r="P586">
        <f t="shared" si="27"/>
        <v>1</v>
      </c>
      <c r="Q586">
        <f t="shared" si="28"/>
        <v>1</v>
      </c>
      <c r="R586">
        <f t="shared" si="29"/>
        <v>0</v>
      </c>
      <c r="S586" s="10" t="str" cm="1">
        <f t="array" ref="S586">_xlfn.IFS(N586="", "", N586&gt;=9,"Promoter", N586&gt;=7,"Passive", N586&lt;=6,"Detractor")</f>
        <v/>
      </c>
    </row>
    <row r="587" spans="1:19" ht="14.25" customHeight="1">
      <c r="A587" s="3" t="s">
        <v>618</v>
      </c>
      <c r="B587" s="3" t="s">
        <v>37</v>
      </c>
      <c r="C587" s="3" t="s">
        <v>35</v>
      </c>
      <c r="D587" s="4">
        <v>45940</v>
      </c>
      <c r="E587" s="4">
        <v>45942</v>
      </c>
      <c r="F587" s="4">
        <v>45943</v>
      </c>
      <c r="G587" s="4">
        <v>45950</v>
      </c>
      <c r="H587" s="3" t="s">
        <v>22</v>
      </c>
      <c r="J587" s="4">
        <v>45970</v>
      </c>
      <c r="K587" s="3">
        <v>2</v>
      </c>
      <c r="L587" s="3">
        <v>1</v>
      </c>
      <c r="M587" s="3">
        <v>7</v>
      </c>
      <c r="N587" s="3">
        <v>5</v>
      </c>
      <c r="O587">
        <v>1</v>
      </c>
      <c r="P587">
        <f t="shared" si="27"/>
        <v>1</v>
      </c>
      <c r="Q587">
        <f t="shared" si="28"/>
        <v>1</v>
      </c>
      <c r="R587">
        <f t="shared" si="29"/>
        <v>1</v>
      </c>
      <c r="S587" s="10" t="str" cm="1">
        <f t="array" ref="S587">_xlfn.IFS(N587="", "", N587&gt;=9,"Promoter", N587&gt;=7,"Passive", N587&lt;=6,"Detractor")</f>
        <v>Detractor</v>
      </c>
    </row>
    <row r="588" spans="1:19" ht="14.25" customHeight="1">
      <c r="A588" s="3" t="s">
        <v>619</v>
      </c>
      <c r="B588" s="3" t="s">
        <v>20</v>
      </c>
      <c r="C588" s="3" t="s">
        <v>21</v>
      </c>
      <c r="D588" s="4">
        <v>45942</v>
      </c>
      <c r="E588" s="4">
        <v>45943</v>
      </c>
      <c r="F588" s="4">
        <v>45948</v>
      </c>
      <c r="G588" s="4">
        <v>45952</v>
      </c>
      <c r="H588" s="3" t="s">
        <v>22</v>
      </c>
      <c r="J588" s="4">
        <v>45970</v>
      </c>
      <c r="K588" s="3">
        <v>1</v>
      </c>
      <c r="L588" s="3">
        <v>5</v>
      </c>
      <c r="M588" s="3">
        <v>4</v>
      </c>
      <c r="N588" s="3">
        <v>8</v>
      </c>
      <c r="O588">
        <v>1</v>
      </c>
      <c r="P588">
        <f t="shared" si="27"/>
        <v>1</v>
      </c>
      <c r="Q588">
        <f t="shared" si="28"/>
        <v>1</v>
      </c>
      <c r="R588">
        <f t="shared" si="29"/>
        <v>1</v>
      </c>
      <c r="S588" s="10" t="str" cm="1">
        <f t="array" ref="S588">_xlfn.IFS(N588="", "", N588&gt;=9,"Promoter", N588&gt;=7,"Passive", N588&lt;=6,"Detractor")</f>
        <v>Passive</v>
      </c>
    </row>
    <row r="589" spans="1:19" ht="14.25" customHeight="1">
      <c r="A589" s="3" t="s">
        <v>620</v>
      </c>
      <c r="B589" s="3" t="s">
        <v>37</v>
      </c>
      <c r="C589" s="3" t="s">
        <v>27</v>
      </c>
      <c r="D589" s="4">
        <v>45942</v>
      </c>
      <c r="H589" s="3" t="s">
        <v>28</v>
      </c>
      <c r="I589" s="3" t="s">
        <v>38</v>
      </c>
      <c r="O589">
        <v>1</v>
      </c>
      <c r="P589">
        <f t="shared" si="27"/>
        <v>0</v>
      </c>
      <c r="Q589">
        <f t="shared" si="28"/>
        <v>0</v>
      </c>
      <c r="R589">
        <f t="shared" si="29"/>
        <v>0</v>
      </c>
      <c r="S589" s="10" t="str" cm="1">
        <f t="array" ref="S589">_xlfn.IFS(N589="", "", N589&gt;=9,"Promoter", N589&gt;=7,"Passive", N589&lt;=6,"Detractor")</f>
        <v/>
      </c>
    </row>
    <row r="590" spans="1:19" ht="14.25" customHeight="1">
      <c r="A590" s="3" t="s">
        <v>621</v>
      </c>
      <c r="B590" s="3" t="s">
        <v>20</v>
      </c>
      <c r="C590" s="3" t="s">
        <v>21</v>
      </c>
      <c r="D590" s="4">
        <v>45944</v>
      </c>
      <c r="E590" s="4">
        <v>45947</v>
      </c>
      <c r="F590" s="4">
        <v>45948</v>
      </c>
      <c r="G590" s="4">
        <v>45951</v>
      </c>
      <c r="H590" s="3" t="s">
        <v>28</v>
      </c>
      <c r="I590" s="3" t="s">
        <v>106</v>
      </c>
      <c r="K590" s="3">
        <v>3</v>
      </c>
      <c r="L590" s="3">
        <v>1</v>
      </c>
      <c r="M590" s="3">
        <v>3</v>
      </c>
      <c r="O590">
        <v>1</v>
      </c>
      <c r="P590">
        <f t="shared" si="27"/>
        <v>1</v>
      </c>
      <c r="Q590">
        <f t="shared" si="28"/>
        <v>1</v>
      </c>
      <c r="R590">
        <f t="shared" si="29"/>
        <v>0</v>
      </c>
      <c r="S590" s="10" t="str" cm="1">
        <f t="array" ref="S590">_xlfn.IFS(N590="", "", N590&gt;=9,"Promoter", N590&gt;=7,"Passive", N590&lt;=6,"Detractor")</f>
        <v/>
      </c>
    </row>
    <row r="591" spans="1:19" ht="14.25" customHeight="1">
      <c r="A591" s="3" t="s">
        <v>622</v>
      </c>
      <c r="B591" s="3" t="s">
        <v>37</v>
      </c>
      <c r="C591" s="3" t="s">
        <v>21</v>
      </c>
      <c r="D591" s="4">
        <v>45935</v>
      </c>
      <c r="E591" s="4">
        <v>45938</v>
      </c>
      <c r="F591" s="4">
        <v>45939</v>
      </c>
      <c r="G591" s="4">
        <v>45943</v>
      </c>
      <c r="H591" s="3" t="s">
        <v>22</v>
      </c>
      <c r="J591" s="4">
        <v>45961</v>
      </c>
      <c r="K591" s="3">
        <v>3</v>
      </c>
      <c r="L591" s="3">
        <v>1</v>
      </c>
      <c r="M591" s="3">
        <v>4</v>
      </c>
      <c r="N591" s="3">
        <v>9</v>
      </c>
      <c r="O591">
        <v>1</v>
      </c>
      <c r="P591">
        <f t="shared" si="27"/>
        <v>1</v>
      </c>
      <c r="Q591">
        <f t="shared" si="28"/>
        <v>1</v>
      </c>
      <c r="R591">
        <f t="shared" si="29"/>
        <v>1</v>
      </c>
      <c r="S591" s="10" t="str" cm="1">
        <f t="array" ref="S591">_xlfn.IFS(N591="", "", N591&gt;=9,"Promoter", N591&gt;=7,"Passive", N591&lt;=6,"Detractor")</f>
        <v>Promoter</v>
      </c>
    </row>
    <row r="592" spans="1:19" ht="14.25" customHeight="1">
      <c r="A592" s="3" t="s">
        <v>623</v>
      </c>
      <c r="B592" s="3" t="s">
        <v>26</v>
      </c>
      <c r="C592" s="3" t="s">
        <v>27</v>
      </c>
      <c r="D592" s="4">
        <v>45938</v>
      </c>
      <c r="H592" s="3" t="s">
        <v>28</v>
      </c>
      <c r="I592" s="3" t="s">
        <v>68</v>
      </c>
      <c r="O592">
        <v>1</v>
      </c>
      <c r="P592">
        <f t="shared" si="27"/>
        <v>0</v>
      </c>
      <c r="Q592">
        <f t="shared" si="28"/>
        <v>0</v>
      </c>
      <c r="R592">
        <f t="shared" si="29"/>
        <v>0</v>
      </c>
      <c r="S592" s="10" t="str" cm="1">
        <f t="array" ref="S592">_xlfn.IFS(N592="", "", N592&gt;=9,"Promoter", N592&gt;=7,"Passive", N592&lt;=6,"Detractor")</f>
        <v/>
      </c>
    </row>
    <row r="593" spans="1:19" ht="14.25" customHeight="1">
      <c r="A593" s="3" t="s">
        <v>624</v>
      </c>
      <c r="B593" s="3" t="s">
        <v>24</v>
      </c>
      <c r="C593" s="3" t="s">
        <v>21</v>
      </c>
      <c r="D593" s="4">
        <v>45947</v>
      </c>
      <c r="E593" s="4">
        <v>45952</v>
      </c>
      <c r="F593" s="4">
        <v>45953</v>
      </c>
      <c r="G593" s="4">
        <v>45956</v>
      </c>
      <c r="H593" s="3" t="s">
        <v>22</v>
      </c>
      <c r="J593" s="4">
        <v>45986</v>
      </c>
      <c r="K593" s="3">
        <v>5</v>
      </c>
      <c r="L593" s="3">
        <v>1</v>
      </c>
      <c r="M593" s="3">
        <v>3</v>
      </c>
      <c r="N593" s="3">
        <v>0</v>
      </c>
      <c r="O593">
        <v>1</v>
      </c>
      <c r="P593">
        <f t="shared" si="27"/>
        <v>1</v>
      </c>
      <c r="Q593">
        <f t="shared" si="28"/>
        <v>1</v>
      </c>
      <c r="R593">
        <f t="shared" si="29"/>
        <v>1</v>
      </c>
      <c r="S593" s="10" t="str" cm="1">
        <f t="array" ref="S593">_xlfn.IFS(N593="", "", N593&gt;=9,"Promoter", N593&gt;=7,"Passive", N593&lt;=6,"Detractor")</f>
        <v>Detractor</v>
      </c>
    </row>
    <row r="594" spans="1:19" ht="14.25" customHeight="1">
      <c r="A594" s="3" t="s">
        <v>625</v>
      </c>
      <c r="B594" s="3" t="s">
        <v>20</v>
      </c>
      <c r="C594" s="3" t="s">
        <v>35</v>
      </c>
      <c r="D594" s="4">
        <v>45944</v>
      </c>
      <c r="E594" s="4">
        <v>45948</v>
      </c>
      <c r="F594" s="4">
        <v>45949</v>
      </c>
      <c r="G594" s="4">
        <v>45956</v>
      </c>
      <c r="H594" s="3" t="s">
        <v>28</v>
      </c>
      <c r="I594" s="3" t="s">
        <v>29</v>
      </c>
      <c r="K594" s="3">
        <v>4</v>
      </c>
      <c r="L594" s="3">
        <v>1</v>
      </c>
      <c r="M594" s="3">
        <v>7</v>
      </c>
      <c r="O594">
        <v>1</v>
      </c>
      <c r="P594">
        <f t="shared" si="27"/>
        <v>1</v>
      </c>
      <c r="Q594">
        <f t="shared" si="28"/>
        <v>1</v>
      </c>
      <c r="R594">
        <f t="shared" si="29"/>
        <v>0</v>
      </c>
      <c r="S594" s="10" t="str" cm="1">
        <f t="array" ref="S594">_xlfn.IFS(N594="", "", N594&gt;=9,"Promoter", N594&gt;=7,"Passive", N594&lt;=6,"Detractor")</f>
        <v/>
      </c>
    </row>
    <row r="595" spans="1:19" ht="14.25" customHeight="1">
      <c r="A595" s="3" t="s">
        <v>626</v>
      </c>
      <c r="B595" s="3" t="s">
        <v>37</v>
      </c>
      <c r="C595" s="3" t="s">
        <v>21</v>
      </c>
      <c r="D595" s="4">
        <v>45949</v>
      </c>
      <c r="E595" s="4">
        <v>45954</v>
      </c>
      <c r="F595" s="4">
        <v>45958</v>
      </c>
      <c r="G595" s="4">
        <v>45962</v>
      </c>
      <c r="H595" s="3" t="s">
        <v>22</v>
      </c>
      <c r="J595" s="4">
        <v>45992</v>
      </c>
      <c r="K595" s="3">
        <v>5</v>
      </c>
      <c r="L595" s="3">
        <v>4</v>
      </c>
      <c r="M595" s="3">
        <v>4</v>
      </c>
      <c r="N595" s="3">
        <v>7</v>
      </c>
      <c r="O595">
        <v>1</v>
      </c>
      <c r="P595">
        <f t="shared" si="27"/>
        <v>1</v>
      </c>
      <c r="Q595">
        <f t="shared" si="28"/>
        <v>1</v>
      </c>
      <c r="R595">
        <f t="shared" si="29"/>
        <v>1</v>
      </c>
      <c r="S595" s="10" t="str" cm="1">
        <f t="array" ref="S595">_xlfn.IFS(N595="", "", N595&gt;=9,"Promoter", N595&gt;=7,"Passive", N595&lt;=6,"Detractor")</f>
        <v>Passive</v>
      </c>
    </row>
    <row r="596" spans="1:19" ht="14.25" customHeight="1">
      <c r="A596" s="3" t="s">
        <v>627</v>
      </c>
      <c r="B596" s="3" t="s">
        <v>26</v>
      </c>
      <c r="C596" s="3" t="s">
        <v>21</v>
      </c>
      <c r="D596" s="4">
        <v>45952</v>
      </c>
      <c r="E596" s="4">
        <v>45956</v>
      </c>
      <c r="F596" s="4">
        <v>45958</v>
      </c>
      <c r="G596" s="4">
        <v>45965</v>
      </c>
      <c r="H596" s="3" t="s">
        <v>22</v>
      </c>
      <c r="J596" s="4">
        <v>45984</v>
      </c>
      <c r="K596" s="3">
        <v>4</v>
      </c>
      <c r="L596" s="3">
        <v>2</v>
      </c>
      <c r="M596" s="3">
        <v>7</v>
      </c>
      <c r="N596" s="3">
        <v>2</v>
      </c>
      <c r="O596">
        <v>1</v>
      </c>
      <c r="P596">
        <f t="shared" si="27"/>
        <v>1</v>
      </c>
      <c r="Q596">
        <f t="shared" si="28"/>
        <v>1</v>
      </c>
      <c r="R596">
        <f t="shared" si="29"/>
        <v>1</v>
      </c>
      <c r="S596" s="10" t="str" cm="1">
        <f t="array" ref="S596">_xlfn.IFS(N596="", "", N596&gt;=9,"Promoter", N596&gt;=7,"Passive", N596&lt;=6,"Detractor")</f>
        <v>Detractor</v>
      </c>
    </row>
    <row r="597" spans="1:19" ht="14.25" customHeight="1">
      <c r="A597" s="3" t="s">
        <v>628</v>
      </c>
      <c r="B597" s="3" t="s">
        <v>24</v>
      </c>
      <c r="C597" s="3" t="s">
        <v>21</v>
      </c>
      <c r="D597" s="4">
        <v>45956</v>
      </c>
      <c r="E597" s="4">
        <v>45959</v>
      </c>
      <c r="F597" s="4">
        <v>45961</v>
      </c>
      <c r="G597" s="4">
        <v>45963</v>
      </c>
      <c r="H597" s="3" t="s">
        <v>22</v>
      </c>
      <c r="J597" s="4">
        <v>45979</v>
      </c>
      <c r="K597" s="3">
        <v>3</v>
      </c>
      <c r="L597" s="3">
        <v>2</v>
      </c>
      <c r="M597" s="3">
        <v>2</v>
      </c>
      <c r="N597" s="3">
        <v>8</v>
      </c>
      <c r="O597">
        <v>1</v>
      </c>
      <c r="P597">
        <f t="shared" si="27"/>
        <v>1</v>
      </c>
      <c r="Q597">
        <f t="shared" si="28"/>
        <v>1</v>
      </c>
      <c r="R597">
        <f t="shared" si="29"/>
        <v>1</v>
      </c>
      <c r="S597" s="10" t="str" cm="1">
        <f t="array" ref="S597">_xlfn.IFS(N597="", "", N597&gt;=9,"Promoter", N597&gt;=7,"Passive", N597&lt;=6,"Detractor")</f>
        <v>Passive</v>
      </c>
    </row>
    <row r="598" spans="1:19" ht="14.25" customHeight="1">
      <c r="A598" s="3" t="s">
        <v>629</v>
      </c>
      <c r="B598" s="3" t="s">
        <v>20</v>
      </c>
      <c r="C598" s="3" t="s">
        <v>21</v>
      </c>
      <c r="D598" s="4">
        <v>45936</v>
      </c>
      <c r="E598" s="4">
        <v>45937</v>
      </c>
      <c r="F598" s="4">
        <v>45938</v>
      </c>
      <c r="G598" s="4">
        <v>45940</v>
      </c>
      <c r="H598" s="3" t="s">
        <v>28</v>
      </c>
      <c r="I598" s="3" t="s">
        <v>29</v>
      </c>
      <c r="K598" s="3">
        <v>1</v>
      </c>
      <c r="L598" s="3">
        <v>1</v>
      </c>
      <c r="M598" s="3">
        <v>2</v>
      </c>
      <c r="O598">
        <v>1</v>
      </c>
      <c r="P598">
        <f t="shared" si="27"/>
        <v>1</v>
      </c>
      <c r="Q598">
        <f t="shared" si="28"/>
        <v>1</v>
      </c>
      <c r="R598">
        <f t="shared" si="29"/>
        <v>0</v>
      </c>
      <c r="S598" s="10" t="str" cm="1">
        <f t="array" ref="S598">_xlfn.IFS(N598="", "", N598&gt;=9,"Promoter", N598&gt;=7,"Passive", N598&lt;=6,"Detractor")</f>
        <v/>
      </c>
    </row>
    <row r="599" spans="1:19" ht="14.25" customHeight="1">
      <c r="A599" s="3" t="s">
        <v>630</v>
      </c>
      <c r="B599" s="3" t="s">
        <v>24</v>
      </c>
      <c r="C599" s="3" t="s">
        <v>21</v>
      </c>
      <c r="D599" s="4">
        <v>45936</v>
      </c>
      <c r="E599" s="4">
        <v>45938</v>
      </c>
      <c r="F599" s="4">
        <v>45940</v>
      </c>
      <c r="G599" s="4">
        <v>45944</v>
      </c>
      <c r="H599" s="3" t="s">
        <v>22</v>
      </c>
      <c r="J599" s="4">
        <v>45958</v>
      </c>
      <c r="K599" s="3">
        <v>2</v>
      </c>
      <c r="L599" s="3">
        <v>2</v>
      </c>
      <c r="M599" s="3">
        <v>4</v>
      </c>
      <c r="N599" s="3">
        <v>3</v>
      </c>
      <c r="O599">
        <v>1</v>
      </c>
      <c r="P599">
        <f t="shared" si="27"/>
        <v>1</v>
      </c>
      <c r="Q599">
        <f t="shared" si="28"/>
        <v>1</v>
      </c>
      <c r="R599">
        <f t="shared" si="29"/>
        <v>1</v>
      </c>
      <c r="S599" s="10" t="str" cm="1">
        <f t="array" ref="S599">_xlfn.IFS(N599="", "", N599&gt;=9,"Promoter", N599&gt;=7,"Passive", N599&lt;=6,"Detractor")</f>
        <v>Detractor</v>
      </c>
    </row>
    <row r="600" spans="1:19" ht="14.25" customHeight="1">
      <c r="A600" s="3" t="s">
        <v>631</v>
      </c>
      <c r="B600" s="3" t="s">
        <v>26</v>
      </c>
      <c r="C600" s="3" t="s">
        <v>21</v>
      </c>
      <c r="D600" s="4">
        <v>45936</v>
      </c>
      <c r="E600" s="4">
        <v>45939</v>
      </c>
      <c r="F600" s="4">
        <v>45940</v>
      </c>
      <c r="G600" s="4">
        <v>45945</v>
      </c>
      <c r="H600" s="3" t="s">
        <v>22</v>
      </c>
      <c r="J600" s="4">
        <v>45971</v>
      </c>
      <c r="K600" s="3">
        <v>3</v>
      </c>
      <c r="L600" s="3">
        <v>1</v>
      </c>
      <c r="M600" s="3">
        <v>5</v>
      </c>
      <c r="N600" s="3">
        <v>1</v>
      </c>
      <c r="O600">
        <v>1</v>
      </c>
      <c r="P600">
        <f t="shared" si="27"/>
        <v>1</v>
      </c>
      <c r="Q600">
        <f t="shared" si="28"/>
        <v>1</v>
      </c>
      <c r="R600">
        <f t="shared" si="29"/>
        <v>1</v>
      </c>
      <c r="S600" s="10" t="str" cm="1">
        <f t="array" ref="S600">_xlfn.IFS(N600="", "", N600&gt;=9,"Promoter", N600&gt;=7,"Passive", N600&lt;=6,"Detractor")</f>
        <v>Detractor</v>
      </c>
    </row>
    <row r="601" spans="1:19" ht="14.25" customHeight="1">
      <c r="A601" s="3" t="s">
        <v>632</v>
      </c>
      <c r="B601" s="3" t="s">
        <v>20</v>
      </c>
      <c r="C601" s="3" t="s">
        <v>21</v>
      </c>
      <c r="D601" s="4">
        <v>45933</v>
      </c>
      <c r="E601" s="4">
        <v>45936</v>
      </c>
      <c r="F601" s="4">
        <v>45938</v>
      </c>
      <c r="G601" s="4">
        <v>45942</v>
      </c>
      <c r="H601" s="3" t="s">
        <v>22</v>
      </c>
      <c r="J601" s="4">
        <v>45959</v>
      </c>
      <c r="K601" s="3">
        <v>3</v>
      </c>
      <c r="L601" s="3">
        <v>2</v>
      </c>
      <c r="M601" s="3">
        <v>4</v>
      </c>
      <c r="N601" s="3">
        <v>4</v>
      </c>
      <c r="O601">
        <v>1</v>
      </c>
      <c r="P601">
        <f t="shared" si="27"/>
        <v>1</v>
      </c>
      <c r="Q601">
        <f t="shared" si="28"/>
        <v>1</v>
      </c>
      <c r="R601">
        <f t="shared" si="29"/>
        <v>1</v>
      </c>
      <c r="S601" s="10" t="str" cm="1">
        <f t="array" ref="S601">_xlfn.IFS(N601="", "", N601&gt;=9,"Promoter", N601&gt;=7,"Passive", N601&lt;=6,"Detractor")</f>
        <v>Detractor</v>
      </c>
    </row>
    <row r="602" spans="1:19" ht="14.25" customHeight="1">
      <c r="A602" s="3" t="s">
        <v>633</v>
      </c>
      <c r="B602" s="3" t="s">
        <v>24</v>
      </c>
      <c r="C602" s="3" t="s">
        <v>27</v>
      </c>
      <c r="D602" s="4">
        <v>45950</v>
      </c>
      <c r="H602" s="3" t="s">
        <v>28</v>
      </c>
      <c r="I602" s="3" t="s">
        <v>106</v>
      </c>
      <c r="O602">
        <v>1</v>
      </c>
      <c r="P602">
        <f t="shared" si="27"/>
        <v>0</v>
      </c>
      <c r="Q602">
        <f t="shared" si="28"/>
        <v>0</v>
      </c>
      <c r="R602">
        <f t="shared" si="29"/>
        <v>0</v>
      </c>
      <c r="S602" s="10" t="str" cm="1">
        <f t="array" ref="S602">_xlfn.IFS(N602="", "", N602&gt;=9,"Promoter", N602&gt;=7,"Passive", N602&lt;=6,"Detractor")</f>
        <v/>
      </c>
    </row>
    <row r="603" spans="1:19" ht="14.25" customHeight="1">
      <c r="A603" s="3" t="s">
        <v>634</v>
      </c>
      <c r="B603" s="3" t="s">
        <v>37</v>
      </c>
      <c r="C603" s="3" t="s">
        <v>21</v>
      </c>
      <c r="D603" s="4">
        <v>45958</v>
      </c>
      <c r="E603" s="4">
        <v>45959</v>
      </c>
      <c r="F603" s="4">
        <v>45964</v>
      </c>
      <c r="G603" s="4">
        <v>45970</v>
      </c>
      <c r="H603" s="3" t="s">
        <v>22</v>
      </c>
      <c r="J603" s="4">
        <v>45981</v>
      </c>
      <c r="K603" s="3">
        <v>1</v>
      </c>
      <c r="L603" s="3">
        <v>5</v>
      </c>
      <c r="M603" s="3">
        <v>6</v>
      </c>
      <c r="N603" s="3">
        <v>3</v>
      </c>
      <c r="O603">
        <v>1</v>
      </c>
      <c r="P603">
        <f t="shared" si="27"/>
        <v>1</v>
      </c>
      <c r="Q603">
        <f t="shared" si="28"/>
        <v>1</v>
      </c>
      <c r="R603">
        <f t="shared" si="29"/>
        <v>1</v>
      </c>
      <c r="S603" s="10" t="str" cm="1">
        <f t="array" ref="S603">_xlfn.IFS(N603="", "", N603&gt;=9,"Promoter", N603&gt;=7,"Passive", N603&lt;=6,"Detractor")</f>
        <v>Detractor</v>
      </c>
    </row>
    <row r="604" spans="1:19" ht="14.25" customHeight="1">
      <c r="A604" s="3" t="s">
        <v>635</v>
      </c>
      <c r="B604" s="3" t="s">
        <v>20</v>
      </c>
      <c r="C604" s="3" t="s">
        <v>35</v>
      </c>
      <c r="D604" s="4">
        <v>45943</v>
      </c>
      <c r="E604" s="4">
        <v>45946</v>
      </c>
      <c r="F604" s="4">
        <v>45950</v>
      </c>
      <c r="G604" s="4">
        <v>45952</v>
      </c>
      <c r="H604" s="3" t="s">
        <v>22</v>
      </c>
      <c r="J604" s="4">
        <v>45981</v>
      </c>
      <c r="K604" s="3">
        <v>3</v>
      </c>
      <c r="L604" s="3">
        <v>4</v>
      </c>
      <c r="M604" s="3">
        <v>2</v>
      </c>
      <c r="N604" s="3">
        <v>8</v>
      </c>
      <c r="O604">
        <v>1</v>
      </c>
      <c r="P604">
        <f t="shared" si="27"/>
        <v>1</v>
      </c>
      <c r="Q604">
        <f t="shared" si="28"/>
        <v>1</v>
      </c>
      <c r="R604">
        <f t="shared" si="29"/>
        <v>1</v>
      </c>
      <c r="S604" s="10" t="str" cm="1">
        <f t="array" ref="S604">_xlfn.IFS(N604="", "", N604&gt;=9,"Promoter", N604&gt;=7,"Passive", N604&lt;=6,"Detractor")</f>
        <v>Passive</v>
      </c>
    </row>
    <row r="605" spans="1:19" ht="14.25" customHeight="1">
      <c r="A605" s="3" t="s">
        <v>636</v>
      </c>
      <c r="B605" s="3" t="s">
        <v>24</v>
      </c>
      <c r="C605" s="3" t="s">
        <v>21</v>
      </c>
      <c r="D605" s="4">
        <v>45950</v>
      </c>
      <c r="E605" s="4">
        <v>45953</v>
      </c>
      <c r="F605" s="4">
        <v>45956</v>
      </c>
      <c r="G605" s="4">
        <v>45960</v>
      </c>
      <c r="H605" s="3" t="s">
        <v>22</v>
      </c>
      <c r="J605" s="4">
        <v>45982</v>
      </c>
      <c r="K605" s="3">
        <v>3</v>
      </c>
      <c r="L605" s="3">
        <v>3</v>
      </c>
      <c r="M605" s="3">
        <v>4</v>
      </c>
      <c r="N605" s="3">
        <v>6</v>
      </c>
      <c r="O605">
        <v>1</v>
      </c>
      <c r="P605">
        <f t="shared" si="27"/>
        <v>1</v>
      </c>
      <c r="Q605">
        <f t="shared" si="28"/>
        <v>1</v>
      </c>
      <c r="R605">
        <f t="shared" si="29"/>
        <v>1</v>
      </c>
      <c r="S605" s="10" t="str" cm="1">
        <f t="array" ref="S605">_xlfn.IFS(N605="", "", N605&gt;=9,"Promoter", N605&gt;=7,"Passive", N605&lt;=6,"Detractor")</f>
        <v>Detractor</v>
      </c>
    </row>
    <row r="606" spans="1:19" ht="14.25" customHeight="1">
      <c r="A606" s="3" t="s">
        <v>637</v>
      </c>
      <c r="B606" s="3" t="s">
        <v>26</v>
      </c>
      <c r="C606" s="3" t="s">
        <v>35</v>
      </c>
      <c r="D606" s="4">
        <v>45952</v>
      </c>
      <c r="E606" s="4">
        <v>45953</v>
      </c>
      <c r="F606" s="4">
        <v>45954</v>
      </c>
      <c r="G606" s="4">
        <v>45961</v>
      </c>
      <c r="H606" s="3" t="s">
        <v>22</v>
      </c>
      <c r="J606" s="4">
        <v>45981</v>
      </c>
      <c r="K606" s="3">
        <v>1</v>
      </c>
      <c r="L606" s="3">
        <v>1</v>
      </c>
      <c r="M606" s="3">
        <v>7</v>
      </c>
      <c r="N606" s="3">
        <v>9</v>
      </c>
      <c r="O606">
        <v>1</v>
      </c>
      <c r="P606">
        <f t="shared" si="27"/>
        <v>1</v>
      </c>
      <c r="Q606">
        <f t="shared" si="28"/>
        <v>1</v>
      </c>
      <c r="R606">
        <f t="shared" si="29"/>
        <v>1</v>
      </c>
      <c r="S606" s="10" t="str" cm="1">
        <f t="array" ref="S606">_xlfn.IFS(N606="", "", N606&gt;=9,"Promoter", N606&gt;=7,"Passive", N606&lt;=6,"Detractor")</f>
        <v>Promoter</v>
      </c>
    </row>
    <row r="607" spans="1:19" ht="14.25" customHeight="1">
      <c r="A607" s="3" t="s">
        <v>638</v>
      </c>
      <c r="B607" s="3" t="s">
        <v>26</v>
      </c>
      <c r="C607" s="3" t="s">
        <v>21</v>
      </c>
      <c r="D607" s="4">
        <v>45938</v>
      </c>
      <c r="E607" s="4">
        <v>45941</v>
      </c>
      <c r="F607" s="4">
        <v>45946</v>
      </c>
      <c r="G607" s="4">
        <v>45952</v>
      </c>
      <c r="H607" s="3" t="s">
        <v>22</v>
      </c>
      <c r="J607" s="4">
        <v>45966</v>
      </c>
      <c r="K607" s="3">
        <v>3</v>
      </c>
      <c r="L607" s="3">
        <v>5</v>
      </c>
      <c r="M607" s="3">
        <v>6</v>
      </c>
      <c r="N607" s="3">
        <v>3</v>
      </c>
      <c r="O607">
        <v>1</v>
      </c>
      <c r="P607">
        <f t="shared" si="27"/>
        <v>1</v>
      </c>
      <c r="Q607">
        <f t="shared" si="28"/>
        <v>1</v>
      </c>
      <c r="R607">
        <f t="shared" si="29"/>
        <v>1</v>
      </c>
      <c r="S607" s="10" t="str" cm="1">
        <f t="array" ref="S607">_xlfn.IFS(N607="", "", N607&gt;=9,"Promoter", N607&gt;=7,"Passive", N607&lt;=6,"Detractor")</f>
        <v>Detractor</v>
      </c>
    </row>
    <row r="608" spans="1:19" ht="14.25" customHeight="1">
      <c r="A608" s="3" t="s">
        <v>639</v>
      </c>
      <c r="B608" s="3" t="s">
        <v>20</v>
      </c>
      <c r="C608" s="3" t="s">
        <v>21</v>
      </c>
      <c r="D608" s="4">
        <v>45946</v>
      </c>
      <c r="E608" s="4">
        <v>45950</v>
      </c>
      <c r="F608" s="4">
        <v>45955</v>
      </c>
      <c r="G608" s="4">
        <v>45962</v>
      </c>
      <c r="H608" s="3" t="s">
        <v>22</v>
      </c>
      <c r="J608" s="4">
        <v>45972</v>
      </c>
      <c r="K608" s="3">
        <v>4</v>
      </c>
      <c r="L608" s="3">
        <v>5</v>
      </c>
      <c r="M608" s="3">
        <v>7</v>
      </c>
      <c r="N608" s="3">
        <v>2</v>
      </c>
      <c r="O608">
        <v>1</v>
      </c>
      <c r="P608">
        <f t="shared" si="27"/>
        <v>1</v>
      </c>
      <c r="Q608">
        <f t="shared" si="28"/>
        <v>1</v>
      </c>
      <c r="R608">
        <f t="shared" si="29"/>
        <v>1</v>
      </c>
      <c r="S608" s="10" t="str" cm="1">
        <f t="array" ref="S608">_xlfn.IFS(N608="", "", N608&gt;=9,"Promoter", N608&gt;=7,"Passive", N608&lt;=6,"Detractor")</f>
        <v>Detractor</v>
      </c>
    </row>
    <row r="609" spans="1:19" ht="14.25" customHeight="1">
      <c r="A609" s="3" t="s">
        <v>640</v>
      </c>
      <c r="B609" s="3" t="s">
        <v>24</v>
      </c>
      <c r="C609" s="3" t="s">
        <v>35</v>
      </c>
      <c r="D609" s="4">
        <v>45960</v>
      </c>
      <c r="E609" s="4">
        <v>45964</v>
      </c>
      <c r="F609" s="4">
        <v>45968</v>
      </c>
      <c r="G609" s="4">
        <v>45970</v>
      </c>
      <c r="H609" s="3" t="s">
        <v>22</v>
      </c>
      <c r="J609" s="4">
        <v>46000</v>
      </c>
      <c r="K609" s="3">
        <v>4</v>
      </c>
      <c r="L609" s="3">
        <v>4</v>
      </c>
      <c r="M609" s="3">
        <v>2</v>
      </c>
      <c r="N609" s="3">
        <v>4</v>
      </c>
      <c r="O609">
        <v>1</v>
      </c>
      <c r="P609">
        <f t="shared" si="27"/>
        <v>1</v>
      </c>
      <c r="Q609">
        <f t="shared" si="28"/>
        <v>1</v>
      </c>
      <c r="R609">
        <f t="shared" si="29"/>
        <v>1</v>
      </c>
      <c r="S609" s="10" t="str" cm="1">
        <f t="array" ref="S609">_xlfn.IFS(N609="", "", N609&gt;=9,"Promoter", N609&gt;=7,"Passive", N609&lt;=6,"Detractor")</f>
        <v>Detractor</v>
      </c>
    </row>
    <row r="610" spans="1:19" ht="14.25" customHeight="1">
      <c r="A610" s="3" t="s">
        <v>641</v>
      </c>
      <c r="B610" s="3" t="s">
        <v>20</v>
      </c>
      <c r="C610" s="3" t="s">
        <v>21</v>
      </c>
      <c r="D610" s="4">
        <v>45949</v>
      </c>
      <c r="E610" s="4">
        <v>45953</v>
      </c>
      <c r="F610" s="4">
        <v>45957</v>
      </c>
      <c r="G610" s="4">
        <v>45962</v>
      </c>
      <c r="H610" s="3" t="s">
        <v>22</v>
      </c>
      <c r="J610" s="4">
        <v>45987</v>
      </c>
      <c r="K610" s="3">
        <v>4</v>
      </c>
      <c r="L610" s="3">
        <v>4</v>
      </c>
      <c r="M610" s="3">
        <v>5</v>
      </c>
      <c r="N610" s="3">
        <v>0</v>
      </c>
      <c r="O610">
        <v>1</v>
      </c>
      <c r="P610">
        <f t="shared" si="27"/>
        <v>1</v>
      </c>
      <c r="Q610">
        <f t="shared" si="28"/>
        <v>1</v>
      </c>
      <c r="R610">
        <f t="shared" si="29"/>
        <v>1</v>
      </c>
      <c r="S610" s="10" t="str" cm="1">
        <f t="array" ref="S610">_xlfn.IFS(N610="", "", N610&gt;=9,"Promoter", N610&gt;=7,"Passive", N610&lt;=6,"Detractor")</f>
        <v>Detractor</v>
      </c>
    </row>
    <row r="611" spans="1:19" ht="14.25" customHeight="1">
      <c r="A611" s="3" t="s">
        <v>642</v>
      </c>
      <c r="B611" s="3" t="s">
        <v>20</v>
      </c>
      <c r="C611" s="3" t="s">
        <v>35</v>
      </c>
      <c r="D611" s="4">
        <v>45935</v>
      </c>
      <c r="E611" s="4">
        <v>45939</v>
      </c>
      <c r="F611" s="4">
        <v>45940</v>
      </c>
      <c r="G611" s="4">
        <v>45945</v>
      </c>
      <c r="H611" s="3" t="s">
        <v>22</v>
      </c>
      <c r="J611" s="4">
        <v>45964</v>
      </c>
      <c r="K611" s="3">
        <v>4</v>
      </c>
      <c r="L611" s="3">
        <v>1</v>
      </c>
      <c r="M611" s="3">
        <v>5</v>
      </c>
      <c r="N611" s="3">
        <v>1</v>
      </c>
      <c r="O611">
        <v>1</v>
      </c>
      <c r="P611">
        <f t="shared" si="27"/>
        <v>1</v>
      </c>
      <c r="Q611">
        <f t="shared" si="28"/>
        <v>1</v>
      </c>
      <c r="R611">
        <f t="shared" si="29"/>
        <v>1</v>
      </c>
      <c r="S611" s="10" t="str" cm="1">
        <f t="array" ref="S611">_xlfn.IFS(N611="", "", N611&gt;=9,"Promoter", N611&gt;=7,"Passive", N611&lt;=6,"Detractor")</f>
        <v>Detractor</v>
      </c>
    </row>
    <row r="612" spans="1:19" ht="14.25" customHeight="1">
      <c r="A612" s="3" t="s">
        <v>643</v>
      </c>
      <c r="B612" s="3" t="s">
        <v>24</v>
      </c>
      <c r="C612" s="3" t="s">
        <v>35</v>
      </c>
      <c r="D612" s="4">
        <v>45938</v>
      </c>
      <c r="E612" s="4">
        <v>45941</v>
      </c>
      <c r="F612" s="4">
        <v>45942</v>
      </c>
      <c r="G612" s="4">
        <v>45948</v>
      </c>
      <c r="H612" s="3" t="s">
        <v>22</v>
      </c>
      <c r="J612" s="4">
        <v>45966</v>
      </c>
      <c r="K612" s="3">
        <v>3</v>
      </c>
      <c r="L612" s="3">
        <v>1</v>
      </c>
      <c r="M612" s="3">
        <v>6</v>
      </c>
      <c r="N612" s="3">
        <v>1</v>
      </c>
      <c r="O612">
        <v>1</v>
      </c>
      <c r="P612">
        <f t="shared" si="27"/>
        <v>1</v>
      </c>
      <c r="Q612">
        <f t="shared" si="28"/>
        <v>1</v>
      </c>
      <c r="R612">
        <f t="shared" si="29"/>
        <v>1</v>
      </c>
      <c r="S612" s="10" t="str" cm="1">
        <f t="array" ref="S612">_xlfn.IFS(N612="", "", N612&gt;=9,"Promoter", N612&gt;=7,"Passive", N612&lt;=6,"Detractor")</f>
        <v>Detractor</v>
      </c>
    </row>
    <row r="613" spans="1:19" ht="14.25" customHeight="1">
      <c r="A613" s="3" t="s">
        <v>644</v>
      </c>
      <c r="B613" s="3" t="s">
        <v>24</v>
      </c>
      <c r="C613" s="3" t="s">
        <v>21</v>
      </c>
      <c r="D613" s="4">
        <v>45945</v>
      </c>
      <c r="E613" s="4">
        <v>45947</v>
      </c>
      <c r="F613" s="4">
        <v>45952</v>
      </c>
      <c r="G613" s="4">
        <v>45956</v>
      </c>
      <c r="H613" s="3" t="s">
        <v>22</v>
      </c>
      <c r="J613" s="4">
        <v>45979</v>
      </c>
      <c r="K613" s="3">
        <v>2</v>
      </c>
      <c r="L613" s="3">
        <v>5</v>
      </c>
      <c r="M613" s="3">
        <v>4</v>
      </c>
      <c r="N613" s="3">
        <v>2</v>
      </c>
      <c r="O613">
        <v>1</v>
      </c>
      <c r="P613">
        <f t="shared" si="27"/>
        <v>1</v>
      </c>
      <c r="Q613">
        <f t="shared" si="28"/>
        <v>1</v>
      </c>
      <c r="R613">
        <f t="shared" si="29"/>
        <v>1</v>
      </c>
      <c r="S613" s="10" t="str" cm="1">
        <f t="array" ref="S613">_xlfn.IFS(N613="", "", N613&gt;=9,"Promoter", N613&gt;=7,"Passive", N613&lt;=6,"Detractor")</f>
        <v>Detractor</v>
      </c>
    </row>
    <row r="614" spans="1:19" ht="14.25" customHeight="1">
      <c r="A614" s="3" t="s">
        <v>645</v>
      </c>
      <c r="B614" s="3" t="s">
        <v>37</v>
      </c>
      <c r="C614" s="3" t="s">
        <v>21</v>
      </c>
      <c r="D614" s="4">
        <v>45951</v>
      </c>
      <c r="E614" s="4">
        <v>45955</v>
      </c>
      <c r="F614" s="4">
        <v>45960</v>
      </c>
      <c r="G614" s="4">
        <v>45962</v>
      </c>
      <c r="H614" s="3" t="s">
        <v>22</v>
      </c>
      <c r="J614" s="4">
        <v>45984</v>
      </c>
      <c r="K614" s="3">
        <v>4</v>
      </c>
      <c r="L614" s="3">
        <v>5</v>
      </c>
      <c r="M614" s="3">
        <v>2</v>
      </c>
      <c r="N614" s="3">
        <v>8</v>
      </c>
      <c r="O614">
        <v>1</v>
      </c>
      <c r="P614">
        <f t="shared" si="27"/>
        <v>1</v>
      </c>
      <c r="Q614">
        <f t="shared" si="28"/>
        <v>1</v>
      </c>
      <c r="R614">
        <f t="shared" si="29"/>
        <v>1</v>
      </c>
      <c r="S614" s="10" t="str" cm="1">
        <f t="array" ref="S614">_xlfn.IFS(N614="", "", N614&gt;=9,"Promoter", N614&gt;=7,"Passive", N614&lt;=6,"Detractor")</f>
        <v>Passive</v>
      </c>
    </row>
    <row r="615" spans="1:19" ht="14.25" customHeight="1">
      <c r="A615" s="3" t="s">
        <v>646</v>
      </c>
      <c r="B615" s="3" t="s">
        <v>24</v>
      </c>
      <c r="C615" s="3" t="s">
        <v>27</v>
      </c>
      <c r="D615" s="4">
        <v>45939</v>
      </c>
      <c r="H615" s="3" t="s">
        <v>28</v>
      </c>
      <c r="I615" s="3" t="s">
        <v>106</v>
      </c>
      <c r="O615">
        <v>1</v>
      </c>
      <c r="P615">
        <f t="shared" si="27"/>
        <v>0</v>
      </c>
      <c r="Q615">
        <f t="shared" si="28"/>
        <v>0</v>
      </c>
      <c r="R615">
        <f t="shared" si="29"/>
        <v>0</v>
      </c>
      <c r="S615" s="10" t="str" cm="1">
        <f t="array" ref="S615">_xlfn.IFS(N615="", "", N615&gt;=9,"Promoter", N615&gt;=7,"Passive", N615&lt;=6,"Detractor")</f>
        <v/>
      </c>
    </row>
    <row r="616" spans="1:19" ht="14.25" customHeight="1">
      <c r="A616" s="3" t="s">
        <v>647</v>
      </c>
      <c r="B616" s="3" t="s">
        <v>26</v>
      </c>
      <c r="C616" s="3" t="s">
        <v>21</v>
      </c>
      <c r="D616" s="4">
        <v>45945</v>
      </c>
      <c r="E616" s="4">
        <v>45949</v>
      </c>
      <c r="F616" s="4">
        <v>45953</v>
      </c>
      <c r="G616" s="4">
        <v>45958</v>
      </c>
      <c r="H616" s="3" t="s">
        <v>22</v>
      </c>
      <c r="J616" s="4">
        <v>45980</v>
      </c>
      <c r="K616" s="3">
        <v>4</v>
      </c>
      <c r="L616" s="3">
        <v>4</v>
      </c>
      <c r="M616" s="3">
        <v>5</v>
      </c>
      <c r="N616" s="3">
        <v>6</v>
      </c>
      <c r="O616">
        <v>1</v>
      </c>
      <c r="P616">
        <f t="shared" si="27"/>
        <v>1</v>
      </c>
      <c r="Q616">
        <f t="shared" si="28"/>
        <v>1</v>
      </c>
      <c r="R616">
        <f t="shared" si="29"/>
        <v>1</v>
      </c>
      <c r="S616" s="10" t="str" cm="1">
        <f t="array" ref="S616">_xlfn.IFS(N616="", "", N616&gt;=9,"Promoter", N616&gt;=7,"Passive", N616&lt;=6,"Detractor")</f>
        <v>Detractor</v>
      </c>
    </row>
    <row r="617" spans="1:19" ht="14.25" customHeight="1">
      <c r="A617" s="3" t="s">
        <v>648</v>
      </c>
      <c r="B617" s="3" t="s">
        <v>20</v>
      </c>
      <c r="C617" s="3" t="s">
        <v>21</v>
      </c>
      <c r="D617" s="4">
        <v>45939</v>
      </c>
      <c r="E617" s="4">
        <v>45942</v>
      </c>
      <c r="F617" s="4">
        <v>45943</v>
      </c>
      <c r="G617" s="4">
        <v>45949</v>
      </c>
      <c r="H617" s="3" t="s">
        <v>22</v>
      </c>
      <c r="J617" s="4">
        <v>45960</v>
      </c>
      <c r="K617" s="3">
        <v>3</v>
      </c>
      <c r="L617" s="3">
        <v>1</v>
      </c>
      <c r="M617" s="3">
        <v>6</v>
      </c>
      <c r="N617" s="3">
        <v>6</v>
      </c>
      <c r="O617">
        <v>1</v>
      </c>
      <c r="P617">
        <f t="shared" si="27"/>
        <v>1</v>
      </c>
      <c r="Q617">
        <f t="shared" si="28"/>
        <v>1</v>
      </c>
      <c r="R617">
        <f t="shared" si="29"/>
        <v>1</v>
      </c>
      <c r="S617" s="10" t="str" cm="1">
        <f t="array" ref="S617">_xlfn.IFS(N617="", "", N617&gt;=9,"Promoter", N617&gt;=7,"Passive", N617&lt;=6,"Detractor")</f>
        <v>Detractor</v>
      </c>
    </row>
    <row r="618" spans="1:19" ht="14.25" customHeight="1">
      <c r="A618" s="3" t="s">
        <v>649</v>
      </c>
      <c r="B618" s="3" t="s">
        <v>20</v>
      </c>
      <c r="C618" s="3" t="s">
        <v>21</v>
      </c>
      <c r="D618" s="4">
        <v>45952</v>
      </c>
      <c r="E618" s="4">
        <v>45957</v>
      </c>
      <c r="F618" s="4">
        <v>45958</v>
      </c>
      <c r="G618" s="4">
        <v>45961</v>
      </c>
      <c r="H618" s="3" t="s">
        <v>22</v>
      </c>
      <c r="J618" s="4">
        <v>45989</v>
      </c>
      <c r="K618" s="3">
        <v>5</v>
      </c>
      <c r="L618" s="3">
        <v>1</v>
      </c>
      <c r="M618" s="3">
        <v>3</v>
      </c>
      <c r="N618" s="3">
        <v>3</v>
      </c>
      <c r="O618">
        <v>1</v>
      </c>
      <c r="P618">
        <f t="shared" si="27"/>
        <v>1</v>
      </c>
      <c r="Q618">
        <f t="shared" si="28"/>
        <v>1</v>
      </c>
      <c r="R618">
        <f t="shared" si="29"/>
        <v>1</v>
      </c>
      <c r="S618" s="10" t="str" cm="1">
        <f t="array" ref="S618">_xlfn.IFS(N618="", "", N618&gt;=9,"Promoter", N618&gt;=7,"Passive", N618&lt;=6,"Detractor")</f>
        <v>Detractor</v>
      </c>
    </row>
    <row r="619" spans="1:19" ht="14.25" customHeight="1">
      <c r="A619" s="3" t="s">
        <v>650</v>
      </c>
      <c r="B619" s="3" t="s">
        <v>26</v>
      </c>
      <c r="C619" s="3" t="s">
        <v>35</v>
      </c>
      <c r="D619" s="4">
        <v>45931</v>
      </c>
      <c r="E619" s="4">
        <v>45934</v>
      </c>
      <c r="F619" s="4">
        <v>45939</v>
      </c>
      <c r="G619" s="4">
        <v>45943</v>
      </c>
      <c r="H619" s="3" t="s">
        <v>22</v>
      </c>
      <c r="J619" s="4">
        <v>45971</v>
      </c>
      <c r="K619" s="3">
        <v>3</v>
      </c>
      <c r="L619" s="3">
        <v>5</v>
      </c>
      <c r="M619" s="3">
        <v>4</v>
      </c>
      <c r="N619" s="3">
        <v>4</v>
      </c>
      <c r="O619">
        <v>1</v>
      </c>
      <c r="P619">
        <f t="shared" si="27"/>
        <v>1</v>
      </c>
      <c r="Q619">
        <f t="shared" si="28"/>
        <v>1</v>
      </c>
      <c r="R619">
        <f t="shared" si="29"/>
        <v>1</v>
      </c>
      <c r="S619" s="10" t="str" cm="1">
        <f t="array" ref="S619">_xlfn.IFS(N619="", "", N619&gt;=9,"Promoter", N619&gt;=7,"Passive", N619&lt;=6,"Detractor")</f>
        <v>Detractor</v>
      </c>
    </row>
    <row r="620" spans="1:19" ht="14.25" customHeight="1">
      <c r="A620" s="3" t="s">
        <v>651</v>
      </c>
      <c r="B620" s="3" t="s">
        <v>24</v>
      </c>
      <c r="C620" s="3" t="s">
        <v>27</v>
      </c>
      <c r="D620" s="4">
        <v>45959</v>
      </c>
      <c r="H620" s="3" t="s">
        <v>28</v>
      </c>
      <c r="I620" s="3" t="s">
        <v>106</v>
      </c>
      <c r="O620">
        <v>1</v>
      </c>
      <c r="P620">
        <f t="shared" si="27"/>
        <v>0</v>
      </c>
      <c r="Q620">
        <f t="shared" si="28"/>
        <v>0</v>
      </c>
      <c r="R620">
        <f t="shared" si="29"/>
        <v>0</v>
      </c>
      <c r="S620" s="10" t="str" cm="1">
        <f t="array" ref="S620">_xlfn.IFS(N620="", "", N620&gt;=9,"Promoter", N620&gt;=7,"Passive", N620&lt;=6,"Detractor")</f>
        <v/>
      </c>
    </row>
    <row r="621" spans="1:19" ht="14.25" customHeight="1">
      <c r="A621" s="3" t="s">
        <v>652</v>
      </c>
      <c r="B621" s="3" t="s">
        <v>26</v>
      </c>
      <c r="C621" s="3" t="s">
        <v>21</v>
      </c>
      <c r="D621" s="4">
        <v>45956</v>
      </c>
      <c r="E621" s="4">
        <v>45957</v>
      </c>
      <c r="F621" s="4">
        <v>45960</v>
      </c>
      <c r="G621" s="4">
        <v>45963</v>
      </c>
      <c r="H621" s="3" t="s">
        <v>28</v>
      </c>
      <c r="I621" s="3" t="s">
        <v>68</v>
      </c>
      <c r="K621" s="3">
        <v>1</v>
      </c>
      <c r="L621" s="3">
        <v>3</v>
      </c>
      <c r="M621" s="3">
        <v>3</v>
      </c>
      <c r="O621">
        <v>1</v>
      </c>
      <c r="P621">
        <f t="shared" si="27"/>
        <v>1</v>
      </c>
      <c r="Q621">
        <f t="shared" si="28"/>
        <v>1</v>
      </c>
      <c r="R621">
        <f t="shared" si="29"/>
        <v>0</v>
      </c>
      <c r="S621" s="10" t="str" cm="1">
        <f t="array" ref="S621">_xlfn.IFS(N621="", "", N621&gt;=9,"Promoter", N621&gt;=7,"Passive", N621&lt;=6,"Detractor")</f>
        <v/>
      </c>
    </row>
    <row r="622" spans="1:19" ht="14.25" customHeight="1">
      <c r="A622" s="3" t="s">
        <v>653</v>
      </c>
      <c r="B622" s="3" t="s">
        <v>26</v>
      </c>
      <c r="C622" s="3" t="s">
        <v>21</v>
      </c>
      <c r="D622" s="4">
        <v>45945</v>
      </c>
      <c r="E622" s="4">
        <v>45949</v>
      </c>
      <c r="F622" s="4">
        <v>45954</v>
      </c>
      <c r="G622" s="4">
        <v>45958</v>
      </c>
      <c r="H622" s="3" t="s">
        <v>28</v>
      </c>
      <c r="I622" s="3" t="s">
        <v>38</v>
      </c>
      <c r="K622" s="3">
        <v>4</v>
      </c>
      <c r="L622" s="3">
        <v>5</v>
      </c>
      <c r="M622" s="3">
        <v>4</v>
      </c>
      <c r="O622">
        <v>1</v>
      </c>
      <c r="P622">
        <f t="shared" si="27"/>
        <v>1</v>
      </c>
      <c r="Q622">
        <f t="shared" si="28"/>
        <v>1</v>
      </c>
      <c r="R622">
        <f t="shared" si="29"/>
        <v>0</v>
      </c>
      <c r="S622" s="10" t="str" cm="1">
        <f t="array" ref="S622">_xlfn.IFS(N622="", "", N622&gt;=9,"Promoter", N622&gt;=7,"Passive", N622&lt;=6,"Detractor")</f>
        <v/>
      </c>
    </row>
    <row r="623" spans="1:19" ht="14.25" customHeight="1">
      <c r="A623" s="3" t="s">
        <v>654</v>
      </c>
      <c r="B623" s="3" t="s">
        <v>37</v>
      </c>
      <c r="C623" s="3" t="s">
        <v>35</v>
      </c>
      <c r="D623" s="4">
        <v>45959</v>
      </c>
      <c r="E623" s="4">
        <v>45960</v>
      </c>
      <c r="F623" s="4">
        <v>45963</v>
      </c>
      <c r="G623" s="4">
        <v>45965</v>
      </c>
      <c r="H623" s="3" t="s">
        <v>22</v>
      </c>
      <c r="J623" s="4">
        <v>45981</v>
      </c>
      <c r="K623" s="3">
        <v>1</v>
      </c>
      <c r="L623" s="3">
        <v>3</v>
      </c>
      <c r="M623" s="3">
        <v>2</v>
      </c>
      <c r="N623" s="3">
        <v>6</v>
      </c>
      <c r="O623">
        <v>1</v>
      </c>
      <c r="P623">
        <f t="shared" si="27"/>
        <v>1</v>
      </c>
      <c r="Q623">
        <f t="shared" si="28"/>
        <v>1</v>
      </c>
      <c r="R623">
        <f t="shared" si="29"/>
        <v>1</v>
      </c>
      <c r="S623" s="10" t="str" cm="1">
        <f t="array" ref="S623">_xlfn.IFS(N623="", "", N623&gt;=9,"Promoter", N623&gt;=7,"Passive", N623&lt;=6,"Detractor")</f>
        <v>Detractor</v>
      </c>
    </row>
    <row r="624" spans="1:19" ht="14.25" customHeight="1">
      <c r="A624" s="3" t="s">
        <v>655</v>
      </c>
      <c r="B624" s="3" t="s">
        <v>26</v>
      </c>
      <c r="C624" s="3" t="s">
        <v>21</v>
      </c>
      <c r="D624" s="4">
        <v>45940</v>
      </c>
      <c r="E624" s="4">
        <v>45944</v>
      </c>
      <c r="F624" s="4">
        <v>45945</v>
      </c>
      <c r="G624" s="4">
        <v>45951</v>
      </c>
      <c r="H624" s="3" t="s">
        <v>22</v>
      </c>
      <c r="J624" s="4">
        <v>45971</v>
      </c>
      <c r="K624" s="3">
        <v>4</v>
      </c>
      <c r="L624" s="3">
        <v>1</v>
      </c>
      <c r="M624" s="3">
        <v>6</v>
      </c>
      <c r="N624" s="3">
        <v>9</v>
      </c>
      <c r="O624">
        <v>1</v>
      </c>
      <c r="P624">
        <f t="shared" si="27"/>
        <v>1</v>
      </c>
      <c r="Q624">
        <f t="shared" si="28"/>
        <v>1</v>
      </c>
      <c r="R624">
        <f t="shared" si="29"/>
        <v>1</v>
      </c>
      <c r="S624" s="10" t="str" cm="1">
        <f t="array" ref="S624">_xlfn.IFS(N624="", "", N624&gt;=9,"Promoter", N624&gt;=7,"Passive", N624&lt;=6,"Detractor")</f>
        <v>Promoter</v>
      </c>
    </row>
    <row r="625" spans="1:19" ht="14.25" customHeight="1">
      <c r="A625" s="3" t="s">
        <v>656</v>
      </c>
      <c r="B625" s="3" t="s">
        <v>20</v>
      </c>
      <c r="C625" s="3" t="s">
        <v>21</v>
      </c>
      <c r="D625" s="4">
        <v>45952</v>
      </c>
      <c r="E625" s="4">
        <v>45957</v>
      </c>
      <c r="F625" s="4">
        <v>45962</v>
      </c>
      <c r="G625" s="4">
        <v>45969</v>
      </c>
      <c r="H625" s="3" t="s">
        <v>22</v>
      </c>
      <c r="J625" s="4">
        <v>45986</v>
      </c>
      <c r="K625" s="3">
        <v>5</v>
      </c>
      <c r="L625" s="3">
        <v>5</v>
      </c>
      <c r="M625" s="3">
        <v>7</v>
      </c>
      <c r="N625" s="3">
        <v>8</v>
      </c>
      <c r="O625">
        <v>1</v>
      </c>
      <c r="P625">
        <f t="shared" si="27"/>
        <v>1</v>
      </c>
      <c r="Q625">
        <f t="shared" si="28"/>
        <v>1</v>
      </c>
      <c r="R625">
        <f t="shared" si="29"/>
        <v>1</v>
      </c>
      <c r="S625" s="10" t="str" cm="1">
        <f t="array" ref="S625">_xlfn.IFS(N625="", "", N625&gt;=9,"Promoter", N625&gt;=7,"Passive", N625&lt;=6,"Detractor")</f>
        <v>Passive</v>
      </c>
    </row>
    <row r="626" spans="1:19" ht="14.25" customHeight="1">
      <c r="A626" s="3" t="s">
        <v>657</v>
      </c>
      <c r="B626" s="3" t="s">
        <v>26</v>
      </c>
      <c r="C626" s="3" t="s">
        <v>27</v>
      </c>
      <c r="D626" s="4">
        <v>45948</v>
      </c>
      <c r="H626" s="3" t="s">
        <v>28</v>
      </c>
      <c r="I626" s="3" t="s">
        <v>106</v>
      </c>
      <c r="O626">
        <v>1</v>
      </c>
      <c r="P626">
        <f t="shared" si="27"/>
        <v>0</v>
      </c>
      <c r="Q626">
        <f t="shared" si="28"/>
        <v>0</v>
      </c>
      <c r="R626">
        <f t="shared" si="29"/>
        <v>0</v>
      </c>
      <c r="S626" s="10" t="str" cm="1">
        <f t="array" ref="S626">_xlfn.IFS(N626="", "", N626&gt;=9,"Promoter", N626&gt;=7,"Passive", N626&lt;=6,"Detractor")</f>
        <v/>
      </c>
    </row>
    <row r="627" spans="1:19" ht="14.25" customHeight="1">
      <c r="A627" s="3" t="s">
        <v>658</v>
      </c>
      <c r="B627" s="3" t="s">
        <v>20</v>
      </c>
      <c r="C627" s="3" t="s">
        <v>35</v>
      </c>
      <c r="D627" s="4">
        <v>45936</v>
      </c>
      <c r="E627" s="4">
        <v>45938</v>
      </c>
      <c r="F627" s="4">
        <v>45942</v>
      </c>
      <c r="G627" s="4">
        <v>45949</v>
      </c>
      <c r="H627" s="3" t="s">
        <v>22</v>
      </c>
      <c r="J627" s="4">
        <v>45976</v>
      </c>
      <c r="K627" s="3">
        <v>2</v>
      </c>
      <c r="L627" s="3">
        <v>4</v>
      </c>
      <c r="M627" s="3">
        <v>7</v>
      </c>
      <c r="N627" s="3">
        <v>0</v>
      </c>
      <c r="O627">
        <v>1</v>
      </c>
      <c r="P627">
        <f t="shared" si="27"/>
        <v>1</v>
      </c>
      <c r="Q627">
        <f t="shared" si="28"/>
        <v>1</v>
      </c>
      <c r="R627">
        <f t="shared" si="29"/>
        <v>1</v>
      </c>
      <c r="S627" s="10" t="str" cm="1">
        <f t="array" ref="S627">_xlfn.IFS(N627="", "", N627&gt;=9,"Promoter", N627&gt;=7,"Passive", N627&lt;=6,"Detractor")</f>
        <v>Detractor</v>
      </c>
    </row>
    <row r="628" spans="1:19" ht="14.25" customHeight="1">
      <c r="A628" s="3" t="s">
        <v>659</v>
      </c>
      <c r="B628" s="3" t="s">
        <v>20</v>
      </c>
      <c r="C628" s="3" t="s">
        <v>21</v>
      </c>
      <c r="D628" s="4">
        <v>45933</v>
      </c>
      <c r="E628" s="4">
        <v>45938</v>
      </c>
      <c r="F628" s="4">
        <v>45940</v>
      </c>
      <c r="G628" s="4">
        <v>45942</v>
      </c>
      <c r="H628" s="3" t="s">
        <v>22</v>
      </c>
      <c r="J628" s="4">
        <v>45972</v>
      </c>
      <c r="K628" s="3">
        <v>5</v>
      </c>
      <c r="L628" s="3">
        <v>2</v>
      </c>
      <c r="M628" s="3">
        <v>2</v>
      </c>
      <c r="N628" s="3">
        <v>1</v>
      </c>
      <c r="O628">
        <v>1</v>
      </c>
      <c r="P628">
        <f t="shared" si="27"/>
        <v>1</v>
      </c>
      <c r="Q628">
        <f t="shared" si="28"/>
        <v>1</v>
      </c>
      <c r="R628">
        <f t="shared" si="29"/>
        <v>1</v>
      </c>
      <c r="S628" s="10" t="str" cm="1">
        <f t="array" ref="S628">_xlfn.IFS(N628="", "", N628&gt;=9,"Promoter", N628&gt;=7,"Passive", N628&lt;=6,"Detractor")</f>
        <v>Detractor</v>
      </c>
    </row>
    <row r="629" spans="1:19" ht="14.25" customHeight="1">
      <c r="A629" s="3" t="s">
        <v>660</v>
      </c>
      <c r="B629" s="3" t="s">
        <v>20</v>
      </c>
      <c r="C629" s="3" t="s">
        <v>27</v>
      </c>
      <c r="D629" s="4">
        <v>45945</v>
      </c>
      <c r="H629" s="3" t="s">
        <v>28</v>
      </c>
      <c r="I629" s="3" t="s">
        <v>106</v>
      </c>
      <c r="O629">
        <v>1</v>
      </c>
      <c r="P629">
        <f t="shared" si="27"/>
        <v>0</v>
      </c>
      <c r="Q629">
        <f t="shared" si="28"/>
        <v>0</v>
      </c>
      <c r="R629">
        <f t="shared" si="29"/>
        <v>0</v>
      </c>
      <c r="S629" s="10" t="str" cm="1">
        <f t="array" ref="S629">_xlfn.IFS(N629="", "", N629&gt;=9,"Promoter", N629&gt;=7,"Passive", N629&lt;=6,"Detractor")</f>
        <v/>
      </c>
    </row>
    <row r="630" spans="1:19" ht="14.25" customHeight="1">
      <c r="A630" s="3" t="s">
        <v>661</v>
      </c>
      <c r="B630" s="3" t="s">
        <v>24</v>
      </c>
      <c r="C630" s="3" t="s">
        <v>21</v>
      </c>
      <c r="D630" s="4">
        <v>45961</v>
      </c>
      <c r="E630" s="4">
        <v>45964</v>
      </c>
      <c r="F630" s="4">
        <v>45965</v>
      </c>
      <c r="G630" s="4">
        <v>45968</v>
      </c>
      <c r="H630" s="3" t="s">
        <v>28</v>
      </c>
      <c r="I630" s="3" t="s">
        <v>31</v>
      </c>
      <c r="K630" s="3">
        <v>3</v>
      </c>
      <c r="L630" s="3">
        <v>1</v>
      </c>
      <c r="M630" s="3">
        <v>3</v>
      </c>
      <c r="O630">
        <v>1</v>
      </c>
      <c r="P630">
        <f t="shared" si="27"/>
        <v>1</v>
      </c>
      <c r="Q630">
        <f t="shared" si="28"/>
        <v>1</v>
      </c>
      <c r="R630">
        <f t="shared" si="29"/>
        <v>0</v>
      </c>
      <c r="S630" s="10" t="str" cm="1">
        <f t="array" ref="S630">_xlfn.IFS(N630="", "", N630&gt;=9,"Promoter", N630&gt;=7,"Passive", N630&lt;=6,"Detractor")</f>
        <v/>
      </c>
    </row>
    <row r="631" spans="1:19" ht="14.25" customHeight="1">
      <c r="A631" s="3" t="s">
        <v>662</v>
      </c>
      <c r="B631" s="3" t="s">
        <v>37</v>
      </c>
      <c r="C631" s="3" t="s">
        <v>21</v>
      </c>
      <c r="D631" s="4">
        <v>45942</v>
      </c>
      <c r="E631" s="4">
        <v>45945</v>
      </c>
      <c r="F631" s="4">
        <v>45946</v>
      </c>
      <c r="G631" s="4">
        <v>45953</v>
      </c>
      <c r="H631" s="3" t="s">
        <v>22</v>
      </c>
      <c r="J631" s="4">
        <v>45978</v>
      </c>
      <c r="K631" s="3">
        <v>3</v>
      </c>
      <c r="L631" s="3">
        <v>1</v>
      </c>
      <c r="M631" s="3">
        <v>7</v>
      </c>
      <c r="N631" s="3">
        <v>3</v>
      </c>
      <c r="O631">
        <v>1</v>
      </c>
      <c r="P631">
        <f t="shared" si="27"/>
        <v>1</v>
      </c>
      <c r="Q631">
        <f t="shared" si="28"/>
        <v>1</v>
      </c>
      <c r="R631">
        <f t="shared" si="29"/>
        <v>1</v>
      </c>
      <c r="S631" s="10" t="str" cm="1">
        <f t="array" ref="S631">_xlfn.IFS(N631="", "", N631&gt;=9,"Promoter", N631&gt;=7,"Passive", N631&lt;=6,"Detractor")</f>
        <v>Detractor</v>
      </c>
    </row>
    <row r="632" spans="1:19" ht="14.25" customHeight="1">
      <c r="A632" s="3" t="s">
        <v>663</v>
      </c>
      <c r="B632" s="3" t="s">
        <v>20</v>
      </c>
      <c r="C632" s="3" t="s">
        <v>35</v>
      </c>
      <c r="D632" s="4">
        <v>45949</v>
      </c>
      <c r="E632" s="4">
        <v>45950</v>
      </c>
      <c r="F632" s="4">
        <v>45955</v>
      </c>
      <c r="G632" s="4">
        <v>45961</v>
      </c>
      <c r="H632" s="3" t="s">
        <v>22</v>
      </c>
      <c r="J632" s="4">
        <v>45982</v>
      </c>
      <c r="K632" s="3">
        <v>1</v>
      </c>
      <c r="L632" s="3">
        <v>5</v>
      </c>
      <c r="M632" s="3">
        <v>6</v>
      </c>
      <c r="N632" s="3">
        <v>1</v>
      </c>
      <c r="O632">
        <v>1</v>
      </c>
      <c r="P632">
        <f t="shared" si="27"/>
        <v>1</v>
      </c>
      <c r="Q632">
        <f t="shared" si="28"/>
        <v>1</v>
      </c>
      <c r="R632">
        <f t="shared" si="29"/>
        <v>1</v>
      </c>
      <c r="S632" s="10" t="str" cm="1">
        <f t="array" ref="S632">_xlfn.IFS(N632="", "", N632&gt;=9,"Promoter", N632&gt;=7,"Passive", N632&lt;=6,"Detractor")</f>
        <v>Detractor</v>
      </c>
    </row>
    <row r="633" spans="1:19" ht="14.25" customHeight="1">
      <c r="A633" s="3" t="s">
        <v>664</v>
      </c>
      <c r="B633" s="3" t="s">
        <v>20</v>
      </c>
      <c r="C633" s="3" t="s">
        <v>27</v>
      </c>
      <c r="D633" s="4">
        <v>45940</v>
      </c>
      <c r="H633" s="3" t="s">
        <v>28</v>
      </c>
      <c r="I633" s="3" t="s">
        <v>68</v>
      </c>
      <c r="O633">
        <v>1</v>
      </c>
      <c r="P633">
        <f t="shared" si="27"/>
        <v>0</v>
      </c>
      <c r="Q633">
        <f t="shared" si="28"/>
        <v>0</v>
      </c>
      <c r="R633">
        <f t="shared" si="29"/>
        <v>0</v>
      </c>
      <c r="S633" s="10" t="str" cm="1">
        <f t="array" ref="S633">_xlfn.IFS(N633="", "", N633&gt;=9,"Promoter", N633&gt;=7,"Passive", N633&lt;=6,"Detractor")</f>
        <v/>
      </c>
    </row>
    <row r="634" spans="1:19" ht="14.25" customHeight="1">
      <c r="A634" s="3" t="s">
        <v>665</v>
      </c>
      <c r="B634" s="3" t="s">
        <v>24</v>
      </c>
      <c r="C634" s="3" t="s">
        <v>35</v>
      </c>
      <c r="D634" s="4">
        <v>45951</v>
      </c>
      <c r="E634" s="4">
        <v>45952</v>
      </c>
      <c r="F634" s="4">
        <v>45954</v>
      </c>
      <c r="G634" s="4">
        <v>45956</v>
      </c>
      <c r="H634" s="3" t="s">
        <v>22</v>
      </c>
      <c r="J634" s="4">
        <v>45982</v>
      </c>
      <c r="K634" s="3">
        <v>1</v>
      </c>
      <c r="L634" s="3">
        <v>2</v>
      </c>
      <c r="M634" s="3">
        <v>2</v>
      </c>
      <c r="N634" s="3">
        <v>9</v>
      </c>
      <c r="O634">
        <v>1</v>
      </c>
      <c r="P634">
        <f t="shared" si="27"/>
        <v>1</v>
      </c>
      <c r="Q634">
        <f t="shared" si="28"/>
        <v>1</v>
      </c>
      <c r="R634">
        <f t="shared" si="29"/>
        <v>1</v>
      </c>
      <c r="S634" s="10" t="str" cm="1">
        <f t="array" ref="S634">_xlfn.IFS(N634="", "", N634&gt;=9,"Promoter", N634&gt;=7,"Passive", N634&lt;=6,"Detractor")</f>
        <v>Promoter</v>
      </c>
    </row>
    <row r="635" spans="1:19" ht="14.25" customHeight="1">
      <c r="A635" s="3" t="s">
        <v>666</v>
      </c>
      <c r="B635" s="3" t="s">
        <v>20</v>
      </c>
      <c r="C635" s="3" t="s">
        <v>21</v>
      </c>
      <c r="D635" s="4">
        <v>45961</v>
      </c>
      <c r="E635" s="4">
        <v>45964</v>
      </c>
      <c r="F635" s="4">
        <v>45966</v>
      </c>
      <c r="G635" s="4">
        <v>45968</v>
      </c>
      <c r="H635" s="3" t="s">
        <v>22</v>
      </c>
      <c r="J635" s="4">
        <v>45987</v>
      </c>
      <c r="K635" s="3">
        <v>3</v>
      </c>
      <c r="L635" s="3">
        <v>2</v>
      </c>
      <c r="M635" s="3">
        <v>2</v>
      </c>
      <c r="N635" s="3">
        <v>3</v>
      </c>
      <c r="O635">
        <v>1</v>
      </c>
      <c r="P635">
        <f t="shared" si="27"/>
        <v>1</v>
      </c>
      <c r="Q635">
        <f t="shared" si="28"/>
        <v>1</v>
      </c>
      <c r="R635">
        <f t="shared" si="29"/>
        <v>1</v>
      </c>
      <c r="S635" s="10" t="str" cm="1">
        <f t="array" ref="S635">_xlfn.IFS(N635="", "", N635&gt;=9,"Promoter", N635&gt;=7,"Passive", N635&lt;=6,"Detractor")</f>
        <v>Detractor</v>
      </c>
    </row>
    <row r="636" spans="1:19" ht="14.25" customHeight="1">
      <c r="A636" s="3" t="s">
        <v>667</v>
      </c>
      <c r="B636" s="3" t="s">
        <v>26</v>
      </c>
      <c r="C636" s="3" t="s">
        <v>21</v>
      </c>
      <c r="D636" s="4">
        <v>45944</v>
      </c>
      <c r="E636" s="4">
        <v>45947</v>
      </c>
      <c r="F636" s="4">
        <v>45949</v>
      </c>
      <c r="G636" s="4">
        <v>45951</v>
      </c>
      <c r="H636" s="3" t="s">
        <v>22</v>
      </c>
      <c r="J636" s="4">
        <v>45966</v>
      </c>
      <c r="K636" s="3">
        <v>3</v>
      </c>
      <c r="L636" s="3">
        <v>2</v>
      </c>
      <c r="M636" s="3">
        <v>2</v>
      </c>
      <c r="N636" s="3">
        <v>5</v>
      </c>
      <c r="O636">
        <v>1</v>
      </c>
      <c r="P636">
        <f t="shared" si="27"/>
        <v>1</v>
      </c>
      <c r="Q636">
        <f t="shared" si="28"/>
        <v>1</v>
      </c>
      <c r="R636">
        <f t="shared" si="29"/>
        <v>1</v>
      </c>
      <c r="S636" s="10" t="str" cm="1">
        <f t="array" ref="S636">_xlfn.IFS(N636="", "", N636&gt;=9,"Promoter", N636&gt;=7,"Passive", N636&lt;=6,"Detractor")</f>
        <v>Detractor</v>
      </c>
    </row>
    <row r="637" spans="1:19" ht="14.25" customHeight="1">
      <c r="A637" s="3" t="s">
        <v>668</v>
      </c>
      <c r="B637" s="3" t="s">
        <v>26</v>
      </c>
      <c r="C637" s="3" t="s">
        <v>35</v>
      </c>
      <c r="D637" s="4">
        <v>45953</v>
      </c>
      <c r="E637" s="4">
        <v>45956</v>
      </c>
      <c r="F637" s="4">
        <v>45961</v>
      </c>
      <c r="G637" s="4">
        <v>45964</v>
      </c>
      <c r="H637" s="3" t="s">
        <v>28</v>
      </c>
      <c r="I637" s="3" t="s">
        <v>106</v>
      </c>
      <c r="K637" s="3">
        <v>3</v>
      </c>
      <c r="L637" s="3">
        <v>5</v>
      </c>
      <c r="M637" s="3">
        <v>3</v>
      </c>
      <c r="O637">
        <v>1</v>
      </c>
      <c r="P637">
        <f t="shared" si="27"/>
        <v>1</v>
      </c>
      <c r="Q637">
        <f t="shared" si="28"/>
        <v>1</v>
      </c>
      <c r="R637">
        <f t="shared" si="29"/>
        <v>0</v>
      </c>
      <c r="S637" s="10" t="str" cm="1">
        <f t="array" ref="S637">_xlfn.IFS(N637="", "", N637&gt;=9,"Promoter", N637&gt;=7,"Passive", N637&lt;=6,"Detractor")</f>
        <v/>
      </c>
    </row>
    <row r="638" spans="1:19" ht="14.25" customHeight="1">
      <c r="A638" s="3" t="s">
        <v>669</v>
      </c>
      <c r="B638" s="3" t="s">
        <v>37</v>
      </c>
      <c r="C638" s="3" t="s">
        <v>21</v>
      </c>
      <c r="D638" s="4">
        <v>45939</v>
      </c>
      <c r="E638" s="4">
        <v>45943</v>
      </c>
      <c r="F638" s="4">
        <v>45948</v>
      </c>
      <c r="G638" s="4">
        <v>45950</v>
      </c>
      <c r="H638" s="3" t="s">
        <v>22</v>
      </c>
      <c r="J638" s="4">
        <v>45977</v>
      </c>
      <c r="K638" s="3">
        <v>4</v>
      </c>
      <c r="L638" s="3">
        <v>5</v>
      </c>
      <c r="M638" s="3">
        <v>2</v>
      </c>
      <c r="N638" s="3">
        <v>3</v>
      </c>
      <c r="O638">
        <v>1</v>
      </c>
      <c r="P638">
        <f t="shared" si="27"/>
        <v>1</v>
      </c>
      <c r="Q638">
        <f t="shared" si="28"/>
        <v>1</v>
      </c>
      <c r="R638">
        <f t="shared" si="29"/>
        <v>1</v>
      </c>
      <c r="S638" s="10" t="str" cm="1">
        <f t="array" ref="S638">_xlfn.IFS(N638="", "", N638&gt;=9,"Promoter", N638&gt;=7,"Passive", N638&lt;=6,"Detractor")</f>
        <v>Detractor</v>
      </c>
    </row>
    <row r="639" spans="1:19" ht="14.25" customHeight="1">
      <c r="A639" s="3" t="s">
        <v>670</v>
      </c>
      <c r="B639" s="3" t="s">
        <v>20</v>
      </c>
      <c r="C639" s="3" t="s">
        <v>35</v>
      </c>
      <c r="D639" s="4">
        <v>45945</v>
      </c>
      <c r="E639" s="4">
        <v>45950</v>
      </c>
      <c r="F639" s="4">
        <v>45953</v>
      </c>
      <c r="G639" s="4">
        <v>45958</v>
      </c>
      <c r="H639" s="3" t="s">
        <v>22</v>
      </c>
      <c r="J639" s="4">
        <v>45973</v>
      </c>
      <c r="K639" s="3">
        <v>5</v>
      </c>
      <c r="L639" s="3">
        <v>3</v>
      </c>
      <c r="M639" s="3">
        <v>5</v>
      </c>
      <c r="N639" s="3">
        <v>2</v>
      </c>
      <c r="O639">
        <v>1</v>
      </c>
      <c r="P639">
        <f t="shared" si="27"/>
        <v>1</v>
      </c>
      <c r="Q639">
        <f t="shared" si="28"/>
        <v>1</v>
      </c>
      <c r="R639">
        <f t="shared" si="29"/>
        <v>1</v>
      </c>
      <c r="S639" s="10" t="str" cm="1">
        <f t="array" ref="S639">_xlfn.IFS(N639="", "", N639&gt;=9,"Promoter", N639&gt;=7,"Passive", N639&lt;=6,"Detractor")</f>
        <v>Detractor</v>
      </c>
    </row>
    <row r="640" spans="1:19" ht="14.25" customHeight="1">
      <c r="A640" s="3" t="s">
        <v>671</v>
      </c>
      <c r="B640" s="3" t="s">
        <v>24</v>
      </c>
      <c r="C640" s="3" t="s">
        <v>35</v>
      </c>
      <c r="D640" s="4">
        <v>45958</v>
      </c>
      <c r="E640" s="4">
        <v>45962</v>
      </c>
      <c r="F640" s="4">
        <v>45965</v>
      </c>
      <c r="G640" s="4">
        <v>45969</v>
      </c>
      <c r="H640" s="3" t="s">
        <v>22</v>
      </c>
      <c r="J640" s="4">
        <v>45988</v>
      </c>
      <c r="K640" s="3">
        <v>4</v>
      </c>
      <c r="L640" s="3">
        <v>3</v>
      </c>
      <c r="M640" s="3">
        <v>4</v>
      </c>
      <c r="N640" s="3">
        <v>1</v>
      </c>
      <c r="O640">
        <v>1</v>
      </c>
      <c r="P640">
        <f t="shared" si="27"/>
        <v>1</v>
      </c>
      <c r="Q640">
        <f t="shared" si="28"/>
        <v>1</v>
      </c>
      <c r="R640">
        <f t="shared" si="29"/>
        <v>1</v>
      </c>
      <c r="S640" s="10" t="str" cm="1">
        <f t="array" ref="S640">_xlfn.IFS(N640="", "", N640&gt;=9,"Promoter", N640&gt;=7,"Passive", N640&lt;=6,"Detractor")</f>
        <v>Detractor</v>
      </c>
    </row>
    <row r="641" spans="1:19" ht="14.25" customHeight="1">
      <c r="A641" s="3" t="s">
        <v>672</v>
      </c>
      <c r="B641" s="3" t="s">
        <v>26</v>
      </c>
      <c r="C641" s="3" t="s">
        <v>21</v>
      </c>
      <c r="D641" s="4">
        <v>45940</v>
      </c>
      <c r="E641" s="4">
        <v>45942</v>
      </c>
      <c r="F641" s="4">
        <v>45945</v>
      </c>
      <c r="G641" s="4">
        <v>45950</v>
      </c>
      <c r="H641" s="3" t="s">
        <v>22</v>
      </c>
      <c r="J641" s="4">
        <v>45963</v>
      </c>
      <c r="K641" s="3">
        <v>2</v>
      </c>
      <c r="L641" s="3">
        <v>3</v>
      </c>
      <c r="M641" s="3">
        <v>5</v>
      </c>
      <c r="N641" s="3">
        <v>8</v>
      </c>
      <c r="O641">
        <v>1</v>
      </c>
      <c r="P641">
        <f t="shared" si="27"/>
        <v>1</v>
      </c>
      <c r="Q641">
        <f t="shared" si="28"/>
        <v>1</v>
      </c>
      <c r="R641">
        <f t="shared" si="29"/>
        <v>1</v>
      </c>
      <c r="S641" s="10" t="str" cm="1">
        <f t="array" ref="S641">_xlfn.IFS(N641="", "", N641&gt;=9,"Promoter", N641&gt;=7,"Passive", N641&lt;=6,"Detractor")</f>
        <v>Passive</v>
      </c>
    </row>
    <row r="642" spans="1:19" ht="14.25" customHeight="1">
      <c r="A642" s="3" t="s">
        <v>673</v>
      </c>
      <c r="B642" s="3" t="s">
        <v>24</v>
      </c>
      <c r="C642" s="3" t="s">
        <v>27</v>
      </c>
      <c r="D642" s="4">
        <v>45937</v>
      </c>
      <c r="H642" s="3" t="s">
        <v>28</v>
      </c>
      <c r="I642" s="3" t="s">
        <v>31</v>
      </c>
      <c r="O642">
        <v>1</v>
      </c>
      <c r="P642">
        <f t="shared" si="27"/>
        <v>0</v>
      </c>
      <c r="Q642">
        <f t="shared" si="28"/>
        <v>0</v>
      </c>
      <c r="R642">
        <f t="shared" si="29"/>
        <v>0</v>
      </c>
      <c r="S642" s="10" t="str" cm="1">
        <f t="array" ref="S642">_xlfn.IFS(N642="", "", N642&gt;=9,"Promoter", N642&gt;=7,"Passive", N642&lt;=6,"Detractor")</f>
        <v/>
      </c>
    </row>
    <row r="643" spans="1:19" ht="14.25" customHeight="1">
      <c r="A643" s="3" t="s">
        <v>674</v>
      </c>
      <c r="B643" s="3" t="s">
        <v>24</v>
      </c>
      <c r="C643" s="3" t="s">
        <v>21</v>
      </c>
      <c r="D643" s="4">
        <v>45943</v>
      </c>
      <c r="E643" s="4">
        <v>45947</v>
      </c>
      <c r="F643" s="4">
        <v>45951</v>
      </c>
      <c r="G643" s="4">
        <v>45954</v>
      </c>
      <c r="H643" s="3" t="s">
        <v>22</v>
      </c>
      <c r="J643" s="4">
        <v>45979</v>
      </c>
      <c r="K643" s="3">
        <v>4</v>
      </c>
      <c r="L643" s="3">
        <v>4</v>
      </c>
      <c r="M643" s="3">
        <v>3</v>
      </c>
      <c r="N643" s="3">
        <v>9</v>
      </c>
      <c r="O643">
        <v>1</v>
      </c>
      <c r="P643">
        <f t="shared" ref="P643:P706" si="30">IF(E643&lt;&gt;"", 1, 0)</f>
        <v>1</v>
      </c>
      <c r="Q643">
        <f t="shared" ref="Q643:Q706" si="31">IF(G643&lt;&gt;"",1,0)</f>
        <v>1</v>
      </c>
      <c r="R643">
        <f t="shared" ref="R643:R706" si="32">IF(AND(G643&lt;&gt;"", H643="No"), 1, 0)</f>
        <v>1</v>
      </c>
      <c r="S643" s="10" t="str" cm="1">
        <f t="array" ref="S643">_xlfn.IFS(N643="", "", N643&gt;=9,"Promoter", N643&gt;=7,"Passive", N643&lt;=6,"Detractor")</f>
        <v>Promoter</v>
      </c>
    </row>
    <row r="644" spans="1:19" ht="14.25" customHeight="1">
      <c r="A644" s="3" t="s">
        <v>675</v>
      </c>
      <c r="B644" s="3" t="s">
        <v>26</v>
      </c>
      <c r="C644" s="3" t="s">
        <v>21</v>
      </c>
      <c r="D644" s="4">
        <v>45958</v>
      </c>
      <c r="E644" s="4">
        <v>45961</v>
      </c>
      <c r="F644" s="4">
        <v>45962</v>
      </c>
      <c r="G644" s="4">
        <v>45965</v>
      </c>
      <c r="H644" s="3" t="s">
        <v>22</v>
      </c>
      <c r="J644" s="4">
        <v>45979</v>
      </c>
      <c r="K644" s="3">
        <v>3</v>
      </c>
      <c r="L644" s="3">
        <v>1</v>
      </c>
      <c r="M644" s="3">
        <v>3</v>
      </c>
      <c r="N644" s="3">
        <v>4</v>
      </c>
      <c r="O644">
        <v>1</v>
      </c>
      <c r="P644">
        <f t="shared" si="30"/>
        <v>1</v>
      </c>
      <c r="Q644">
        <f t="shared" si="31"/>
        <v>1</v>
      </c>
      <c r="R644">
        <f t="shared" si="32"/>
        <v>1</v>
      </c>
      <c r="S644" s="10" t="str" cm="1">
        <f t="array" ref="S644">_xlfn.IFS(N644="", "", N644&gt;=9,"Promoter", N644&gt;=7,"Passive", N644&lt;=6,"Detractor")</f>
        <v>Detractor</v>
      </c>
    </row>
    <row r="645" spans="1:19" ht="14.25" customHeight="1">
      <c r="A645" s="3" t="s">
        <v>676</v>
      </c>
      <c r="B645" s="3" t="s">
        <v>24</v>
      </c>
      <c r="C645" s="3" t="s">
        <v>35</v>
      </c>
      <c r="D645" s="4">
        <v>45946</v>
      </c>
      <c r="E645" s="4">
        <v>45950</v>
      </c>
      <c r="F645" s="4">
        <v>45953</v>
      </c>
      <c r="G645" s="4">
        <v>45955</v>
      </c>
      <c r="H645" s="3" t="s">
        <v>22</v>
      </c>
      <c r="J645" s="4">
        <v>45973</v>
      </c>
      <c r="K645" s="3">
        <v>4</v>
      </c>
      <c r="L645" s="3">
        <v>3</v>
      </c>
      <c r="M645" s="3">
        <v>2</v>
      </c>
      <c r="N645" s="3">
        <v>4</v>
      </c>
      <c r="O645">
        <v>1</v>
      </c>
      <c r="P645">
        <f t="shared" si="30"/>
        <v>1</v>
      </c>
      <c r="Q645">
        <f t="shared" si="31"/>
        <v>1</v>
      </c>
      <c r="R645">
        <f t="shared" si="32"/>
        <v>1</v>
      </c>
      <c r="S645" s="10" t="str" cm="1">
        <f t="array" ref="S645">_xlfn.IFS(N645="", "", N645&gt;=9,"Promoter", N645&gt;=7,"Passive", N645&lt;=6,"Detractor")</f>
        <v>Detractor</v>
      </c>
    </row>
    <row r="646" spans="1:19" ht="14.25" customHeight="1">
      <c r="A646" s="3" t="s">
        <v>677</v>
      </c>
      <c r="B646" s="3" t="s">
        <v>26</v>
      </c>
      <c r="C646" s="3" t="s">
        <v>35</v>
      </c>
      <c r="D646" s="4">
        <v>45934</v>
      </c>
      <c r="E646" s="4">
        <v>45935</v>
      </c>
      <c r="F646" s="4">
        <v>45939</v>
      </c>
      <c r="G646" s="4">
        <v>45945</v>
      </c>
      <c r="H646" s="3" t="s">
        <v>22</v>
      </c>
      <c r="J646" s="4">
        <v>45972</v>
      </c>
      <c r="K646" s="3">
        <v>1</v>
      </c>
      <c r="L646" s="3">
        <v>4</v>
      </c>
      <c r="M646" s="3">
        <v>6</v>
      </c>
      <c r="N646" s="3">
        <v>1</v>
      </c>
      <c r="O646">
        <v>1</v>
      </c>
      <c r="P646">
        <f t="shared" si="30"/>
        <v>1</v>
      </c>
      <c r="Q646">
        <f t="shared" si="31"/>
        <v>1</v>
      </c>
      <c r="R646">
        <f t="shared" si="32"/>
        <v>1</v>
      </c>
      <c r="S646" s="10" t="str" cm="1">
        <f t="array" ref="S646">_xlfn.IFS(N646="", "", N646&gt;=9,"Promoter", N646&gt;=7,"Passive", N646&lt;=6,"Detractor")</f>
        <v>Detractor</v>
      </c>
    </row>
    <row r="647" spans="1:19" ht="14.25" customHeight="1">
      <c r="A647" s="3" t="s">
        <v>678</v>
      </c>
      <c r="B647" s="3" t="s">
        <v>24</v>
      </c>
      <c r="C647" s="3" t="s">
        <v>35</v>
      </c>
      <c r="D647" s="4">
        <v>45938</v>
      </c>
      <c r="E647" s="4">
        <v>45941</v>
      </c>
      <c r="F647" s="4">
        <v>45945</v>
      </c>
      <c r="G647" s="4">
        <v>45952</v>
      </c>
      <c r="H647" s="3" t="s">
        <v>22</v>
      </c>
      <c r="J647" s="4">
        <v>45967</v>
      </c>
      <c r="K647" s="3">
        <v>3</v>
      </c>
      <c r="L647" s="3">
        <v>4</v>
      </c>
      <c r="M647" s="3">
        <v>7</v>
      </c>
      <c r="N647" s="3">
        <v>0</v>
      </c>
      <c r="O647">
        <v>1</v>
      </c>
      <c r="P647">
        <f t="shared" si="30"/>
        <v>1</v>
      </c>
      <c r="Q647">
        <f t="shared" si="31"/>
        <v>1</v>
      </c>
      <c r="R647">
        <f t="shared" si="32"/>
        <v>1</v>
      </c>
      <c r="S647" s="10" t="str" cm="1">
        <f t="array" ref="S647">_xlfn.IFS(N647="", "", N647&gt;=9,"Promoter", N647&gt;=7,"Passive", N647&lt;=6,"Detractor")</f>
        <v>Detractor</v>
      </c>
    </row>
    <row r="648" spans="1:19" ht="14.25" customHeight="1">
      <c r="A648" s="3" t="s">
        <v>679</v>
      </c>
      <c r="B648" s="3" t="s">
        <v>26</v>
      </c>
      <c r="C648" s="3" t="s">
        <v>35</v>
      </c>
      <c r="D648" s="4">
        <v>45943</v>
      </c>
      <c r="E648" s="4">
        <v>45948</v>
      </c>
      <c r="F648" s="4">
        <v>45953</v>
      </c>
      <c r="G648" s="4">
        <v>45960</v>
      </c>
      <c r="H648" s="3" t="s">
        <v>22</v>
      </c>
      <c r="J648" s="4">
        <v>45980</v>
      </c>
      <c r="K648" s="3">
        <v>5</v>
      </c>
      <c r="L648" s="3">
        <v>5</v>
      </c>
      <c r="M648" s="3">
        <v>7</v>
      </c>
      <c r="N648" s="3">
        <v>6</v>
      </c>
      <c r="O648">
        <v>1</v>
      </c>
      <c r="P648">
        <f t="shared" si="30"/>
        <v>1</v>
      </c>
      <c r="Q648">
        <f t="shared" si="31"/>
        <v>1</v>
      </c>
      <c r="R648">
        <f t="shared" si="32"/>
        <v>1</v>
      </c>
      <c r="S648" s="10" t="str" cm="1">
        <f t="array" ref="S648">_xlfn.IFS(N648="", "", N648&gt;=9,"Promoter", N648&gt;=7,"Passive", N648&lt;=6,"Detractor")</f>
        <v>Detractor</v>
      </c>
    </row>
    <row r="649" spans="1:19" ht="14.25" customHeight="1">
      <c r="A649" s="3" t="s">
        <v>680</v>
      </c>
      <c r="B649" s="3" t="s">
        <v>20</v>
      </c>
      <c r="C649" s="3" t="s">
        <v>21</v>
      </c>
      <c r="D649" s="4">
        <v>45949</v>
      </c>
      <c r="E649" s="4">
        <v>45953</v>
      </c>
      <c r="F649" s="4">
        <v>45955</v>
      </c>
      <c r="G649" s="4">
        <v>45962</v>
      </c>
      <c r="H649" s="3" t="s">
        <v>22</v>
      </c>
      <c r="J649" s="4">
        <v>45992</v>
      </c>
      <c r="K649" s="3">
        <v>4</v>
      </c>
      <c r="L649" s="3">
        <v>2</v>
      </c>
      <c r="M649" s="3">
        <v>7</v>
      </c>
      <c r="N649" s="3">
        <v>5</v>
      </c>
      <c r="O649">
        <v>1</v>
      </c>
      <c r="P649">
        <f t="shared" si="30"/>
        <v>1</v>
      </c>
      <c r="Q649">
        <f t="shared" si="31"/>
        <v>1</v>
      </c>
      <c r="R649">
        <f t="shared" si="32"/>
        <v>1</v>
      </c>
      <c r="S649" s="10" t="str" cm="1">
        <f t="array" ref="S649">_xlfn.IFS(N649="", "", N649&gt;=9,"Promoter", N649&gt;=7,"Passive", N649&lt;=6,"Detractor")</f>
        <v>Detractor</v>
      </c>
    </row>
    <row r="650" spans="1:19" ht="14.25" customHeight="1">
      <c r="A650" s="3" t="s">
        <v>681</v>
      </c>
      <c r="B650" s="3" t="s">
        <v>37</v>
      </c>
      <c r="C650" s="3" t="s">
        <v>21</v>
      </c>
      <c r="D650" s="4">
        <v>45942</v>
      </c>
      <c r="E650" s="4">
        <v>45945</v>
      </c>
      <c r="F650" s="4">
        <v>45947</v>
      </c>
      <c r="G650" s="4">
        <v>45952</v>
      </c>
      <c r="H650" s="3" t="s">
        <v>22</v>
      </c>
      <c r="J650" s="4">
        <v>45964</v>
      </c>
      <c r="K650" s="3">
        <v>3</v>
      </c>
      <c r="L650" s="3">
        <v>2</v>
      </c>
      <c r="M650" s="3">
        <v>5</v>
      </c>
      <c r="N650" s="3">
        <v>0</v>
      </c>
      <c r="O650">
        <v>1</v>
      </c>
      <c r="P650">
        <f t="shared" si="30"/>
        <v>1</v>
      </c>
      <c r="Q650">
        <f t="shared" si="31"/>
        <v>1</v>
      </c>
      <c r="R650">
        <f t="shared" si="32"/>
        <v>1</v>
      </c>
      <c r="S650" s="10" t="str" cm="1">
        <f t="array" ref="S650">_xlfn.IFS(N650="", "", N650&gt;=9,"Promoter", N650&gt;=7,"Passive", N650&lt;=6,"Detractor")</f>
        <v>Detractor</v>
      </c>
    </row>
    <row r="651" spans="1:19" ht="14.25" customHeight="1">
      <c r="A651" s="3" t="s">
        <v>682</v>
      </c>
      <c r="B651" s="3" t="s">
        <v>26</v>
      </c>
      <c r="C651" s="3" t="s">
        <v>21</v>
      </c>
      <c r="D651" s="4">
        <v>45949</v>
      </c>
      <c r="E651" s="4">
        <v>45950</v>
      </c>
      <c r="F651" s="4">
        <v>45953</v>
      </c>
      <c r="G651" s="4">
        <v>45956</v>
      </c>
      <c r="H651" s="3" t="s">
        <v>28</v>
      </c>
      <c r="I651" s="3" t="s">
        <v>29</v>
      </c>
      <c r="K651" s="3">
        <v>1</v>
      </c>
      <c r="L651" s="3">
        <v>3</v>
      </c>
      <c r="M651" s="3">
        <v>3</v>
      </c>
      <c r="O651">
        <v>1</v>
      </c>
      <c r="P651">
        <f t="shared" si="30"/>
        <v>1</v>
      </c>
      <c r="Q651">
        <f t="shared" si="31"/>
        <v>1</v>
      </c>
      <c r="R651">
        <f t="shared" si="32"/>
        <v>0</v>
      </c>
      <c r="S651" s="10" t="str" cm="1">
        <f t="array" ref="S651">_xlfn.IFS(N651="", "", N651&gt;=9,"Promoter", N651&gt;=7,"Passive", N651&lt;=6,"Detractor")</f>
        <v/>
      </c>
    </row>
    <row r="652" spans="1:19" ht="14.25" customHeight="1">
      <c r="A652" s="3" t="s">
        <v>683</v>
      </c>
      <c r="B652" s="3" t="s">
        <v>26</v>
      </c>
      <c r="C652" s="3" t="s">
        <v>35</v>
      </c>
      <c r="D652" s="4">
        <v>45940</v>
      </c>
      <c r="E652" s="4">
        <v>45941</v>
      </c>
      <c r="F652" s="4">
        <v>45942</v>
      </c>
      <c r="G652" s="4">
        <v>45946</v>
      </c>
      <c r="H652" s="3" t="s">
        <v>28</v>
      </c>
      <c r="I652" s="3" t="s">
        <v>106</v>
      </c>
      <c r="K652" s="3">
        <v>1</v>
      </c>
      <c r="L652" s="3">
        <v>1</v>
      </c>
      <c r="M652" s="3">
        <v>4</v>
      </c>
      <c r="O652">
        <v>1</v>
      </c>
      <c r="P652">
        <f t="shared" si="30"/>
        <v>1</v>
      </c>
      <c r="Q652">
        <f t="shared" si="31"/>
        <v>1</v>
      </c>
      <c r="R652">
        <f t="shared" si="32"/>
        <v>0</v>
      </c>
      <c r="S652" s="10" t="str" cm="1">
        <f t="array" ref="S652">_xlfn.IFS(N652="", "", N652&gt;=9,"Promoter", N652&gt;=7,"Passive", N652&lt;=6,"Detractor")</f>
        <v/>
      </c>
    </row>
    <row r="653" spans="1:19" ht="14.25" customHeight="1">
      <c r="A653" s="3" t="s">
        <v>684</v>
      </c>
      <c r="B653" s="3" t="s">
        <v>37</v>
      </c>
      <c r="C653" s="3" t="s">
        <v>21</v>
      </c>
      <c r="D653" s="4">
        <v>45953</v>
      </c>
      <c r="E653" s="4">
        <v>45957</v>
      </c>
      <c r="F653" s="4">
        <v>45958</v>
      </c>
      <c r="G653" s="4">
        <v>45961</v>
      </c>
      <c r="H653" s="3" t="s">
        <v>28</v>
      </c>
      <c r="I653" s="3" t="s">
        <v>106</v>
      </c>
      <c r="K653" s="3">
        <v>4</v>
      </c>
      <c r="L653" s="3">
        <v>1</v>
      </c>
      <c r="M653" s="3">
        <v>3</v>
      </c>
      <c r="O653">
        <v>1</v>
      </c>
      <c r="P653">
        <f t="shared" si="30"/>
        <v>1</v>
      </c>
      <c r="Q653">
        <f t="shared" si="31"/>
        <v>1</v>
      </c>
      <c r="R653">
        <f t="shared" si="32"/>
        <v>0</v>
      </c>
      <c r="S653" s="10" t="str" cm="1">
        <f t="array" ref="S653">_xlfn.IFS(N653="", "", N653&gt;=9,"Promoter", N653&gt;=7,"Passive", N653&lt;=6,"Detractor")</f>
        <v/>
      </c>
    </row>
    <row r="654" spans="1:19" ht="14.25" customHeight="1">
      <c r="A654" s="3" t="s">
        <v>685</v>
      </c>
      <c r="B654" s="3" t="s">
        <v>26</v>
      </c>
      <c r="C654" s="3" t="s">
        <v>27</v>
      </c>
      <c r="D654" s="4">
        <v>45940</v>
      </c>
      <c r="H654" s="3" t="s">
        <v>28</v>
      </c>
      <c r="I654" s="3" t="s">
        <v>31</v>
      </c>
      <c r="O654">
        <v>1</v>
      </c>
      <c r="P654">
        <f t="shared" si="30"/>
        <v>0</v>
      </c>
      <c r="Q654">
        <f t="shared" si="31"/>
        <v>0</v>
      </c>
      <c r="R654">
        <f t="shared" si="32"/>
        <v>0</v>
      </c>
      <c r="S654" s="10" t="str" cm="1">
        <f t="array" ref="S654">_xlfn.IFS(N654="", "", N654&gt;=9,"Promoter", N654&gt;=7,"Passive", N654&lt;=6,"Detractor")</f>
        <v/>
      </c>
    </row>
    <row r="655" spans="1:19" ht="14.25" customHeight="1">
      <c r="A655" s="3" t="s">
        <v>686</v>
      </c>
      <c r="B655" s="3" t="s">
        <v>26</v>
      </c>
      <c r="C655" s="3" t="s">
        <v>35</v>
      </c>
      <c r="D655" s="4">
        <v>45931</v>
      </c>
      <c r="E655" s="4">
        <v>45934</v>
      </c>
      <c r="F655" s="4">
        <v>45935</v>
      </c>
      <c r="G655" s="4">
        <v>45940</v>
      </c>
      <c r="H655" s="3" t="s">
        <v>22</v>
      </c>
      <c r="J655" s="4">
        <v>45957</v>
      </c>
      <c r="K655" s="3">
        <v>3</v>
      </c>
      <c r="L655" s="3">
        <v>1</v>
      </c>
      <c r="M655" s="3">
        <v>5</v>
      </c>
      <c r="N655" s="3">
        <v>3</v>
      </c>
      <c r="O655">
        <v>1</v>
      </c>
      <c r="P655">
        <f t="shared" si="30"/>
        <v>1</v>
      </c>
      <c r="Q655">
        <f t="shared" si="31"/>
        <v>1</v>
      </c>
      <c r="R655">
        <f t="shared" si="32"/>
        <v>1</v>
      </c>
      <c r="S655" s="10" t="str" cm="1">
        <f t="array" ref="S655">_xlfn.IFS(N655="", "", N655&gt;=9,"Promoter", N655&gt;=7,"Passive", N655&lt;=6,"Detractor")</f>
        <v>Detractor</v>
      </c>
    </row>
    <row r="656" spans="1:19" ht="14.25" customHeight="1">
      <c r="A656" s="3" t="s">
        <v>687</v>
      </c>
      <c r="B656" s="3" t="s">
        <v>24</v>
      </c>
      <c r="C656" s="3" t="s">
        <v>27</v>
      </c>
      <c r="D656" s="4">
        <v>45957</v>
      </c>
      <c r="H656" s="3" t="s">
        <v>28</v>
      </c>
      <c r="I656" s="3" t="s">
        <v>68</v>
      </c>
      <c r="O656">
        <v>1</v>
      </c>
      <c r="P656">
        <f t="shared" si="30"/>
        <v>0</v>
      </c>
      <c r="Q656">
        <f t="shared" si="31"/>
        <v>0</v>
      </c>
      <c r="R656">
        <f t="shared" si="32"/>
        <v>0</v>
      </c>
      <c r="S656" s="10" t="str" cm="1">
        <f t="array" ref="S656">_xlfn.IFS(N656="", "", N656&gt;=9,"Promoter", N656&gt;=7,"Passive", N656&lt;=6,"Detractor")</f>
        <v/>
      </c>
    </row>
    <row r="657" spans="1:19" ht="14.25" customHeight="1">
      <c r="A657" s="3" t="s">
        <v>688</v>
      </c>
      <c r="B657" s="3" t="s">
        <v>37</v>
      </c>
      <c r="C657" s="3" t="s">
        <v>27</v>
      </c>
      <c r="D657" s="4">
        <v>45952</v>
      </c>
      <c r="H657" s="3" t="s">
        <v>28</v>
      </c>
      <c r="I657" s="3" t="s">
        <v>106</v>
      </c>
      <c r="O657">
        <v>1</v>
      </c>
      <c r="P657">
        <f t="shared" si="30"/>
        <v>0</v>
      </c>
      <c r="Q657">
        <f t="shared" si="31"/>
        <v>0</v>
      </c>
      <c r="R657">
        <f t="shared" si="32"/>
        <v>0</v>
      </c>
      <c r="S657" s="10" t="str" cm="1">
        <f t="array" ref="S657">_xlfn.IFS(N657="", "", N657&gt;=9,"Promoter", N657&gt;=7,"Passive", N657&lt;=6,"Detractor")</f>
        <v/>
      </c>
    </row>
    <row r="658" spans="1:19" ht="14.25" customHeight="1">
      <c r="A658" s="3" t="s">
        <v>689</v>
      </c>
      <c r="B658" s="3" t="s">
        <v>20</v>
      </c>
      <c r="C658" s="3" t="s">
        <v>35</v>
      </c>
      <c r="D658" s="4">
        <v>45943</v>
      </c>
      <c r="E658" s="4">
        <v>45948</v>
      </c>
      <c r="F658" s="4">
        <v>45952</v>
      </c>
      <c r="G658" s="4">
        <v>45959</v>
      </c>
      <c r="H658" s="3" t="s">
        <v>22</v>
      </c>
      <c r="J658" s="4">
        <v>45980</v>
      </c>
      <c r="K658" s="3">
        <v>5</v>
      </c>
      <c r="L658" s="3">
        <v>4</v>
      </c>
      <c r="M658" s="3">
        <v>7</v>
      </c>
      <c r="N658" s="3">
        <v>2</v>
      </c>
      <c r="O658">
        <v>1</v>
      </c>
      <c r="P658">
        <f t="shared" si="30"/>
        <v>1</v>
      </c>
      <c r="Q658">
        <f t="shared" si="31"/>
        <v>1</v>
      </c>
      <c r="R658">
        <f t="shared" si="32"/>
        <v>1</v>
      </c>
      <c r="S658" s="10" t="str" cm="1">
        <f t="array" ref="S658">_xlfn.IFS(N658="", "", N658&gt;=9,"Promoter", N658&gt;=7,"Passive", N658&lt;=6,"Detractor")</f>
        <v>Detractor</v>
      </c>
    </row>
    <row r="659" spans="1:19" ht="14.25" customHeight="1">
      <c r="A659" s="3" t="s">
        <v>690</v>
      </c>
      <c r="B659" s="3" t="s">
        <v>26</v>
      </c>
      <c r="C659" s="3" t="s">
        <v>21</v>
      </c>
      <c r="D659" s="4">
        <v>45939</v>
      </c>
      <c r="E659" s="4">
        <v>45941</v>
      </c>
      <c r="F659" s="4">
        <v>45945</v>
      </c>
      <c r="G659" s="4">
        <v>45949</v>
      </c>
      <c r="H659" s="3" t="s">
        <v>28</v>
      </c>
      <c r="I659" s="3" t="s">
        <v>29</v>
      </c>
      <c r="K659" s="3">
        <v>2</v>
      </c>
      <c r="L659" s="3">
        <v>4</v>
      </c>
      <c r="M659" s="3">
        <v>4</v>
      </c>
      <c r="O659">
        <v>1</v>
      </c>
      <c r="P659">
        <f t="shared" si="30"/>
        <v>1</v>
      </c>
      <c r="Q659">
        <f t="shared" si="31"/>
        <v>1</v>
      </c>
      <c r="R659">
        <f t="shared" si="32"/>
        <v>0</v>
      </c>
      <c r="S659" s="10" t="str" cm="1">
        <f t="array" ref="S659">_xlfn.IFS(N659="", "", N659&gt;=9,"Promoter", N659&gt;=7,"Passive", N659&lt;=6,"Detractor")</f>
        <v/>
      </c>
    </row>
    <row r="660" spans="1:19" ht="14.25" customHeight="1">
      <c r="A660" s="3" t="s">
        <v>691</v>
      </c>
      <c r="B660" s="3" t="s">
        <v>37</v>
      </c>
      <c r="C660" s="3" t="s">
        <v>21</v>
      </c>
      <c r="D660" s="4">
        <v>45931</v>
      </c>
      <c r="E660" s="4">
        <v>45932</v>
      </c>
      <c r="F660" s="4">
        <v>45936</v>
      </c>
      <c r="G660" s="4">
        <v>45940</v>
      </c>
      <c r="H660" s="3" t="s">
        <v>28</v>
      </c>
      <c r="I660" s="3" t="s">
        <v>106</v>
      </c>
      <c r="K660" s="3">
        <v>1</v>
      </c>
      <c r="L660" s="3">
        <v>4</v>
      </c>
      <c r="M660" s="3">
        <v>4</v>
      </c>
      <c r="O660">
        <v>1</v>
      </c>
      <c r="P660">
        <f t="shared" si="30"/>
        <v>1</v>
      </c>
      <c r="Q660">
        <f t="shared" si="31"/>
        <v>1</v>
      </c>
      <c r="R660">
        <f t="shared" si="32"/>
        <v>0</v>
      </c>
      <c r="S660" s="10" t="str" cm="1">
        <f t="array" ref="S660">_xlfn.IFS(N660="", "", N660&gt;=9,"Promoter", N660&gt;=7,"Passive", N660&lt;=6,"Detractor")</f>
        <v/>
      </c>
    </row>
    <row r="661" spans="1:19" ht="14.25" customHeight="1">
      <c r="A661" s="3" t="s">
        <v>692</v>
      </c>
      <c r="B661" s="3" t="s">
        <v>24</v>
      </c>
      <c r="C661" s="3" t="s">
        <v>21</v>
      </c>
      <c r="D661" s="4">
        <v>45949</v>
      </c>
      <c r="E661" s="4">
        <v>45951</v>
      </c>
      <c r="F661" s="4">
        <v>45956</v>
      </c>
      <c r="G661" s="4">
        <v>45958</v>
      </c>
      <c r="H661" s="3" t="s">
        <v>22</v>
      </c>
      <c r="J661" s="4">
        <v>45975</v>
      </c>
      <c r="K661" s="3">
        <v>2</v>
      </c>
      <c r="L661" s="3">
        <v>5</v>
      </c>
      <c r="M661" s="3">
        <v>2</v>
      </c>
      <c r="N661" s="3">
        <v>2</v>
      </c>
      <c r="O661">
        <v>1</v>
      </c>
      <c r="P661">
        <f t="shared" si="30"/>
        <v>1</v>
      </c>
      <c r="Q661">
        <f t="shared" si="31"/>
        <v>1</v>
      </c>
      <c r="R661">
        <f t="shared" si="32"/>
        <v>1</v>
      </c>
      <c r="S661" s="10" t="str" cm="1">
        <f t="array" ref="S661">_xlfn.IFS(N661="", "", N661&gt;=9,"Promoter", N661&gt;=7,"Passive", N661&lt;=6,"Detractor")</f>
        <v>Detractor</v>
      </c>
    </row>
    <row r="662" spans="1:19" ht="14.25" customHeight="1">
      <c r="A662" s="3" t="s">
        <v>693</v>
      </c>
      <c r="B662" s="3" t="s">
        <v>20</v>
      </c>
      <c r="C662" s="3" t="s">
        <v>21</v>
      </c>
      <c r="D662" s="4">
        <v>45958</v>
      </c>
      <c r="E662" s="4">
        <v>45963</v>
      </c>
      <c r="F662" s="4">
        <v>45967</v>
      </c>
      <c r="G662" s="4">
        <v>45973</v>
      </c>
      <c r="H662" s="3" t="s">
        <v>22</v>
      </c>
      <c r="J662" s="4">
        <v>45992</v>
      </c>
      <c r="K662" s="3">
        <v>5</v>
      </c>
      <c r="L662" s="3">
        <v>4</v>
      </c>
      <c r="M662" s="3">
        <v>6</v>
      </c>
      <c r="N662" s="3">
        <v>1</v>
      </c>
      <c r="O662">
        <v>1</v>
      </c>
      <c r="P662">
        <f t="shared" si="30"/>
        <v>1</v>
      </c>
      <c r="Q662">
        <f t="shared" si="31"/>
        <v>1</v>
      </c>
      <c r="R662">
        <f t="shared" si="32"/>
        <v>1</v>
      </c>
      <c r="S662" s="10" t="str" cm="1">
        <f t="array" ref="S662">_xlfn.IFS(N662="", "", N662&gt;=9,"Promoter", N662&gt;=7,"Passive", N662&lt;=6,"Detractor")</f>
        <v>Detractor</v>
      </c>
    </row>
    <row r="663" spans="1:19" ht="14.25" customHeight="1">
      <c r="A663" s="3" t="s">
        <v>694</v>
      </c>
      <c r="B663" s="3" t="s">
        <v>37</v>
      </c>
      <c r="C663" s="3" t="s">
        <v>21</v>
      </c>
      <c r="D663" s="4">
        <v>45952</v>
      </c>
      <c r="E663" s="4">
        <v>45956</v>
      </c>
      <c r="F663" s="4">
        <v>45957</v>
      </c>
      <c r="G663" s="4">
        <v>45961</v>
      </c>
      <c r="H663" s="3" t="s">
        <v>22</v>
      </c>
      <c r="J663" s="4">
        <v>45984</v>
      </c>
      <c r="K663" s="3">
        <v>4</v>
      </c>
      <c r="L663" s="3">
        <v>1</v>
      </c>
      <c r="M663" s="3">
        <v>4</v>
      </c>
      <c r="N663" s="3">
        <v>9</v>
      </c>
      <c r="O663">
        <v>1</v>
      </c>
      <c r="P663">
        <f t="shared" si="30"/>
        <v>1</v>
      </c>
      <c r="Q663">
        <f t="shared" si="31"/>
        <v>1</v>
      </c>
      <c r="R663">
        <f t="shared" si="32"/>
        <v>1</v>
      </c>
      <c r="S663" s="10" t="str" cm="1">
        <f t="array" ref="S663">_xlfn.IFS(N663="", "", N663&gt;=9,"Promoter", N663&gt;=7,"Passive", N663&lt;=6,"Detractor")</f>
        <v>Promoter</v>
      </c>
    </row>
    <row r="664" spans="1:19" ht="14.25" customHeight="1">
      <c r="A664" s="3" t="s">
        <v>695</v>
      </c>
      <c r="B664" s="3" t="s">
        <v>20</v>
      </c>
      <c r="C664" s="3" t="s">
        <v>21</v>
      </c>
      <c r="D664" s="4">
        <v>45955</v>
      </c>
      <c r="E664" s="4">
        <v>45956</v>
      </c>
      <c r="F664" s="4">
        <v>45957</v>
      </c>
      <c r="G664" s="4">
        <v>45959</v>
      </c>
      <c r="H664" s="3" t="s">
        <v>22</v>
      </c>
      <c r="J664" s="4">
        <v>45979</v>
      </c>
      <c r="K664" s="3">
        <v>1</v>
      </c>
      <c r="L664" s="3">
        <v>1</v>
      </c>
      <c r="M664" s="3">
        <v>2</v>
      </c>
      <c r="N664" s="3">
        <v>5</v>
      </c>
      <c r="O664">
        <v>1</v>
      </c>
      <c r="P664">
        <f t="shared" si="30"/>
        <v>1</v>
      </c>
      <c r="Q664">
        <f t="shared" si="31"/>
        <v>1</v>
      </c>
      <c r="R664">
        <f t="shared" si="32"/>
        <v>1</v>
      </c>
      <c r="S664" s="10" t="str" cm="1">
        <f t="array" ref="S664">_xlfn.IFS(N664="", "", N664&gt;=9,"Promoter", N664&gt;=7,"Passive", N664&lt;=6,"Detractor")</f>
        <v>Detractor</v>
      </c>
    </row>
    <row r="665" spans="1:19" ht="14.25" customHeight="1">
      <c r="A665" s="3" t="s">
        <v>696</v>
      </c>
      <c r="B665" s="3" t="s">
        <v>20</v>
      </c>
      <c r="C665" s="3" t="s">
        <v>21</v>
      </c>
      <c r="D665" s="4">
        <v>45954</v>
      </c>
      <c r="E665" s="4">
        <v>45956</v>
      </c>
      <c r="F665" s="4">
        <v>45958</v>
      </c>
      <c r="G665" s="4">
        <v>45964</v>
      </c>
      <c r="H665" s="3" t="s">
        <v>22</v>
      </c>
      <c r="J665" s="4">
        <v>45985</v>
      </c>
      <c r="K665" s="3">
        <v>2</v>
      </c>
      <c r="L665" s="3">
        <v>2</v>
      </c>
      <c r="M665" s="3">
        <v>6</v>
      </c>
      <c r="N665" s="3">
        <v>4</v>
      </c>
      <c r="O665">
        <v>1</v>
      </c>
      <c r="P665">
        <f t="shared" si="30"/>
        <v>1</v>
      </c>
      <c r="Q665">
        <f t="shared" si="31"/>
        <v>1</v>
      </c>
      <c r="R665">
        <f t="shared" si="32"/>
        <v>1</v>
      </c>
      <c r="S665" s="10" t="str" cm="1">
        <f t="array" ref="S665">_xlfn.IFS(N665="", "", N665&gt;=9,"Promoter", N665&gt;=7,"Passive", N665&lt;=6,"Detractor")</f>
        <v>Detractor</v>
      </c>
    </row>
    <row r="666" spans="1:19" ht="14.25" customHeight="1">
      <c r="A666" s="3" t="s">
        <v>697</v>
      </c>
      <c r="B666" s="3" t="s">
        <v>20</v>
      </c>
      <c r="C666" s="3" t="s">
        <v>21</v>
      </c>
      <c r="D666" s="4">
        <v>45932</v>
      </c>
      <c r="E666" s="4">
        <v>45933</v>
      </c>
      <c r="F666" s="4">
        <v>45934</v>
      </c>
      <c r="G666" s="4">
        <v>45941</v>
      </c>
      <c r="H666" s="3" t="s">
        <v>22</v>
      </c>
      <c r="J666" s="4">
        <v>45959</v>
      </c>
      <c r="K666" s="3">
        <v>1</v>
      </c>
      <c r="L666" s="3">
        <v>1</v>
      </c>
      <c r="M666" s="3">
        <v>7</v>
      </c>
      <c r="N666" s="3">
        <v>9</v>
      </c>
      <c r="O666">
        <v>1</v>
      </c>
      <c r="P666">
        <f t="shared" si="30"/>
        <v>1</v>
      </c>
      <c r="Q666">
        <f t="shared" si="31"/>
        <v>1</v>
      </c>
      <c r="R666">
        <f t="shared" si="32"/>
        <v>1</v>
      </c>
      <c r="S666" s="10" t="str" cm="1">
        <f t="array" ref="S666">_xlfn.IFS(N666="", "", N666&gt;=9,"Promoter", N666&gt;=7,"Passive", N666&lt;=6,"Detractor")</f>
        <v>Promoter</v>
      </c>
    </row>
    <row r="667" spans="1:19" ht="14.25" customHeight="1">
      <c r="A667" s="3" t="s">
        <v>698</v>
      </c>
      <c r="B667" s="3" t="s">
        <v>26</v>
      </c>
      <c r="C667" s="3" t="s">
        <v>21</v>
      </c>
      <c r="D667" s="4">
        <v>45960</v>
      </c>
      <c r="E667" s="4">
        <v>45962</v>
      </c>
      <c r="F667" s="4">
        <v>45966</v>
      </c>
      <c r="G667" s="4">
        <v>45968</v>
      </c>
      <c r="H667" s="3" t="s">
        <v>22</v>
      </c>
      <c r="J667" s="4">
        <v>45996</v>
      </c>
      <c r="K667" s="3">
        <v>2</v>
      </c>
      <c r="L667" s="3">
        <v>4</v>
      </c>
      <c r="M667" s="3">
        <v>2</v>
      </c>
      <c r="N667" s="3">
        <v>2</v>
      </c>
      <c r="O667">
        <v>1</v>
      </c>
      <c r="P667">
        <f t="shared" si="30"/>
        <v>1</v>
      </c>
      <c r="Q667">
        <f t="shared" si="31"/>
        <v>1</v>
      </c>
      <c r="R667">
        <f t="shared" si="32"/>
        <v>1</v>
      </c>
      <c r="S667" s="10" t="str" cm="1">
        <f t="array" ref="S667">_xlfn.IFS(N667="", "", N667&gt;=9,"Promoter", N667&gt;=7,"Passive", N667&lt;=6,"Detractor")</f>
        <v>Detractor</v>
      </c>
    </row>
    <row r="668" spans="1:19" ht="14.25" customHeight="1">
      <c r="A668" s="3" t="s">
        <v>699</v>
      </c>
      <c r="B668" s="3" t="s">
        <v>26</v>
      </c>
      <c r="C668" s="3" t="s">
        <v>21</v>
      </c>
      <c r="D668" s="4">
        <v>45950</v>
      </c>
      <c r="E668" s="4">
        <v>45953</v>
      </c>
      <c r="F668" s="4">
        <v>45957</v>
      </c>
      <c r="G668" s="4">
        <v>45960</v>
      </c>
      <c r="H668" s="3" t="s">
        <v>22</v>
      </c>
      <c r="J668" s="4">
        <v>45979</v>
      </c>
      <c r="K668" s="3">
        <v>3</v>
      </c>
      <c r="L668" s="3">
        <v>4</v>
      </c>
      <c r="M668" s="3">
        <v>3</v>
      </c>
      <c r="N668" s="3">
        <v>7</v>
      </c>
      <c r="O668">
        <v>1</v>
      </c>
      <c r="P668">
        <f t="shared" si="30"/>
        <v>1</v>
      </c>
      <c r="Q668">
        <f t="shared" si="31"/>
        <v>1</v>
      </c>
      <c r="R668">
        <f t="shared" si="32"/>
        <v>1</v>
      </c>
      <c r="S668" s="10" t="str" cm="1">
        <f t="array" ref="S668">_xlfn.IFS(N668="", "", N668&gt;=9,"Promoter", N668&gt;=7,"Passive", N668&lt;=6,"Detractor")</f>
        <v>Passive</v>
      </c>
    </row>
    <row r="669" spans="1:19" ht="14.25" customHeight="1">
      <c r="A669" s="3" t="s">
        <v>700</v>
      </c>
      <c r="B669" s="3" t="s">
        <v>24</v>
      </c>
      <c r="C669" s="3" t="s">
        <v>21</v>
      </c>
      <c r="D669" s="4">
        <v>45954</v>
      </c>
      <c r="E669" s="4">
        <v>45957</v>
      </c>
      <c r="F669" s="4">
        <v>45960</v>
      </c>
      <c r="G669" s="4">
        <v>45963</v>
      </c>
      <c r="H669" s="3" t="s">
        <v>22</v>
      </c>
      <c r="J669" s="4">
        <v>45987</v>
      </c>
      <c r="K669" s="3">
        <v>3</v>
      </c>
      <c r="L669" s="3">
        <v>3</v>
      </c>
      <c r="M669" s="3">
        <v>3</v>
      </c>
      <c r="N669" s="3">
        <v>0</v>
      </c>
      <c r="O669">
        <v>1</v>
      </c>
      <c r="P669">
        <f t="shared" si="30"/>
        <v>1</v>
      </c>
      <c r="Q669">
        <f t="shared" si="31"/>
        <v>1</v>
      </c>
      <c r="R669">
        <f t="shared" si="32"/>
        <v>1</v>
      </c>
      <c r="S669" s="10" t="str" cm="1">
        <f t="array" ref="S669">_xlfn.IFS(N669="", "", N669&gt;=9,"Promoter", N669&gt;=7,"Passive", N669&lt;=6,"Detractor")</f>
        <v>Detractor</v>
      </c>
    </row>
    <row r="670" spans="1:19" ht="14.25" customHeight="1">
      <c r="A670" s="3" t="s">
        <v>701</v>
      </c>
      <c r="B670" s="3" t="s">
        <v>24</v>
      </c>
      <c r="C670" s="3" t="s">
        <v>35</v>
      </c>
      <c r="D670" s="4">
        <v>45946</v>
      </c>
      <c r="E670" s="4">
        <v>45950</v>
      </c>
      <c r="F670" s="4">
        <v>45955</v>
      </c>
      <c r="G670" s="4">
        <v>45961</v>
      </c>
      <c r="H670" s="3" t="s">
        <v>22</v>
      </c>
      <c r="J670" s="4">
        <v>45974</v>
      </c>
      <c r="K670" s="3">
        <v>4</v>
      </c>
      <c r="L670" s="3">
        <v>5</v>
      </c>
      <c r="M670" s="3">
        <v>6</v>
      </c>
      <c r="N670" s="3">
        <v>2</v>
      </c>
      <c r="O670">
        <v>1</v>
      </c>
      <c r="P670">
        <f t="shared" si="30"/>
        <v>1</v>
      </c>
      <c r="Q670">
        <f t="shared" si="31"/>
        <v>1</v>
      </c>
      <c r="R670">
        <f t="shared" si="32"/>
        <v>1</v>
      </c>
      <c r="S670" s="10" t="str" cm="1">
        <f t="array" ref="S670">_xlfn.IFS(N670="", "", N670&gt;=9,"Promoter", N670&gt;=7,"Passive", N670&lt;=6,"Detractor")</f>
        <v>Detractor</v>
      </c>
    </row>
    <row r="671" spans="1:19" ht="14.25" customHeight="1">
      <c r="A671" s="3" t="s">
        <v>702</v>
      </c>
      <c r="B671" s="3" t="s">
        <v>37</v>
      </c>
      <c r="C671" s="3" t="s">
        <v>35</v>
      </c>
      <c r="D671" s="4">
        <v>45957</v>
      </c>
      <c r="E671" s="4">
        <v>45962</v>
      </c>
      <c r="F671" s="4">
        <v>45963</v>
      </c>
      <c r="G671" s="4">
        <v>45965</v>
      </c>
      <c r="H671" s="3" t="s">
        <v>28</v>
      </c>
      <c r="I671" s="3" t="s">
        <v>29</v>
      </c>
      <c r="K671" s="3">
        <v>5</v>
      </c>
      <c r="L671" s="3">
        <v>1</v>
      </c>
      <c r="M671" s="3">
        <v>2</v>
      </c>
      <c r="O671">
        <v>1</v>
      </c>
      <c r="P671">
        <f t="shared" si="30"/>
        <v>1</v>
      </c>
      <c r="Q671">
        <f t="shared" si="31"/>
        <v>1</v>
      </c>
      <c r="R671">
        <f t="shared" si="32"/>
        <v>0</v>
      </c>
      <c r="S671" s="10" t="str" cm="1">
        <f t="array" ref="S671">_xlfn.IFS(N671="", "", N671&gt;=9,"Promoter", N671&gt;=7,"Passive", N671&lt;=6,"Detractor")</f>
        <v/>
      </c>
    </row>
    <row r="672" spans="1:19" ht="14.25" customHeight="1">
      <c r="A672" s="3" t="s">
        <v>703</v>
      </c>
      <c r="B672" s="3" t="s">
        <v>24</v>
      </c>
      <c r="C672" s="3" t="s">
        <v>27</v>
      </c>
      <c r="D672" s="4">
        <v>45959</v>
      </c>
      <c r="H672" s="3" t="s">
        <v>28</v>
      </c>
      <c r="I672" s="3" t="s">
        <v>38</v>
      </c>
      <c r="O672">
        <v>1</v>
      </c>
      <c r="P672">
        <f t="shared" si="30"/>
        <v>0</v>
      </c>
      <c r="Q672">
        <f t="shared" si="31"/>
        <v>0</v>
      </c>
      <c r="R672">
        <f t="shared" si="32"/>
        <v>0</v>
      </c>
      <c r="S672" s="10" t="str" cm="1">
        <f t="array" ref="S672">_xlfn.IFS(N672="", "", N672&gt;=9,"Promoter", N672&gt;=7,"Passive", N672&lt;=6,"Detractor")</f>
        <v/>
      </c>
    </row>
    <row r="673" spans="1:19" ht="14.25" customHeight="1">
      <c r="A673" s="3" t="s">
        <v>704</v>
      </c>
      <c r="B673" s="3" t="s">
        <v>20</v>
      </c>
      <c r="C673" s="3" t="s">
        <v>21</v>
      </c>
      <c r="D673" s="4">
        <v>45959</v>
      </c>
      <c r="E673" s="4">
        <v>45960</v>
      </c>
      <c r="F673" s="4">
        <v>45965</v>
      </c>
      <c r="G673" s="4">
        <v>45970</v>
      </c>
      <c r="H673" s="3" t="s">
        <v>22</v>
      </c>
      <c r="J673" s="4">
        <v>45995</v>
      </c>
      <c r="K673" s="3">
        <v>1</v>
      </c>
      <c r="L673" s="3">
        <v>5</v>
      </c>
      <c r="M673" s="3">
        <v>5</v>
      </c>
      <c r="N673" s="3">
        <v>0</v>
      </c>
      <c r="O673">
        <v>1</v>
      </c>
      <c r="P673">
        <f t="shared" si="30"/>
        <v>1</v>
      </c>
      <c r="Q673">
        <f t="shared" si="31"/>
        <v>1</v>
      </c>
      <c r="R673">
        <f t="shared" si="32"/>
        <v>1</v>
      </c>
      <c r="S673" s="10" t="str" cm="1">
        <f t="array" ref="S673">_xlfn.IFS(N673="", "", N673&gt;=9,"Promoter", N673&gt;=7,"Passive", N673&lt;=6,"Detractor")</f>
        <v>Detractor</v>
      </c>
    </row>
    <row r="674" spans="1:19" ht="14.25" customHeight="1">
      <c r="A674" s="3" t="s">
        <v>705</v>
      </c>
      <c r="B674" s="3" t="s">
        <v>20</v>
      </c>
      <c r="C674" s="3" t="s">
        <v>35</v>
      </c>
      <c r="D674" s="4">
        <v>45940</v>
      </c>
      <c r="E674" s="4">
        <v>45945</v>
      </c>
      <c r="F674" s="4">
        <v>45946</v>
      </c>
      <c r="G674" s="4">
        <v>45948</v>
      </c>
      <c r="H674" s="3" t="s">
        <v>22</v>
      </c>
      <c r="J674" s="4">
        <v>45959</v>
      </c>
      <c r="K674" s="3">
        <v>5</v>
      </c>
      <c r="L674" s="3">
        <v>1</v>
      </c>
      <c r="M674" s="3">
        <v>2</v>
      </c>
      <c r="N674" s="3">
        <v>6</v>
      </c>
      <c r="O674">
        <v>1</v>
      </c>
      <c r="P674">
        <f t="shared" si="30"/>
        <v>1</v>
      </c>
      <c r="Q674">
        <f t="shared" si="31"/>
        <v>1</v>
      </c>
      <c r="R674">
        <f t="shared" si="32"/>
        <v>1</v>
      </c>
      <c r="S674" s="10" t="str" cm="1">
        <f t="array" ref="S674">_xlfn.IFS(N674="", "", N674&gt;=9,"Promoter", N674&gt;=7,"Passive", N674&lt;=6,"Detractor")</f>
        <v>Detractor</v>
      </c>
    </row>
    <row r="675" spans="1:19" ht="14.25" customHeight="1">
      <c r="A675" s="3" t="s">
        <v>706</v>
      </c>
      <c r="B675" s="3" t="s">
        <v>26</v>
      </c>
      <c r="C675" s="3" t="s">
        <v>35</v>
      </c>
      <c r="D675" s="4">
        <v>45955</v>
      </c>
      <c r="E675" s="4">
        <v>45957</v>
      </c>
      <c r="F675" s="4">
        <v>45959</v>
      </c>
      <c r="G675" s="4">
        <v>45964</v>
      </c>
      <c r="H675" s="3" t="s">
        <v>22</v>
      </c>
      <c r="J675" s="4">
        <v>45994</v>
      </c>
      <c r="K675" s="3">
        <v>2</v>
      </c>
      <c r="L675" s="3">
        <v>2</v>
      </c>
      <c r="M675" s="3">
        <v>5</v>
      </c>
      <c r="N675" s="3">
        <v>10</v>
      </c>
      <c r="O675">
        <v>1</v>
      </c>
      <c r="P675">
        <f t="shared" si="30"/>
        <v>1</v>
      </c>
      <c r="Q675">
        <f t="shared" si="31"/>
        <v>1</v>
      </c>
      <c r="R675">
        <f t="shared" si="32"/>
        <v>1</v>
      </c>
      <c r="S675" s="10" t="str" cm="1">
        <f t="array" ref="S675">_xlfn.IFS(N675="", "", N675&gt;=9,"Promoter", N675&gt;=7,"Passive", N675&lt;=6,"Detractor")</f>
        <v>Promoter</v>
      </c>
    </row>
    <row r="676" spans="1:19" ht="14.25" customHeight="1">
      <c r="A676" s="3" t="s">
        <v>707</v>
      </c>
      <c r="B676" s="3" t="s">
        <v>20</v>
      </c>
      <c r="C676" s="3" t="s">
        <v>35</v>
      </c>
      <c r="D676" s="4">
        <v>45956</v>
      </c>
      <c r="E676" s="4">
        <v>45960</v>
      </c>
      <c r="F676" s="4">
        <v>45962</v>
      </c>
      <c r="G676" s="4">
        <v>45966</v>
      </c>
      <c r="H676" s="3" t="s">
        <v>22</v>
      </c>
      <c r="J676" s="4">
        <v>45994</v>
      </c>
      <c r="K676" s="3">
        <v>4</v>
      </c>
      <c r="L676" s="3">
        <v>2</v>
      </c>
      <c r="M676" s="3">
        <v>4</v>
      </c>
      <c r="N676" s="3">
        <v>8</v>
      </c>
      <c r="O676">
        <v>1</v>
      </c>
      <c r="P676">
        <f t="shared" si="30"/>
        <v>1</v>
      </c>
      <c r="Q676">
        <f t="shared" si="31"/>
        <v>1</v>
      </c>
      <c r="R676">
        <f t="shared" si="32"/>
        <v>1</v>
      </c>
      <c r="S676" s="10" t="str" cm="1">
        <f t="array" ref="S676">_xlfn.IFS(N676="", "", N676&gt;=9,"Promoter", N676&gt;=7,"Passive", N676&lt;=6,"Detractor")</f>
        <v>Passive</v>
      </c>
    </row>
    <row r="677" spans="1:19" ht="14.25" customHeight="1">
      <c r="A677" s="3" t="s">
        <v>708</v>
      </c>
      <c r="B677" s="3" t="s">
        <v>37</v>
      </c>
      <c r="C677" s="3" t="s">
        <v>27</v>
      </c>
      <c r="D677" s="4">
        <v>45938</v>
      </c>
      <c r="H677" s="3" t="s">
        <v>28</v>
      </c>
      <c r="I677" s="3" t="s">
        <v>38</v>
      </c>
      <c r="O677">
        <v>1</v>
      </c>
      <c r="P677">
        <f t="shared" si="30"/>
        <v>0</v>
      </c>
      <c r="Q677">
        <f t="shared" si="31"/>
        <v>0</v>
      </c>
      <c r="R677">
        <f t="shared" si="32"/>
        <v>0</v>
      </c>
      <c r="S677" s="10" t="str" cm="1">
        <f t="array" ref="S677">_xlfn.IFS(N677="", "", N677&gt;=9,"Promoter", N677&gt;=7,"Passive", N677&lt;=6,"Detractor")</f>
        <v/>
      </c>
    </row>
    <row r="678" spans="1:19" ht="14.25" customHeight="1">
      <c r="A678" s="3" t="s">
        <v>709</v>
      </c>
      <c r="B678" s="3" t="s">
        <v>20</v>
      </c>
      <c r="C678" s="3" t="s">
        <v>21</v>
      </c>
      <c r="D678" s="4">
        <v>45950</v>
      </c>
      <c r="E678" s="4">
        <v>45953</v>
      </c>
      <c r="F678" s="4">
        <v>45958</v>
      </c>
      <c r="G678" s="4">
        <v>45962</v>
      </c>
      <c r="H678" s="3" t="s">
        <v>22</v>
      </c>
      <c r="J678" s="4">
        <v>45990</v>
      </c>
      <c r="K678" s="3">
        <v>3</v>
      </c>
      <c r="L678" s="3">
        <v>5</v>
      </c>
      <c r="M678" s="3">
        <v>4</v>
      </c>
      <c r="N678" s="3">
        <v>10</v>
      </c>
      <c r="O678">
        <v>1</v>
      </c>
      <c r="P678">
        <f t="shared" si="30"/>
        <v>1</v>
      </c>
      <c r="Q678">
        <f t="shared" si="31"/>
        <v>1</v>
      </c>
      <c r="R678">
        <f t="shared" si="32"/>
        <v>1</v>
      </c>
      <c r="S678" s="10" t="str" cm="1">
        <f t="array" ref="S678">_xlfn.IFS(N678="", "", N678&gt;=9,"Promoter", N678&gt;=7,"Passive", N678&lt;=6,"Detractor")</f>
        <v>Promoter</v>
      </c>
    </row>
    <row r="679" spans="1:19" ht="14.25" customHeight="1">
      <c r="A679" s="3" t="s">
        <v>710</v>
      </c>
      <c r="B679" s="3" t="s">
        <v>20</v>
      </c>
      <c r="C679" s="3" t="s">
        <v>27</v>
      </c>
      <c r="D679" s="4">
        <v>45956</v>
      </c>
      <c r="H679" s="3" t="s">
        <v>28</v>
      </c>
      <c r="I679" s="3" t="s">
        <v>29</v>
      </c>
      <c r="O679">
        <v>1</v>
      </c>
      <c r="P679">
        <f t="shared" si="30"/>
        <v>0</v>
      </c>
      <c r="Q679">
        <f t="shared" si="31"/>
        <v>0</v>
      </c>
      <c r="R679">
        <f t="shared" si="32"/>
        <v>0</v>
      </c>
      <c r="S679" s="10" t="str" cm="1">
        <f t="array" ref="S679">_xlfn.IFS(N679="", "", N679&gt;=9,"Promoter", N679&gt;=7,"Passive", N679&lt;=6,"Detractor")</f>
        <v/>
      </c>
    </row>
    <row r="680" spans="1:19" ht="14.25" customHeight="1">
      <c r="A680" s="3" t="s">
        <v>711</v>
      </c>
      <c r="B680" s="3" t="s">
        <v>37</v>
      </c>
      <c r="C680" s="3" t="s">
        <v>21</v>
      </c>
      <c r="D680" s="4">
        <v>45942</v>
      </c>
      <c r="E680" s="4">
        <v>45945</v>
      </c>
      <c r="F680" s="4">
        <v>45949</v>
      </c>
      <c r="G680" s="4">
        <v>45953</v>
      </c>
      <c r="H680" s="3" t="s">
        <v>28</v>
      </c>
      <c r="I680" s="3" t="s">
        <v>68</v>
      </c>
      <c r="K680" s="3">
        <v>3</v>
      </c>
      <c r="L680" s="3">
        <v>4</v>
      </c>
      <c r="M680" s="3">
        <v>4</v>
      </c>
      <c r="O680">
        <v>1</v>
      </c>
      <c r="P680">
        <f t="shared" si="30"/>
        <v>1</v>
      </c>
      <c r="Q680">
        <f t="shared" si="31"/>
        <v>1</v>
      </c>
      <c r="R680">
        <f t="shared" si="32"/>
        <v>0</v>
      </c>
      <c r="S680" s="10" t="str" cm="1">
        <f t="array" ref="S680">_xlfn.IFS(N680="", "", N680&gt;=9,"Promoter", N680&gt;=7,"Passive", N680&lt;=6,"Detractor")</f>
        <v/>
      </c>
    </row>
    <row r="681" spans="1:19" ht="14.25" customHeight="1">
      <c r="A681" s="3" t="s">
        <v>712</v>
      </c>
      <c r="B681" s="3" t="s">
        <v>24</v>
      </c>
      <c r="C681" s="3" t="s">
        <v>21</v>
      </c>
      <c r="D681" s="4">
        <v>45938</v>
      </c>
      <c r="E681" s="4">
        <v>45942</v>
      </c>
      <c r="F681" s="4">
        <v>45945</v>
      </c>
      <c r="G681" s="4">
        <v>45947</v>
      </c>
      <c r="H681" s="3" t="s">
        <v>22</v>
      </c>
      <c r="J681" s="4">
        <v>45976</v>
      </c>
      <c r="K681" s="3">
        <v>4</v>
      </c>
      <c r="L681" s="3">
        <v>3</v>
      </c>
      <c r="M681" s="3">
        <v>2</v>
      </c>
      <c r="N681" s="3">
        <v>10</v>
      </c>
      <c r="O681">
        <v>1</v>
      </c>
      <c r="P681">
        <f t="shared" si="30"/>
        <v>1</v>
      </c>
      <c r="Q681">
        <f t="shared" si="31"/>
        <v>1</v>
      </c>
      <c r="R681">
        <f t="shared" si="32"/>
        <v>1</v>
      </c>
      <c r="S681" s="10" t="str" cm="1">
        <f t="array" ref="S681">_xlfn.IFS(N681="", "", N681&gt;=9,"Promoter", N681&gt;=7,"Passive", N681&lt;=6,"Detractor")</f>
        <v>Promoter</v>
      </c>
    </row>
    <row r="682" spans="1:19" ht="14.25" customHeight="1">
      <c r="A682" s="3" t="s">
        <v>713</v>
      </c>
      <c r="B682" s="3" t="s">
        <v>24</v>
      </c>
      <c r="C682" s="3" t="s">
        <v>21</v>
      </c>
      <c r="D682" s="4">
        <v>45951</v>
      </c>
      <c r="E682" s="4">
        <v>45952</v>
      </c>
      <c r="F682" s="4">
        <v>45953</v>
      </c>
      <c r="G682" s="4">
        <v>45959</v>
      </c>
      <c r="H682" s="3" t="s">
        <v>22</v>
      </c>
      <c r="J682" s="4">
        <v>45971</v>
      </c>
      <c r="K682" s="3">
        <v>1</v>
      </c>
      <c r="L682" s="3">
        <v>1</v>
      </c>
      <c r="M682" s="3">
        <v>6</v>
      </c>
      <c r="N682" s="3">
        <v>2</v>
      </c>
      <c r="O682">
        <v>1</v>
      </c>
      <c r="P682">
        <f t="shared" si="30"/>
        <v>1</v>
      </c>
      <c r="Q682">
        <f t="shared" si="31"/>
        <v>1</v>
      </c>
      <c r="R682">
        <f t="shared" si="32"/>
        <v>1</v>
      </c>
      <c r="S682" s="10" t="str" cm="1">
        <f t="array" ref="S682">_xlfn.IFS(N682="", "", N682&gt;=9,"Promoter", N682&gt;=7,"Passive", N682&lt;=6,"Detractor")</f>
        <v>Detractor</v>
      </c>
    </row>
    <row r="683" spans="1:19" ht="14.25" customHeight="1">
      <c r="A683" s="3" t="s">
        <v>714</v>
      </c>
      <c r="B683" s="3" t="s">
        <v>37</v>
      </c>
      <c r="C683" s="3" t="s">
        <v>21</v>
      </c>
      <c r="D683" s="4">
        <v>45937</v>
      </c>
      <c r="E683" s="4">
        <v>45942</v>
      </c>
      <c r="F683" s="4">
        <v>45943</v>
      </c>
      <c r="G683" s="4">
        <v>45948</v>
      </c>
      <c r="H683" s="3" t="s">
        <v>22</v>
      </c>
      <c r="J683" s="4">
        <v>45973</v>
      </c>
      <c r="K683" s="3">
        <v>5</v>
      </c>
      <c r="L683" s="3">
        <v>1</v>
      </c>
      <c r="M683" s="3">
        <v>5</v>
      </c>
      <c r="N683" s="3">
        <v>9</v>
      </c>
      <c r="O683">
        <v>1</v>
      </c>
      <c r="P683">
        <f t="shared" si="30"/>
        <v>1</v>
      </c>
      <c r="Q683">
        <f t="shared" si="31"/>
        <v>1</v>
      </c>
      <c r="R683">
        <f t="shared" si="32"/>
        <v>1</v>
      </c>
      <c r="S683" s="10" t="str" cm="1">
        <f t="array" ref="S683">_xlfn.IFS(N683="", "", N683&gt;=9,"Promoter", N683&gt;=7,"Passive", N683&lt;=6,"Detractor")</f>
        <v>Promoter</v>
      </c>
    </row>
    <row r="684" spans="1:19" ht="14.25" customHeight="1">
      <c r="A684" s="3" t="s">
        <v>715</v>
      </c>
      <c r="B684" s="3" t="s">
        <v>26</v>
      </c>
      <c r="C684" s="3" t="s">
        <v>35</v>
      </c>
      <c r="D684" s="4">
        <v>45950</v>
      </c>
      <c r="E684" s="4">
        <v>45952</v>
      </c>
      <c r="F684" s="4">
        <v>45955</v>
      </c>
      <c r="G684" s="4">
        <v>45957</v>
      </c>
      <c r="H684" s="3" t="s">
        <v>22</v>
      </c>
      <c r="J684" s="4">
        <v>45973</v>
      </c>
      <c r="K684" s="3">
        <v>2</v>
      </c>
      <c r="L684" s="3">
        <v>3</v>
      </c>
      <c r="M684" s="3">
        <v>2</v>
      </c>
      <c r="N684" s="3">
        <v>8</v>
      </c>
      <c r="O684">
        <v>1</v>
      </c>
      <c r="P684">
        <f t="shared" si="30"/>
        <v>1</v>
      </c>
      <c r="Q684">
        <f t="shared" si="31"/>
        <v>1</v>
      </c>
      <c r="R684">
        <f t="shared" si="32"/>
        <v>1</v>
      </c>
      <c r="S684" s="10" t="str" cm="1">
        <f t="array" ref="S684">_xlfn.IFS(N684="", "", N684&gt;=9,"Promoter", N684&gt;=7,"Passive", N684&lt;=6,"Detractor")</f>
        <v>Passive</v>
      </c>
    </row>
    <row r="685" spans="1:19" ht="14.25" customHeight="1">
      <c r="A685" s="3" t="s">
        <v>716</v>
      </c>
      <c r="B685" s="3" t="s">
        <v>20</v>
      </c>
      <c r="C685" s="3" t="s">
        <v>27</v>
      </c>
      <c r="D685" s="4">
        <v>45939</v>
      </c>
      <c r="H685" s="3" t="s">
        <v>28</v>
      </c>
      <c r="I685" s="3" t="s">
        <v>106</v>
      </c>
      <c r="O685">
        <v>1</v>
      </c>
      <c r="P685">
        <f t="shared" si="30"/>
        <v>0</v>
      </c>
      <c r="Q685">
        <f t="shared" si="31"/>
        <v>0</v>
      </c>
      <c r="R685">
        <f t="shared" si="32"/>
        <v>0</v>
      </c>
      <c r="S685" s="10" t="str" cm="1">
        <f t="array" ref="S685">_xlfn.IFS(N685="", "", N685&gt;=9,"Promoter", N685&gt;=7,"Passive", N685&lt;=6,"Detractor")</f>
        <v/>
      </c>
    </row>
    <row r="686" spans="1:19" ht="14.25" customHeight="1">
      <c r="A686" s="3" t="s">
        <v>717</v>
      </c>
      <c r="B686" s="3" t="s">
        <v>37</v>
      </c>
      <c r="C686" s="3" t="s">
        <v>27</v>
      </c>
      <c r="D686" s="4">
        <v>45952</v>
      </c>
      <c r="H686" s="3" t="s">
        <v>28</v>
      </c>
      <c r="I686" s="3" t="s">
        <v>106</v>
      </c>
      <c r="O686">
        <v>1</v>
      </c>
      <c r="P686">
        <f t="shared" si="30"/>
        <v>0</v>
      </c>
      <c r="Q686">
        <f t="shared" si="31"/>
        <v>0</v>
      </c>
      <c r="R686">
        <f t="shared" si="32"/>
        <v>0</v>
      </c>
      <c r="S686" s="10" t="str" cm="1">
        <f t="array" ref="S686">_xlfn.IFS(N686="", "", N686&gt;=9,"Promoter", N686&gt;=7,"Passive", N686&lt;=6,"Detractor")</f>
        <v/>
      </c>
    </row>
    <row r="687" spans="1:19" ht="14.25" customHeight="1">
      <c r="A687" s="3" t="s">
        <v>718</v>
      </c>
      <c r="B687" s="3" t="s">
        <v>20</v>
      </c>
      <c r="C687" s="3" t="s">
        <v>21</v>
      </c>
      <c r="D687" s="4">
        <v>45955</v>
      </c>
      <c r="E687" s="4">
        <v>45960</v>
      </c>
      <c r="F687" s="4">
        <v>45965</v>
      </c>
      <c r="G687" s="4">
        <v>45969</v>
      </c>
      <c r="H687" s="3" t="s">
        <v>22</v>
      </c>
      <c r="J687" s="4">
        <v>45995</v>
      </c>
      <c r="K687" s="3">
        <v>5</v>
      </c>
      <c r="L687" s="3">
        <v>5</v>
      </c>
      <c r="M687" s="3">
        <v>4</v>
      </c>
      <c r="N687" s="3">
        <v>5</v>
      </c>
      <c r="O687">
        <v>1</v>
      </c>
      <c r="P687">
        <f t="shared" si="30"/>
        <v>1</v>
      </c>
      <c r="Q687">
        <f t="shared" si="31"/>
        <v>1</v>
      </c>
      <c r="R687">
        <f t="shared" si="32"/>
        <v>1</v>
      </c>
      <c r="S687" s="10" t="str" cm="1">
        <f t="array" ref="S687">_xlfn.IFS(N687="", "", N687&gt;=9,"Promoter", N687&gt;=7,"Passive", N687&lt;=6,"Detractor")</f>
        <v>Detractor</v>
      </c>
    </row>
    <row r="688" spans="1:19" ht="14.25" customHeight="1">
      <c r="A688" s="3" t="s">
        <v>719</v>
      </c>
      <c r="B688" s="3" t="s">
        <v>26</v>
      </c>
      <c r="C688" s="3" t="s">
        <v>27</v>
      </c>
      <c r="D688" s="4">
        <v>45954</v>
      </c>
      <c r="H688" s="3" t="s">
        <v>28</v>
      </c>
      <c r="I688" s="3" t="s">
        <v>38</v>
      </c>
      <c r="O688">
        <v>1</v>
      </c>
      <c r="P688">
        <f t="shared" si="30"/>
        <v>0</v>
      </c>
      <c r="Q688">
        <f t="shared" si="31"/>
        <v>0</v>
      </c>
      <c r="R688">
        <f t="shared" si="32"/>
        <v>0</v>
      </c>
      <c r="S688" s="10" t="str" cm="1">
        <f t="array" ref="S688">_xlfn.IFS(N688="", "", N688&gt;=9,"Promoter", N688&gt;=7,"Passive", N688&lt;=6,"Detractor")</f>
        <v/>
      </c>
    </row>
    <row r="689" spans="1:19" ht="14.25" customHeight="1">
      <c r="A689" s="3" t="s">
        <v>720</v>
      </c>
      <c r="B689" s="3" t="s">
        <v>20</v>
      </c>
      <c r="C689" s="3" t="s">
        <v>27</v>
      </c>
      <c r="D689" s="4">
        <v>45955</v>
      </c>
      <c r="H689" s="3" t="s">
        <v>28</v>
      </c>
      <c r="I689" s="3" t="s">
        <v>29</v>
      </c>
      <c r="O689">
        <v>1</v>
      </c>
      <c r="P689">
        <f t="shared" si="30"/>
        <v>0</v>
      </c>
      <c r="Q689">
        <f t="shared" si="31"/>
        <v>0</v>
      </c>
      <c r="R689">
        <f t="shared" si="32"/>
        <v>0</v>
      </c>
      <c r="S689" s="10" t="str" cm="1">
        <f t="array" ref="S689">_xlfn.IFS(N689="", "", N689&gt;=9,"Promoter", N689&gt;=7,"Passive", N689&lt;=6,"Detractor")</f>
        <v/>
      </c>
    </row>
    <row r="690" spans="1:19" ht="14.25" customHeight="1">
      <c r="A690" s="3" t="s">
        <v>721</v>
      </c>
      <c r="B690" s="3" t="s">
        <v>37</v>
      </c>
      <c r="C690" s="3" t="s">
        <v>21</v>
      </c>
      <c r="D690" s="4">
        <v>45952</v>
      </c>
      <c r="E690" s="4">
        <v>45955</v>
      </c>
      <c r="F690" s="4">
        <v>45960</v>
      </c>
      <c r="G690" s="4">
        <v>45963</v>
      </c>
      <c r="H690" s="3" t="s">
        <v>22</v>
      </c>
      <c r="J690" s="4">
        <v>45976</v>
      </c>
      <c r="K690" s="3">
        <v>3</v>
      </c>
      <c r="L690" s="3">
        <v>5</v>
      </c>
      <c r="M690" s="3">
        <v>3</v>
      </c>
      <c r="N690" s="3">
        <v>5</v>
      </c>
      <c r="O690">
        <v>1</v>
      </c>
      <c r="P690">
        <f t="shared" si="30"/>
        <v>1</v>
      </c>
      <c r="Q690">
        <f t="shared" si="31"/>
        <v>1</v>
      </c>
      <c r="R690">
        <f t="shared" si="32"/>
        <v>1</v>
      </c>
      <c r="S690" s="10" t="str" cm="1">
        <f t="array" ref="S690">_xlfn.IFS(N690="", "", N690&gt;=9,"Promoter", N690&gt;=7,"Passive", N690&lt;=6,"Detractor")</f>
        <v>Detractor</v>
      </c>
    </row>
    <row r="691" spans="1:19" ht="14.25" customHeight="1">
      <c r="A691" s="3" t="s">
        <v>722</v>
      </c>
      <c r="B691" s="3" t="s">
        <v>20</v>
      </c>
      <c r="C691" s="3" t="s">
        <v>35</v>
      </c>
      <c r="D691" s="4">
        <v>45952</v>
      </c>
      <c r="E691" s="4">
        <v>45956</v>
      </c>
      <c r="F691" s="4">
        <v>45957</v>
      </c>
      <c r="G691" s="4">
        <v>45961</v>
      </c>
      <c r="H691" s="3" t="s">
        <v>22</v>
      </c>
      <c r="J691" s="4">
        <v>45983</v>
      </c>
      <c r="K691" s="3">
        <v>4</v>
      </c>
      <c r="L691" s="3">
        <v>1</v>
      </c>
      <c r="M691" s="3">
        <v>4</v>
      </c>
      <c r="N691" s="3">
        <v>2</v>
      </c>
      <c r="O691">
        <v>1</v>
      </c>
      <c r="P691">
        <f t="shared" si="30"/>
        <v>1</v>
      </c>
      <c r="Q691">
        <f t="shared" si="31"/>
        <v>1</v>
      </c>
      <c r="R691">
        <f t="shared" si="32"/>
        <v>1</v>
      </c>
      <c r="S691" s="10" t="str" cm="1">
        <f t="array" ref="S691">_xlfn.IFS(N691="", "", N691&gt;=9,"Promoter", N691&gt;=7,"Passive", N691&lt;=6,"Detractor")</f>
        <v>Detractor</v>
      </c>
    </row>
    <row r="692" spans="1:19" ht="14.25" customHeight="1">
      <c r="A692" s="3" t="s">
        <v>723</v>
      </c>
      <c r="B692" s="3" t="s">
        <v>24</v>
      </c>
      <c r="C692" s="3" t="s">
        <v>21</v>
      </c>
      <c r="D692" s="4">
        <v>45957</v>
      </c>
      <c r="E692" s="4">
        <v>45960</v>
      </c>
      <c r="F692" s="4">
        <v>45962</v>
      </c>
      <c r="G692" s="4">
        <v>45968</v>
      </c>
      <c r="H692" s="3" t="s">
        <v>22</v>
      </c>
      <c r="J692" s="4">
        <v>45994</v>
      </c>
      <c r="K692" s="3">
        <v>3</v>
      </c>
      <c r="L692" s="3">
        <v>2</v>
      </c>
      <c r="M692" s="3">
        <v>6</v>
      </c>
      <c r="N692" s="3">
        <v>7</v>
      </c>
      <c r="O692">
        <v>1</v>
      </c>
      <c r="P692">
        <f t="shared" si="30"/>
        <v>1</v>
      </c>
      <c r="Q692">
        <f t="shared" si="31"/>
        <v>1</v>
      </c>
      <c r="R692">
        <f t="shared" si="32"/>
        <v>1</v>
      </c>
      <c r="S692" s="10" t="str" cm="1">
        <f t="array" ref="S692">_xlfn.IFS(N692="", "", N692&gt;=9,"Promoter", N692&gt;=7,"Passive", N692&lt;=6,"Detractor")</f>
        <v>Passive</v>
      </c>
    </row>
    <row r="693" spans="1:19" ht="14.25" customHeight="1">
      <c r="A693" s="3" t="s">
        <v>724</v>
      </c>
      <c r="B693" s="3" t="s">
        <v>26</v>
      </c>
      <c r="C693" s="3" t="s">
        <v>21</v>
      </c>
      <c r="D693" s="4">
        <v>45935</v>
      </c>
      <c r="E693" s="4">
        <v>45938</v>
      </c>
      <c r="F693" s="4">
        <v>45941</v>
      </c>
      <c r="G693" s="4">
        <v>45945</v>
      </c>
      <c r="H693" s="3" t="s">
        <v>22</v>
      </c>
      <c r="J693" s="4">
        <v>45964</v>
      </c>
      <c r="K693" s="3">
        <v>3</v>
      </c>
      <c r="L693" s="3">
        <v>3</v>
      </c>
      <c r="M693" s="3">
        <v>4</v>
      </c>
      <c r="N693" s="3">
        <v>3</v>
      </c>
      <c r="O693">
        <v>1</v>
      </c>
      <c r="P693">
        <f t="shared" si="30"/>
        <v>1</v>
      </c>
      <c r="Q693">
        <f t="shared" si="31"/>
        <v>1</v>
      </c>
      <c r="R693">
        <f t="shared" si="32"/>
        <v>1</v>
      </c>
      <c r="S693" s="10" t="str" cm="1">
        <f t="array" ref="S693">_xlfn.IFS(N693="", "", N693&gt;=9,"Promoter", N693&gt;=7,"Passive", N693&lt;=6,"Detractor")</f>
        <v>Detractor</v>
      </c>
    </row>
    <row r="694" spans="1:19" ht="14.25" customHeight="1">
      <c r="A694" s="3" t="s">
        <v>725</v>
      </c>
      <c r="B694" s="3" t="s">
        <v>26</v>
      </c>
      <c r="C694" s="3" t="s">
        <v>35</v>
      </c>
      <c r="D694" s="4">
        <v>45951</v>
      </c>
      <c r="E694" s="4">
        <v>45953</v>
      </c>
      <c r="F694" s="4">
        <v>45954</v>
      </c>
      <c r="G694" s="4">
        <v>45961</v>
      </c>
      <c r="H694" s="3" t="s">
        <v>22</v>
      </c>
      <c r="J694" s="4">
        <v>45984</v>
      </c>
      <c r="K694" s="3">
        <v>2</v>
      </c>
      <c r="L694" s="3">
        <v>1</v>
      </c>
      <c r="M694" s="3">
        <v>7</v>
      </c>
      <c r="N694" s="3">
        <v>8</v>
      </c>
      <c r="O694">
        <v>1</v>
      </c>
      <c r="P694">
        <f t="shared" si="30"/>
        <v>1</v>
      </c>
      <c r="Q694">
        <f t="shared" si="31"/>
        <v>1</v>
      </c>
      <c r="R694">
        <f t="shared" si="32"/>
        <v>1</v>
      </c>
      <c r="S694" s="10" t="str" cm="1">
        <f t="array" ref="S694">_xlfn.IFS(N694="", "", N694&gt;=9,"Promoter", N694&gt;=7,"Passive", N694&lt;=6,"Detractor")</f>
        <v>Passive</v>
      </c>
    </row>
    <row r="695" spans="1:19" ht="14.25" customHeight="1">
      <c r="A695" s="3" t="s">
        <v>726</v>
      </c>
      <c r="B695" s="3" t="s">
        <v>26</v>
      </c>
      <c r="C695" s="3" t="s">
        <v>35</v>
      </c>
      <c r="D695" s="4">
        <v>45934</v>
      </c>
      <c r="E695" s="4">
        <v>45935</v>
      </c>
      <c r="F695" s="4">
        <v>45937</v>
      </c>
      <c r="G695" s="4">
        <v>45943</v>
      </c>
      <c r="H695" s="3" t="s">
        <v>22</v>
      </c>
      <c r="J695" s="4">
        <v>45954</v>
      </c>
      <c r="K695" s="3">
        <v>1</v>
      </c>
      <c r="L695" s="3">
        <v>2</v>
      </c>
      <c r="M695" s="3">
        <v>6</v>
      </c>
      <c r="N695" s="3">
        <v>7</v>
      </c>
      <c r="O695">
        <v>1</v>
      </c>
      <c r="P695">
        <f t="shared" si="30"/>
        <v>1</v>
      </c>
      <c r="Q695">
        <f t="shared" si="31"/>
        <v>1</v>
      </c>
      <c r="R695">
        <f t="shared" si="32"/>
        <v>1</v>
      </c>
      <c r="S695" s="10" t="str" cm="1">
        <f t="array" ref="S695">_xlfn.IFS(N695="", "", N695&gt;=9,"Promoter", N695&gt;=7,"Passive", N695&lt;=6,"Detractor")</f>
        <v>Passive</v>
      </c>
    </row>
    <row r="696" spans="1:19" ht="14.25" customHeight="1">
      <c r="A696" s="3" t="s">
        <v>727</v>
      </c>
      <c r="B696" s="3" t="s">
        <v>37</v>
      </c>
      <c r="C696" s="3" t="s">
        <v>21</v>
      </c>
      <c r="D696" s="4">
        <v>45959</v>
      </c>
      <c r="E696" s="4">
        <v>45960</v>
      </c>
      <c r="F696" s="4">
        <v>45965</v>
      </c>
      <c r="G696" s="4">
        <v>45968</v>
      </c>
      <c r="H696" s="3" t="s">
        <v>22</v>
      </c>
      <c r="J696" s="4">
        <v>45982</v>
      </c>
      <c r="K696" s="3">
        <v>1</v>
      </c>
      <c r="L696" s="3">
        <v>5</v>
      </c>
      <c r="M696" s="3">
        <v>3</v>
      </c>
      <c r="N696" s="3">
        <v>2</v>
      </c>
      <c r="O696">
        <v>1</v>
      </c>
      <c r="P696">
        <f t="shared" si="30"/>
        <v>1</v>
      </c>
      <c r="Q696">
        <f t="shared" si="31"/>
        <v>1</v>
      </c>
      <c r="R696">
        <f t="shared" si="32"/>
        <v>1</v>
      </c>
      <c r="S696" s="10" t="str" cm="1">
        <f t="array" ref="S696">_xlfn.IFS(N696="", "", N696&gt;=9,"Promoter", N696&gt;=7,"Passive", N696&lt;=6,"Detractor")</f>
        <v>Detractor</v>
      </c>
    </row>
    <row r="697" spans="1:19" ht="14.25" customHeight="1">
      <c r="A697" s="3" t="s">
        <v>728</v>
      </c>
      <c r="B697" s="3" t="s">
        <v>26</v>
      </c>
      <c r="C697" s="3" t="s">
        <v>35</v>
      </c>
      <c r="D697" s="4">
        <v>45951</v>
      </c>
      <c r="E697" s="4">
        <v>45953</v>
      </c>
      <c r="F697" s="4">
        <v>45955</v>
      </c>
      <c r="G697" s="4">
        <v>45960</v>
      </c>
      <c r="H697" s="3" t="s">
        <v>22</v>
      </c>
      <c r="J697" s="4">
        <v>45974</v>
      </c>
      <c r="K697" s="3">
        <v>2</v>
      </c>
      <c r="L697" s="3">
        <v>2</v>
      </c>
      <c r="M697" s="3">
        <v>5</v>
      </c>
      <c r="N697" s="3">
        <v>2</v>
      </c>
      <c r="O697">
        <v>1</v>
      </c>
      <c r="P697">
        <f t="shared" si="30"/>
        <v>1</v>
      </c>
      <c r="Q697">
        <f t="shared" si="31"/>
        <v>1</v>
      </c>
      <c r="R697">
        <f t="shared" si="32"/>
        <v>1</v>
      </c>
      <c r="S697" s="10" t="str" cm="1">
        <f t="array" ref="S697">_xlfn.IFS(N697="", "", N697&gt;=9,"Promoter", N697&gt;=7,"Passive", N697&lt;=6,"Detractor")</f>
        <v>Detractor</v>
      </c>
    </row>
    <row r="698" spans="1:19" ht="14.25" customHeight="1">
      <c r="A698" s="3" t="s">
        <v>729</v>
      </c>
      <c r="B698" s="3" t="s">
        <v>24</v>
      </c>
      <c r="C698" s="3" t="s">
        <v>21</v>
      </c>
      <c r="D698" s="4">
        <v>45951</v>
      </c>
      <c r="E698" s="4">
        <v>45955</v>
      </c>
      <c r="F698" s="4">
        <v>45959</v>
      </c>
      <c r="G698" s="4">
        <v>45963</v>
      </c>
      <c r="H698" s="3" t="s">
        <v>22</v>
      </c>
      <c r="J698" s="4">
        <v>45979</v>
      </c>
      <c r="K698" s="3">
        <v>4</v>
      </c>
      <c r="L698" s="3">
        <v>4</v>
      </c>
      <c r="M698" s="3">
        <v>4</v>
      </c>
      <c r="N698" s="3">
        <v>9</v>
      </c>
      <c r="O698">
        <v>1</v>
      </c>
      <c r="P698">
        <f t="shared" si="30"/>
        <v>1</v>
      </c>
      <c r="Q698">
        <f t="shared" si="31"/>
        <v>1</v>
      </c>
      <c r="R698">
        <f t="shared" si="32"/>
        <v>1</v>
      </c>
      <c r="S698" s="10" t="str" cm="1">
        <f t="array" ref="S698">_xlfn.IFS(N698="", "", N698&gt;=9,"Promoter", N698&gt;=7,"Passive", N698&lt;=6,"Detractor")</f>
        <v>Promoter</v>
      </c>
    </row>
    <row r="699" spans="1:19" ht="14.25" customHeight="1">
      <c r="A699" s="3" t="s">
        <v>730</v>
      </c>
      <c r="B699" s="3" t="s">
        <v>37</v>
      </c>
      <c r="C699" s="3" t="s">
        <v>27</v>
      </c>
      <c r="D699" s="4">
        <v>45932</v>
      </c>
      <c r="H699" s="3" t="s">
        <v>28</v>
      </c>
      <c r="I699" s="3" t="s">
        <v>106</v>
      </c>
      <c r="O699">
        <v>1</v>
      </c>
      <c r="P699">
        <f t="shared" si="30"/>
        <v>0</v>
      </c>
      <c r="Q699">
        <f t="shared" si="31"/>
        <v>0</v>
      </c>
      <c r="R699">
        <f t="shared" si="32"/>
        <v>0</v>
      </c>
      <c r="S699" s="10" t="str" cm="1">
        <f t="array" ref="S699">_xlfn.IFS(N699="", "", N699&gt;=9,"Promoter", N699&gt;=7,"Passive", N699&lt;=6,"Detractor")</f>
        <v/>
      </c>
    </row>
    <row r="700" spans="1:19" ht="14.25" customHeight="1">
      <c r="A700" s="3" t="s">
        <v>731</v>
      </c>
      <c r="B700" s="3" t="s">
        <v>24</v>
      </c>
      <c r="C700" s="3" t="s">
        <v>27</v>
      </c>
      <c r="D700" s="4">
        <v>45940</v>
      </c>
      <c r="H700" s="3" t="s">
        <v>28</v>
      </c>
      <c r="I700" s="3" t="s">
        <v>106</v>
      </c>
      <c r="O700">
        <v>1</v>
      </c>
      <c r="P700">
        <f t="shared" si="30"/>
        <v>0</v>
      </c>
      <c r="Q700">
        <f t="shared" si="31"/>
        <v>0</v>
      </c>
      <c r="R700">
        <f t="shared" si="32"/>
        <v>0</v>
      </c>
      <c r="S700" s="10" t="str" cm="1">
        <f t="array" ref="S700">_xlfn.IFS(N700="", "", N700&gt;=9,"Promoter", N700&gt;=7,"Passive", N700&lt;=6,"Detractor")</f>
        <v/>
      </c>
    </row>
    <row r="701" spans="1:19" ht="14.25" customHeight="1">
      <c r="A701" s="3" t="s">
        <v>732</v>
      </c>
      <c r="B701" s="3" t="s">
        <v>20</v>
      </c>
      <c r="C701" s="3" t="s">
        <v>35</v>
      </c>
      <c r="D701" s="4">
        <v>45956</v>
      </c>
      <c r="E701" s="4">
        <v>45961</v>
      </c>
      <c r="F701" s="4">
        <v>45962</v>
      </c>
      <c r="G701" s="4">
        <v>45968</v>
      </c>
      <c r="H701" s="3" t="s">
        <v>22</v>
      </c>
      <c r="J701" s="4">
        <v>45988</v>
      </c>
      <c r="K701" s="3">
        <v>5</v>
      </c>
      <c r="L701" s="3">
        <v>1</v>
      </c>
      <c r="M701" s="3">
        <v>6</v>
      </c>
      <c r="N701" s="3">
        <v>7</v>
      </c>
      <c r="O701">
        <v>1</v>
      </c>
      <c r="P701">
        <f t="shared" si="30"/>
        <v>1</v>
      </c>
      <c r="Q701">
        <f t="shared" si="31"/>
        <v>1</v>
      </c>
      <c r="R701">
        <f t="shared" si="32"/>
        <v>1</v>
      </c>
      <c r="S701" s="10" t="str" cm="1">
        <f t="array" ref="S701">_xlfn.IFS(N701="", "", N701&gt;=9,"Promoter", N701&gt;=7,"Passive", N701&lt;=6,"Detractor")</f>
        <v>Passive</v>
      </c>
    </row>
    <row r="702" spans="1:19" ht="14.25" customHeight="1">
      <c r="A702" s="3" t="s">
        <v>733</v>
      </c>
      <c r="B702" s="3" t="s">
        <v>20</v>
      </c>
      <c r="C702" s="3" t="s">
        <v>27</v>
      </c>
      <c r="D702" s="4">
        <v>45945</v>
      </c>
      <c r="H702" s="3" t="s">
        <v>28</v>
      </c>
      <c r="I702" s="3" t="s">
        <v>68</v>
      </c>
      <c r="O702">
        <v>1</v>
      </c>
      <c r="P702">
        <f t="shared" si="30"/>
        <v>0</v>
      </c>
      <c r="Q702">
        <f t="shared" si="31"/>
        <v>0</v>
      </c>
      <c r="R702">
        <f t="shared" si="32"/>
        <v>0</v>
      </c>
      <c r="S702" s="10" t="str" cm="1">
        <f t="array" ref="S702">_xlfn.IFS(N702="", "", N702&gt;=9,"Promoter", N702&gt;=7,"Passive", N702&lt;=6,"Detractor")</f>
        <v/>
      </c>
    </row>
    <row r="703" spans="1:19" ht="14.25" customHeight="1">
      <c r="A703" s="3" t="s">
        <v>734</v>
      </c>
      <c r="B703" s="3" t="s">
        <v>20</v>
      </c>
      <c r="C703" s="3" t="s">
        <v>35</v>
      </c>
      <c r="D703" s="4">
        <v>45932</v>
      </c>
      <c r="E703" s="4">
        <v>45936</v>
      </c>
      <c r="F703" s="4">
        <v>45939</v>
      </c>
      <c r="G703" s="4">
        <v>45944</v>
      </c>
      <c r="H703" s="3" t="s">
        <v>22</v>
      </c>
      <c r="J703" s="4">
        <v>45967</v>
      </c>
      <c r="K703" s="3">
        <v>4</v>
      </c>
      <c r="L703" s="3">
        <v>3</v>
      </c>
      <c r="M703" s="3">
        <v>5</v>
      </c>
      <c r="N703" s="3">
        <v>9</v>
      </c>
      <c r="O703">
        <v>1</v>
      </c>
      <c r="P703">
        <f t="shared" si="30"/>
        <v>1</v>
      </c>
      <c r="Q703">
        <f t="shared" si="31"/>
        <v>1</v>
      </c>
      <c r="R703">
        <f t="shared" si="32"/>
        <v>1</v>
      </c>
      <c r="S703" s="10" t="str" cm="1">
        <f t="array" ref="S703">_xlfn.IFS(N703="", "", N703&gt;=9,"Promoter", N703&gt;=7,"Passive", N703&lt;=6,"Detractor")</f>
        <v>Promoter</v>
      </c>
    </row>
    <row r="704" spans="1:19" ht="14.25" customHeight="1">
      <c r="A704" s="3" t="s">
        <v>735</v>
      </c>
      <c r="B704" s="3" t="s">
        <v>20</v>
      </c>
      <c r="C704" s="3" t="s">
        <v>35</v>
      </c>
      <c r="D704" s="4">
        <v>45949</v>
      </c>
      <c r="E704" s="4">
        <v>45954</v>
      </c>
      <c r="F704" s="4">
        <v>45956</v>
      </c>
      <c r="G704" s="4">
        <v>45959</v>
      </c>
      <c r="H704" s="3" t="s">
        <v>28</v>
      </c>
      <c r="I704" s="3" t="s">
        <v>31</v>
      </c>
      <c r="K704" s="3">
        <v>5</v>
      </c>
      <c r="L704" s="3">
        <v>2</v>
      </c>
      <c r="M704" s="3">
        <v>3</v>
      </c>
      <c r="O704">
        <v>1</v>
      </c>
      <c r="P704">
        <f t="shared" si="30"/>
        <v>1</v>
      </c>
      <c r="Q704">
        <f t="shared" si="31"/>
        <v>1</v>
      </c>
      <c r="R704">
        <f t="shared" si="32"/>
        <v>0</v>
      </c>
      <c r="S704" s="10" t="str" cm="1">
        <f t="array" ref="S704">_xlfn.IFS(N704="", "", N704&gt;=9,"Promoter", N704&gt;=7,"Passive", N704&lt;=6,"Detractor")</f>
        <v/>
      </c>
    </row>
    <row r="705" spans="1:19" ht="14.25" customHeight="1">
      <c r="A705" s="3" t="s">
        <v>736</v>
      </c>
      <c r="B705" s="3" t="s">
        <v>24</v>
      </c>
      <c r="C705" s="3" t="s">
        <v>21</v>
      </c>
      <c r="D705" s="4">
        <v>45942</v>
      </c>
      <c r="E705" s="4">
        <v>45943</v>
      </c>
      <c r="F705" s="4">
        <v>45948</v>
      </c>
      <c r="G705" s="4">
        <v>45955</v>
      </c>
      <c r="H705" s="3" t="s">
        <v>22</v>
      </c>
      <c r="J705" s="4">
        <v>45983</v>
      </c>
      <c r="K705" s="3">
        <v>1</v>
      </c>
      <c r="L705" s="3">
        <v>5</v>
      </c>
      <c r="M705" s="3">
        <v>7</v>
      </c>
      <c r="N705" s="3">
        <v>2</v>
      </c>
      <c r="O705">
        <v>1</v>
      </c>
      <c r="P705">
        <f t="shared" si="30"/>
        <v>1</v>
      </c>
      <c r="Q705">
        <f t="shared" si="31"/>
        <v>1</v>
      </c>
      <c r="R705">
        <f t="shared" si="32"/>
        <v>1</v>
      </c>
      <c r="S705" s="10" t="str" cm="1">
        <f t="array" ref="S705">_xlfn.IFS(N705="", "", N705&gt;=9,"Promoter", N705&gt;=7,"Passive", N705&lt;=6,"Detractor")</f>
        <v>Detractor</v>
      </c>
    </row>
    <row r="706" spans="1:19" ht="14.25" customHeight="1">
      <c r="A706" s="3" t="s">
        <v>737</v>
      </c>
      <c r="B706" s="3" t="s">
        <v>37</v>
      </c>
      <c r="C706" s="3" t="s">
        <v>21</v>
      </c>
      <c r="D706" s="4">
        <v>45954</v>
      </c>
      <c r="E706" s="4">
        <v>45957</v>
      </c>
      <c r="F706" s="4">
        <v>45959</v>
      </c>
      <c r="G706" s="4">
        <v>45965</v>
      </c>
      <c r="H706" s="3" t="s">
        <v>22</v>
      </c>
      <c r="J706" s="4">
        <v>45989</v>
      </c>
      <c r="K706" s="3">
        <v>3</v>
      </c>
      <c r="L706" s="3">
        <v>2</v>
      </c>
      <c r="M706" s="3">
        <v>6</v>
      </c>
      <c r="N706" s="3">
        <v>9</v>
      </c>
      <c r="O706">
        <v>1</v>
      </c>
      <c r="P706">
        <f t="shared" si="30"/>
        <v>1</v>
      </c>
      <c r="Q706">
        <f t="shared" si="31"/>
        <v>1</v>
      </c>
      <c r="R706">
        <f t="shared" si="32"/>
        <v>1</v>
      </c>
      <c r="S706" s="10" t="str" cm="1">
        <f t="array" ref="S706">_xlfn.IFS(N706="", "", N706&gt;=9,"Promoter", N706&gt;=7,"Passive", N706&lt;=6,"Detractor")</f>
        <v>Promoter</v>
      </c>
    </row>
    <row r="707" spans="1:19" ht="14.25" customHeight="1">
      <c r="A707" s="3" t="s">
        <v>738</v>
      </c>
      <c r="B707" s="3" t="s">
        <v>37</v>
      </c>
      <c r="C707" s="3" t="s">
        <v>21</v>
      </c>
      <c r="D707" s="4">
        <v>45935</v>
      </c>
      <c r="E707" s="4">
        <v>45938</v>
      </c>
      <c r="F707" s="4">
        <v>45943</v>
      </c>
      <c r="G707" s="4">
        <v>45946</v>
      </c>
      <c r="H707" s="3" t="s">
        <v>22</v>
      </c>
      <c r="J707" s="4">
        <v>45960</v>
      </c>
      <c r="K707" s="3">
        <v>3</v>
      </c>
      <c r="L707" s="3">
        <v>5</v>
      </c>
      <c r="M707" s="3">
        <v>3</v>
      </c>
      <c r="N707" s="3">
        <v>2</v>
      </c>
      <c r="O707">
        <v>1</v>
      </c>
      <c r="P707">
        <f t="shared" ref="P707:P770" si="33">IF(E707&lt;&gt;"", 1, 0)</f>
        <v>1</v>
      </c>
      <c r="Q707">
        <f t="shared" ref="Q707:Q770" si="34">IF(G707&lt;&gt;"",1,0)</f>
        <v>1</v>
      </c>
      <c r="R707">
        <f t="shared" ref="R707:R770" si="35">IF(AND(G707&lt;&gt;"", H707="No"), 1, 0)</f>
        <v>1</v>
      </c>
      <c r="S707" s="10" t="str" cm="1">
        <f t="array" ref="S707">_xlfn.IFS(N707="", "", N707&gt;=9,"Promoter", N707&gt;=7,"Passive", N707&lt;=6,"Detractor")</f>
        <v>Detractor</v>
      </c>
    </row>
    <row r="708" spans="1:19" ht="14.25" customHeight="1">
      <c r="A708" s="3" t="s">
        <v>739</v>
      </c>
      <c r="B708" s="3" t="s">
        <v>26</v>
      </c>
      <c r="C708" s="3" t="s">
        <v>21</v>
      </c>
      <c r="D708" s="4">
        <v>45933</v>
      </c>
      <c r="E708" s="4">
        <v>45937</v>
      </c>
      <c r="F708" s="4">
        <v>45941</v>
      </c>
      <c r="G708" s="4">
        <v>45944</v>
      </c>
      <c r="H708" s="3" t="s">
        <v>22</v>
      </c>
      <c r="J708" s="4">
        <v>45964</v>
      </c>
      <c r="K708" s="3">
        <v>4</v>
      </c>
      <c r="L708" s="3">
        <v>4</v>
      </c>
      <c r="M708" s="3">
        <v>3</v>
      </c>
      <c r="N708" s="3">
        <v>6</v>
      </c>
      <c r="O708">
        <v>1</v>
      </c>
      <c r="P708">
        <f t="shared" si="33"/>
        <v>1</v>
      </c>
      <c r="Q708">
        <f t="shared" si="34"/>
        <v>1</v>
      </c>
      <c r="R708">
        <f t="shared" si="35"/>
        <v>1</v>
      </c>
      <c r="S708" s="10" t="str" cm="1">
        <f t="array" ref="S708">_xlfn.IFS(N708="", "", N708&gt;=9,"Promoter", N708&gt;=7,"Passive", N708&lt;=6,"Detractor")</f>
        <v>Detractor</v>
      </c>
    </row>
    <row r="709" spans="1:19" ht="14.25" customHeight="1">
      <c r="A709" s="3" t="s">
        <v>740</v>
      </c>
      <c r="B709" s="3" t="s">
        <v>24</v>
      </c>
      <c r="C709" s="3" t="s">
        <v>35</v>
      </c>
      <c r="D709" s="4">
        <v>45960</v>
      </c>
      <c r="E709" s="4">
        <v>45962</v>
      </c>
      <c r="F709" s="4">
        <v>45967</v>
      </c>
      <c r="G709" s="4">
        <v>45969</v>
      </c>
      <c r="H709" s="3" t="s">
        <v>28</v>
      </c>
      <c r="I709" s="3" t="s">
        <v>38</v>
      </c>
      <c r="K709" s="3">
        <v>2</v>
      </c>
      <c r="L709" s="3">
        <v>5</v>
      </c>
      <c r="M709" s="3">
        <v>2</v>
      </c>
      <c r="O709">
        <v>1</v>
      </c>
      <c r="P709">
        <f t="shared" si="33"/>
        <v>1</v>
      </c>
      <c r="Q709">
        <f t="shared" si="34"/>
        <v>1</v>
      </c>
      <c r="R709">
        <f t="shared" si="35"/>
        <v>0</v>
      </c>
      <c r="S709" s="10" t="str" cm="1">
        <f t="array" ref="S709">_xlfn.IFS(N709="", "", N709&gt;=9,"Promoter", N709&gt;=7,"Passive", N709&lt;=6,"Detractor")</f>
        <v/>
      </c>
    </row>
    <row r="710" spans="1:19" ht="14.25" customHeight="1">
      <c r="A710" s="3" t="s">
        <v>741</v>
      </c>
      <c r="B710" s="3" t="s">
        <v>20</v>
      </c>
      <c r="C710" s="3" t="s">
        <v>35</v>
      </c>
      <c r="D710" s="4">
        <v>45940</v>
      </c>
      <c r="E710" s="4">
        <v>45945</v>
      </c>
      <c r="F710" s="4">
        <v>45948</v>
      </c>
      <c r="G710" s="4">
        <v>45953</v>
      </c>
      <c r="H710" s="3" t="s">
        <v>22</v>
      </c>
      <c r="J710" s="4">
        <v>45968</v>
      </c>
      <c r="K710" s="3">
        <v>5</v>
      </c>
      <c r="L710" s="3">
        <v>3</v>
      </c>
      <c r="M710" s="3">
        <v>5</v>
      </c>
      <c r="N710" s="3">
        <v>2</v>
      </c>
      <c r="O710">
        <v>1</v>
      </c>
      <c r="P710">
        <f t="shared" si="33"/>
        <v>1</v>
      </c>
      <c r="Q710">
        <f t="shared" si="34"/>
        <v>1</v>
      </c>
      <c r="R710">
        <f t="shared" si="35"/>
        <v>1</v>
      </c>
      <c r="S710" s="10" t="str" cm="1">
        <f t="array" ref="S710">_xlfn.IFS(N710="", "", N710&gt;=9,"Promoter", N710&gt;=7,"Passive", N710&lt;=6,"Detractor")</f>
        <v>Detractor</v>
      </c>
    </row>
    <row r="711" spans="1:19" ht="14.25" customHeight="1">
      <c r="A711" s="3" t="s">
        <v>742</v>
      </c>
      <c r="B711" s="3" t="s">
        <v>24</v>
      </c>
      <c r="C711" s="3" t="s">
        <v>21</v>
      </c>
      <c r="D711" s="4">
        <v>45941</v>
      </c>
      <c r="E711" s="4">
        <v>45944</v>
      </c>
      <c r="F711" s="4">
        <v>45948</v>
      </c>
      <c r="G711" s="4">
        <v>45950</v>
      </c>
      <c r="H711" s="3" t="s">
        <v>22</v>
      </c>
      <c r="J711" s="4">
        <v>45962</v>
      </c>
      <c r="K711" s="3">
        <v>3</v>
      </c>
      <c r="L711" s="3">
        <v>4</v>
      </c>
      <c r="M711" s="3">
        <v>2</v>
      </c>
      <c r="N711" s="3">
        <v>6</v>
      </c>
      <c r="O711">
        <v>1</v>
      </c>
      <c r="P711">
        <f t="shared" si="33"/>
        <v>1</v>
      </c>
      <c r="Q711">
        <f t="shared" si="34"/>
        <v>1</v>
      </c>
      <c r="R711">
        <f t="shared" si="35"/>
        <v>1</v>
      </c>
      <c r="S711" s="10" t="str" cm="1">
        <f t="array" ref="S711">_xlfn.IFS(N711="", "", N711&gt;=9,"Promoter", N711&gt;=7,"Passive", N711&lt;=6,"Detractor")</f>
        <v>Detractor</v>
      </c>
    </row>
    <row r="712" spans="1:19" ht="14.25" customHeight="1">
      <c r="A712" s="3" t="s">
        <v>743</v>
      </c>
      <c r="B712" s="3" t="s">
        <v>26</v>
      </c>
      <c r="C712" s="3" t="s">
        <v>21</v>
      </c>
      <c r="D712" s="4">
        <v>45954</v>
      </c>
      <c r="E712" s="4">
        <v>45958</v>
      </c>
      <c r="F712" s="4">
        <v>45960</v>
      </c>
      <c r="G712" s="4">
        <v>45963</v>
      </c>
      <c r="H712" s="3" t="s">
        <v>22</v>
      </c>
      <c r="J712" s="4">
        <v>45988</v>
      </c>
      <c r="K712" s="3">
        <v>4</v>
      </c>
      <c r="L712" s="3">
        <v>2</v>
      </c>
      <c r="M712" s="3">
        <v>3</v>
      </c>
      <c r="N712" s="3">
        <v>8</v>
      </c>
      <c r="O712">
        <v>1</v>
      </c>
      <c r="P712">
        <f t="shared" si="33"/>
        <v>1</v>
      </c>
      <c r="Q712">
        <f t="shared" si="34"/>
        <v>1</v>
      </c>
      <c r="R712">
        <f t="shared" si="35"/>
        <v>1</v>
      </c>
      <c r="S712" s="10" t="str" cm="1">
        <f t="array" ref="S712">_xlfn.IFS(N712="", "", N712&gt;=9,"Promoter", N712&gt;=7,"Passive", N712&lt;=6,"Detractor")</f>
        <v>Passive</v>
      </c>
    </row>
    <row r="713" spans="1:19" ht="14.25" customHeight="1">
      <c r="A713" s="3" t="s">
        <v>744</v>
      </c>
      <c r="B713" s="3" t="s">
        <v>26</v>
      </c>
      <c r="C713" s="3" t="s">
        <v>21</v>
      </c>
      <c r="D713" s="4">
        <v>45944</v>
      </c>
      <c r="E713" s="4">
        <v>45946</v>
      </c>
      <c r="F713" s="4">
        <v>45947</v>
      </c>
      <c r="G713" s="4">
        <v>45953</v>
      </c>
      <c r="H713" s="3" t="s">
        <v>22</v>
      </c>
      <c r="J713" s="4">
        <v>45973</v>
      </c>
      <c r="K713" s="3">
        <v>2</v>
      </c>
      <c r="L713" s="3">
        <v>1</v>
      </c>
      <c r="M713" s="3">
        <v>6</v>
      </c>
      <c r="N713" s="3">
        <v>2</v>
      </c>
      <c r="O713">
        <v>1</v>
      </c>
      <c r="P713">
        <f t="shared" si="33"/>
        <v>1</v>
      </c>
      <c r="Q713">
        <f t="shared" si="34"/>
        <v>1</v>
      </c>
      <c r="R713">
        <f t="shared" si="35"/>
        <v>1</v>
      </c>
      <c r="S713" s="10" t="str" cm="1">
        <f t="array" ref="S713">_xlfn.IFS(N713="", "", N713&gt;=9,"Promoter", N713&gt;=7,"Passive", N713&lt;=6,"Detractor")</f>
        <v>Detractor</v>
      </c>
    </row>
    <row r="714" spans="1:19" ht="14.25" customHeight="1">
      <c r="A714" s="3" t="s">
        <v>745</v>
      </c>
      <c r="B714" s="3" t="s">
        <v>24</v>
      </c>
      <c r="C714" s="3" t="s">
        <v>35</v>
      </c>
      <c r="D714" s="4">
        <v>45936</v>
      </c>
      <c r="E714" s="4">
        <v>45937</v>
      </c>
      <c r="F714" s="4">
        <v>45942</v>
      </c>
      <c r="G714" s="4">
        <v>45946</v>
      </c>
      <c r="H714" s="3" t="s">
        <v>22</v>
      </c>
      <c r="J714" s="4">
        <v>45976</v>
      </c>
      <c r="K714" s="3">
        <v>1</v>
      </c>
      <c r="L714" s="3">
        <v>5</v>
      </c>
      <c r="M714" s="3">
        <v>4</v>
      </c>
      <c r="N714" s="3">
        <v>5</v>
      </c>
      <c r="O714">
        <v>1</v>
      </c>
      <c r="P714">
        <f t="shared" si="33"/>
        <v>1</v>
      </c>
      <c r="Q714">
        <f t="shared" si="34"/>
        <v>1</v>
      </c>
      <c r="R714">
        <f t="shared" si="35"/>
        <v>1</v>
      </c>
      <c r="S714" s="10" t="str" cm="1">
        <f t="array" ref="S714">_xlfn.IFS(N714="", "", N714&gt;=9,"Promoter", N714&gt;=7,"Passive", N714&lt;=6,"Detractor")</f>
        <v>Detractor</v>
      </c>
    </row>
    <row r="715" spans="1:19" ht="14.25" customHeight="1">
      <c r="A715" s="3" t="s">
        <v>746</v>
      </c>
      <c r="B715" s="3" t="s">
        <v>24</v>
      </c>
      <c r="C715" s="3" t="s">
        <v>21</v>
      </c>
      <c r="D715" s="4">
        <v>45937</v>
      </c>
      <c r="E715" s="4">
        <v>45939</v>
      </c>
      <c r="F715" s="4">
        <v>45942</v>
      </c>
      <c r="G715" s="4">
        <v>45949</v>
      </c>
      <c r="H715" s="3" t="s">
        <v>22</v>
      </c>
      <c r="J715" s="4">
        <v>45964</v>
      </c>
      <c r="K715" s="3">
        <v>2</v>
      </c>
      <c r="L715" s="3">
        <v>3</v>
      </c>
      <c r="M715" s="3">
        <v>7</v>
      </c>
      <c r="N715" s="3">
        <v>8</v>
      </c>
      <c r="O715">
        <v>1</v>
      </c>
      <c r="P715">
        <f t="shared" si="33"/>
        <v>1</v>
      </c>
      <c r="Q715">
        <f t="shared" si="34"/>
        <v>1</v>
      </c>
      <c r="R715">
        <f t="shared" si="35"/>
        <v>1</v>
      </c>
      <c r="S715" s="10" t="str" cm="1">
        <f t="array" ref="S715">_xlfn.IFS(N715="", "", N715&gt;=9,"Promoter", N715&gt;=7,"Passive", N715&lt;=6,"Detractor")</f>
        <v>Passive</v>
      </c>
    </row>
    <row r="716" spans="1:19" ht="14.25" customHeight="1">
      <c r="A716" s="3" t="s">
        <v>747</v>
      </c>
      <c r="B716" s="3" t="s">
        <v>24</v>
      </c>
      <c r="C716" s="3" t="s">
        <v>35</v>
      </c>
      <c r="D716" s="4">
        <v>45935</v>
      </c>
      <c r="E716" s="4">
        <v>45936</v>
      </c>
      <c r="F716" s="4">
        <v>45937</v>
      </c>
      <c r="G716" s="4">
        <v>45944</v>
      </c>
      <c r="H716" s="3" t="s">
        <v>22</v>
      </c>
      <c r="J716" s="4">
        <v>45964</v>
      </c>
      <c r="K716" s="3">
        <v>1</v>
      </c>
      <c r="L716" s="3">
        <v>1</v>
      </c>
      <c r="M716" s="3">
        <v>7</v>
      </c>
      <c r="N716" s="3">
        <v>7</v>
      </c>
      <c r="O716">
        <v>1</v>
      </c>
      <c r="P716">
        <f t="shared" si="33"/>
        <v>1</v>
      </c>
      <c r="Q716">
        <f t="shared" si="34"/>
        <v>1</v>
      </c>
      <c r="R716">
        <f t="shared" si="35"/>
        <v>1</v>
      </c>
      <c r="S716" s="10" t="str" cm="1">
        <f t="array" ref="S716">_xlfn.IFS(N716="", "", N716&gt;=9,"Promoter", N716&gt;=7,"Passive", N716&lt;=6,"Detractor")</f>
        <v>Passive</v>
      </c>
    </row>
    <row r="717" spans="1:19" ht="14.25" customHeight="1">
      <c r="A717" s="3" t="s">
        <v>748</v>
      </c>
      <c r="B717" s="3" t="s">
        <v>37</v>
      </c>
      <c r="C717" s="3" t="s">
        <v>35</v>
      </c>
      <c r="D717" s="4">
        <v>45956</v>
      </c>
      <c r="E717" s="4">
        <v>45960</v>
      </c>
      <c r="F717" s="4">
        <v>45961</v>
      </c>
      <c r="G717" s="4">
        <v>45963</v>
      </c>
      <c r="H717" s="3" t="s">
        <v>22</v>
      </c>
      <c r="J717" s="4">
        <v>45993</v>
      </c>
      <c r="K717" s="3">
        <v>4</v>
      </c>
      <c r="L717" s="3">
        <v>1</v>
      </c>
      <c r="M717" s="3">
        <v>2</v>
      </c>
      <c r="N717" s="3">
        <v>7</v>
      </c>
      <c r="O717">
        <v>1</v>
      </c>
      <c r="P717">
        <f t="shared" si="33"/>
        <v>1</v>
      </c>
      <c r="Q717">
        <f t="shared" si="34"/>
        <v>1</v>
      </c>
      <c r="R717">
        <f t="shared" si="35"/>
        <v>1</v>
      </c>
      <c r="S717" s="10" t="str" cm="1">
        <f t="array" ref="S717">_xlfn.IFS(N717="", "", N717&gt;=9,"Promoter", N717&gt;=7,"Passive", N717&lt;=6,"Detractor")</f>
        <v>Passive</v>
      </c>
    </row>
    <row r="718" spans="1:19" ht="14.25" customHeight="1">
      <c r="A718" s="3" t="s">
        <v>749</v>
      </c>
      <c r="B718" s="3" t="s">
        <v>20</v>
      </c>
      <c r="C718" s="3" t="s">
        <v>21</v>
      </c>
      <c r="D718" s="4">
        <v>45948</v>
      </c>
      <c r="E718" s="4">
        <v>45950</v>
      </c>
      <c r="F718" s="4">
        <v>45954</v>
      </c>
      <c r="G718" s="4">
        <v>45958</v>
      </c>
      <c r="H718" s="3" t="s">
        <v>22</v>
      </c>
      <c r="J718" s="4">
        <v>45969</v>
      </c>
      <c r="K718" s="3">
        <v>2</v>
      </c>
      <c r="L718" s="3">
        <v>4</v>
      </c>
      <c r="M718" s="3">
        <v>4</v>
      </c>
      <c r="N718" s="3">
        <v>9</v>
      </c>
      <c r="O718">
        <v>1</v>
      </c>
      <c r="P718">
        <f t="shared" si="33"/>
        <v>1</v>
      </c>
      <c r="Q718">
        <f t="shared" si="34"/>
        <v>1</v>
      </c>
      <c r="R718">
        <f t="shared" si="35"/>
        <v>1</v>
      </c>
      <c r="S718" s="10" t="str" cm="1">
        <f t="array" ref="S718">_xlfn.IFS(N718="", "", N718&gt;=9,"Promoter", N718&gt;=7,"Passive", N718&lt;=6,"Detractor")</f>
        <v>Promoter</v>
      </c>
    </row>
    <row r="719" spans="1:19" ht="14.25" customHeight="1">
      <c r="A719" s="3" t="s">
        <v>750</v>
      </c>
      <c r="B719" s="3" t="s">
        <v>24</v>
      </c>
      <c r="C719" s="3" t="s">
        <v>35</v>
      </c>
      <c r="D719" s="4">
        <v>45959</v>
      </c>
      <c r="E719" s="4">
        <v>45963</v>
      </c>
      <c r="F719" s="4">
        <v>45965</v>
      </c>
      <c r="G719" s="4">
        <v>45967</v>
      </c>
      <c r="H719" s="3" t="s">
        <v>22</v>
      </c>
      <c r="J719" s="4">
        <v>45977</v>
      </c>
      <c r="K719" s="3">
        <v>4</v>
      </c>
      <c r="L719" s="3">
        <v>2</v>
      </c>
      <c r="M719" s="3">
        <v>2</v>
      </c>
      <c r="N719" s="3">
        <v>7</v>
      </c>
      <c r="O719">
        <v>1</v>
      </c>
      <c r="P719">
        <f t="shared" si="33"/>
        <v>1</v>
      </c>
      <c r="Q719">
        <f t="shared" si="34"/>
        <v>1</v>
      </c>
      <c r="R719">
        <f t="shared" si="35"/>
        <v>1</v>
      </c>
      <c r="S719" s="10" t="str" cm="1">
        <f t="array" ref="S719">_xlfn.IFS(N719="", "", N719&gt;=9,"Promoter", N719&gt;=7,"Passive", N719&lt;=6,"Detractor")</f>
        <v>Passive</v>
      </c>
    </row>
    <row r="720" spans="1:19" ht="14.25" customHeight="1">
      <c r="A720" s="3" t="s">
        <v>751</v>
      </c>
      <c r="B720" s="3" t="s">
        <v>24</v>
      </c>
      <c r="C720" s="3" t="s">
        <v>35</v>
      </c>
      <c r="D720" s="4">
        <v>45942</v>
      </c>
      <c r="E720" s="4">
        <v>45943</v>
      </c>
      <c r="F720" s="4">
        <v>45944</v>
      </c>
      <c r="G720" s="4">
        <v>45951</v>
      </c>
      <c r="H720" s="3" t="s">
        <v>22</v>
      </c>
      <c r="J720" s="4">
        <v>45975</v>
      </c>
      <c r="K720" s="3">
        <v>1</v>
      </c>
      <c r="L720" s="3">
        <v>1</v>
      </c>
      <c r="M720" s="3">
        <v>7</v>
      </c>
      <c r="N720" s="3">
        <v>2</v>
      </c>
      <c r="O720">
        <v>1</v>
      </c>
      <c r="P720">
        <f t="shared" si="33"/>
        <v>1</v>
      </c>
      <c r="Q720">
        <f t="shared" si="34"/>
        <v>1</v>
      </c>
      <c r="R720">
        <f t="shared" si="35"/>
        <v>1</v>
      </c>
      <c r="S720" s="10" t="str" cm="1">
        <f t="array" ref="S720">_xlfn.IFS(N720="", "", N720&gt;=9,"Promoter", N720&gt;=7,"Passive", N720&lt;=6,"Detractor")</f>
        <v>Detractor</v>
      </c>
    </row>
    <row r="721" spans="1:19" ht="14.25" customHeight="1">
      <c r="A721" s="3" t="s">
        <v>752</v>
      </c>
      <c r="B721" s="3" t="s">
        <v>24</v>
      </c>
      <c r="C721" s="3" t="s">
        <v>21</v>
      </c>
      <c r="D721" s="4">
        <v>45947</v>
      </c>
      <c r="E721" s="4">
        <v>45950</v>
      </c>
      <c r="F721" s="4">
        <v>45953</v>
      </c>
      <c r="G721" s="4">
        <v>45958</v>
      </c>
      <c r="H721" s="3" t="s">
        <v>22</v>
      </c>
      <c r="J721" s="4">
        <v>45976</v>
      </c>
      <c r="K721" s="3">
        <v>3</v>
      </c>
      <c r="L721" s="3">
        <v>3</v>
      </c>
      <c r="M721" s="3">
        <v>5</v>
      </c>
      <c r="N721" s="3">
        <v>7</v>
      </c>
      <c r="O721">
        <v>1</v>
      </c>
      <c r="P721">
        <f t="shared" si="33"/>
        <v>1</v>
      </c>
      <c r="Q721">
        <f t="shared" si="34"/>
        <v>1</v>
      </c>
      <c r="R721">
        <f t="shared" si="35"/>
        <v>1</v>
      </c>
      <c r="S721" s="10" t="str" cm="1">
        <f t="array" ref="S721">_xlfn.IFS(N721="", "", N721&gt;=9,"Promoter", N721&gt;=7,"Passive", N721&lt;=6,"Detractor")</f>
        <v>Passive</v>
      </c>
    </row>
    <row r="722" spans="1:19" ht="14.25" customHeight="1">
      <c r="A722" s="3" t="s">
        <v>753</v>
      </c>
      <c r="B722" s="3" t="s">
        <v>26</v>
      </c>
      <c r="C722" s="3" t="s">
        <v>21</v>
      </c>
      <c r="D722" s="4">
        <v>45947</v>
      </c>
      <c r="E722" s="4">
        <v>45950</v>
      </c>
      <c r="F722" s="4">
        <v>45955</v>
      </c>
      <c r="G722" s="4">
        <v>45962</v>
      </c>
      <c r="H722" s="3" t="s">
        <v>22</v>
      </c>
      <c r="J722" s="4">
        <v>45978</v>
      </c>
      <c r="K722" s="3">
        <v>3</v>
      </c>
      <c r="L722" s="3">
        <v>5</v>
      </c>
      <c r="M722" s="3">
        <v>7</v>
      </c>
      <c r="N722" s="3">
        <v>4</v>
      </c>
      <c r="O722">
        <v>1</v>
      </c>
      <c r="P722">
        <f t="shared" si="33"/>
        <v>1</v>
      </c>
      <c r="Q722">
        <f t="shared" si="34"/>
        <v>1</v>
      </c>
      <c r="R722">
        <f t="shared" si="35"/>
        <v>1</v>
      </c>
      <c r="S722" s="10" t="str" cm="1">
        <f t="array" ref="S722">_xlfn.IFS(N722="", "", N722&gt;=9,"Promoter", N722&gt;=7,"Passive", N722&lt;=6,"Detractor")</f>
        <v>Detractor</v>
      </c>
    </row>
    <row r="723" spans="1:19" ht="14.25" customHeight="1">
      <c r="A723" s="3" t="s">
        <v>754</v>
      </c>
      <c r="B723" s="3" t="s">
        <v>26</v>
      </c>
      <c r="C723" s="3" t="s">
        <v>21</v>
      </c>
      <c r="D723" s="4">
        <v>45960</v>
      </c>
      <c r="E723" s="4">
        <v>45961</v>
      </c>
      <c r="F723" s="4">
        <v>45966</v>
      </c>
      <c r="G723" s="4">
        <v>45973</v>
      </c>
      <c r="H723" s="3" t="s">
        <v>22</v>
      </c>
      <c r="J723" s="4">
        <v>45988</v>
      </c>
      <c r="K723" s="3">
        <v>1</v>
      </c>
      <c r="L723" s="3">
        <v>5</v>
      </c>
      <c r="M723" s="3">
        <v>7</v>
      </c>
      <c r="N723" s="3">
        <v>6</v>
      </c>
      <c r="O723">
        <v>1</v>
      </c>
      <c r="P723">
        <f t="shared" si="33"/>
        <v>1</v>
      </c>
      <c r="Q723">
        <f t="shared" si="34"/>
        <v>1</v>
      </c>
      <c r="R723">
        <f t="shared" si="35"/>
        <v>1</v>
      </c>
      <c r="S723" s="10" t="str" cm="1">
        <f t="array" ref="S723">_xlfn.IFS(N723="", "", N723&gt;=9,"Promoter", N723&gt;=7,"Passive", N723&lt;=6,"Detractor")</f>
        <v>Detractor</v>
      </c>
    </row>
    <row r="724" spans="1:19" ht="14.25" customHeight="1">
      <c r="A724" s="3" t="s">
        <v>755</v>
      </c>
      <c r="B724" s="3" t="s">
        <v>37</v>
      </c>
      <c r="C724" s="3" t="s">
        <v>35</v>
      </c>
      <c r="D724" s="4">
        <v>45939</v>
      </c>
      <c r="E724" s="4">
        <v>45944</v>
      </c>
      <c r="F724" s="4">
        <v>45949</v>
      </c>
      <c r="G724" s="4">
        <v>45953</v>
      </c>
      <c r="H724" s="3" t="s">
        <v>22</v>
      </c>
      <c r="J724" s="4">
        <v>45981</v>
      </c>
      <c r="K724" s="3">
        <v>5</v>
      </c>
      <c r="L724" s="3">
        <v>5</v>
      </c>
      <c r="M724" s="3">
        <v>4</v>
      </c>
      <c r="N724" s="3">
        <v>3</v>
      </c>
      <c r="O724">
        <v>1</v>
      </c>
      <c r="P724">
        <f t="shared" si="33"/>
        <v>1</v>
      </c>
      <c r="Q724">
        <f t="shared" si="34"/>
        <v>1</v>
      </c>
      <c r="R724">
        <f t="shared" si="35"/>
        <v>1</v>
      </c>
      <c r="S724" s="10" t="str" cm="1">
        <f t="array" ref="S724">_xlfn.IFS(N724="", "", N724&gt;=9,"Promoter", N724&gt;=7,"Passive", N724&lt;=6,"Detractor")</f>
        <v>Detractor</v>
      </c>
    </row>
    <row r="725" spans="1:19" ht="14.25" customHeight="1">
      <c r="A725" s="3" t="s">
        <v>756</v>
      </c>
      <c r="B725" s="3" t="s">
        <v>20</v>
      </c>
      <c r="C725" s="3" t="s">
        <v>35</v>
      </c>
      <c r="D725" s="4">
        <v>45957</v>
      </c>
      <c r="E725" s="4">
        <v>45962</v>
      </c>
      <c r="F725" s="4">
        <v>45966</v>
      </c>
      <c r="G725" s="4">
        <v>45968</v>
      </c>
      <c r="H725" s="3" t="s">
        <v>22</v>
      </c>
      <c r="J725" s="4">
        <v>45983</v>
      </c>
      <c r="K725" s="3">
        <v>5</v>
      </c>
      <c r="L725" s="3">
        <v>4</v>
      </c>
      <c r="M725" s="3">
        <v>2</v>
      </c>
      <c r="N725" s="3">
        <v>4</v>
      </c>
      <c r="O725">
        <v>1</v>
      </c>
      <c r="P725">
        <f t="shared" si="33"/>
        <v>1</v>
      </c>
      <c r="Q725">
        <f t="shared" si="34"/>
        <v>1</v>
      </c>
      <c r="R725">
        <f t="shared" si="35"/>
        <v>1</v>
      </c>
      <c r="S725" s="10" t="str" cm="1">
        <f t="array" ref="S725">_xlfn.IFS(N725="", "", N725&gt;=9,"Promoter", N725&gt;=7,"Passive", N725&lt;=6,"Detractor")</f>
        <v>Detractor</v>
      </c>
    </row>
    <row r="726" spans="1:19" ht="14.25" customHeight="1">
      <c r="A726" s="3" t="s">
        <v>757</v>
      </c>
      <c r="B726" s="3" t="s">
        <v>37</v>
      </c>
      <c r="C726" s="3" t="s">
        <v>35</v>
      </c>
      <c r="D726" s="4">
        <v>45936</v>
      </c>
      <c r="E726" s="4">
        <v>45939</v>
      </c>
      <c r="F726" s="4">
        <v>45942</v>
      </c>
      <c r="G726" s="4">
        <v>45945</v>
      </c>
      <c r="H726" s="3" t="s">
        <v>22</v>
      </c>
      <c r="J726" s="4">
        <v>45970</v>
      </c>
      <c r="K726" s="3">
        <v>3</v>
      </c>
      <c r="L726" s="3">
        <v>3</v>
      </c>
      <c r="M726" s="3">
        <v>3</v>
      </c>
      <c r="N726" s="3">
        <v>10</v>
      </c>
      <c r="O726">
        <v>1</v>
      </c>
      <c r="P726">
        <f t="shared" si="33"/>
        <v>1</v>
      </c>
      <c r="Q726">
        <f t="shared" si="34"/>
        <v>1</v>
      </c>
      <c r="R726">
        <f t="shared" si="35"/>
        <v>1</v>
      </c>
      <c r="S726" s="10" t="str" cm="1">
        <f t="array" ref="S726">_xlfn.IFS(N726="", "", N726&gt;=9,"Promoter", N726&gt;=7,"Passive", N726&lt;=6,"Detractor")</f>
        <v>Promoter</v>
      </c>
    </row>
    <row r="727" spans="1:19" ht="14.25" customHeight="1">
      <c r="A727" s="3" t="s">
        <v>758</v>
      </c>
      <c r="B727" s="3" t="s">
        <v>20</v>
      </c>
      <c r="C727" s="3" t="s">
        <v>35</v>
      </c>
      <c r="D727" s="4">
        <v>45939</v>
      </c>
      <c r="E727" s="4">
        <v>45942</v>
      </c>
      <c r="F727" s="4">
        <v>45943</v>
      </c>
      <c r="G727" s="4">
        <v>45949</v>
      </c>
      <c r="H727" s="3" t="s">
        <v>22</v>
      </c>
      <c r="J727" s="4">
        <v>45961</v>
      </c>
      <c r="K727" s="3">
        <v>3</v>
      </c>
      <c r="L727" s="3">
        <v>1</v>
      </c>
      <c r="M727" s="3">
        <v>6</v>
      </c>
      <c r="N727" s="3">
        <v>8</v>
      </c>
      <c r="O727">
        <v>1</v>
      </c>
      <c r="P727">
        <f t="shared" si="33"/>
        <v>1</v>
      </c>
      <c r="Q727">
        <f t="shared" si="34"/>
        <v>1</v>
      </c>
      <c r="R727">
        <f t="shared" si="35"/>
        <v>1</v>
      </c>
      <c r="S727" s="10" t="str" cm="1">
        <f t="array" ref="S727">_xlfn.IFS(N727="", "", N727&gt;=9,"Promoter", N727&gt;=7,"Passive", N727&lt;=6,"Detractor")</f>
        <v>Passive</v>
      </c>
    </row>
    <row r="728" spans="1:19" ht="14.25" customHeight="1">
      <c r="A728" s="3" t="s">
        <v>759</v>
      </c>
      <c r="B728" s="3" t="s">
        <v>26</v>
      </c>
      <c r="C728" s="3" t="s">
        <v>21</v>
      </c>
      <c r="D728" s="4">
        <v>45960</v>
      </c>
      <c r="E728" s="4">
        <v>45962</v>
      </c>
      <c r="F728" s="4">
        <v>45965</v>
      </c>
      <c r="G728" s="4">
        <v>45968</v>
      </c>
      <c r="H728" s="3" t="s">
        <v>22</v>
      </c>
      <c r="J728" s="4">
        <v>45982</v>
      </c>
      <c r="K728" s="3">
        <v>2</v>
      </c>
      <c r="L728" s="3">
        <v>3</v>
      </c>
      <c r="M728" s="3">
        <v>3</v>
      </c>
      <c r="N728" s="3">
        <v>10</v>
      </c>
      <c r="O728">
        <v>1</v>
      </c>
      <c r="P728">
        <f t="shared" si="33"/>
        <v>1</v>
      </c>
      <c r="Q728">
        <f t="shared" si="34"/>
        <v>1</v>
      </c>
      <c r="R728">
        <f t="shared" si="35"/>
        <v>1</v>
      </c>
      <c r="S728" s="10" t="str" cm="1">
        <f t="array" ref="S728">_xlfn.IFS(N728="", "", N728&gt;=9,"Promoter", N728&gt;=7,"Passive", N728&lt;=6,"Detractor")</f>
        <v>Promoter</v>
      </c>
    </row>
    <row r="729" spans="1:19" ht="14.25" customHeight="1">
      <c r="A729" s="3" t="s">
        <v>760</v>
      </c>
      <c r="B729" s="3" t="s">
        <v>26</v>
      </c>
      <c r="C729" s="3" t="s">
        <v>27</v>
      </c>
      <c r="D729" s="4">
        <v>45957</v>
      </c>
      <c r="H729" s="3" t="s">
        <v>28</v>
      </c>
      <c r="I729" s="3" t="s">
        <v>38</v>
      </c>
      <c r="O729">
        <v>1</v>
      </c>
      <c r="P729">
        <f t="shared" si="33"/>
        <v>0</v>
      </c>
      <c r="Q729">
        <f t="shared" si="34"/>
        <v>0</v>
      </c>
      <c r="R729">
        <f t="shared" si="35"/>
        <v>0</v>
      </c>
      <c r="S729" s="10" t="str" cm="1">
        <f t="array" ref="S729">_xlfn.IFS(N729="", "", N729&gt;=9,"Promoter", N729&gt;=7,"Passive", N729&lt;=6,"Detractor")</f>
        <v/>
      </c>
    </row>
    <row r="730" spans="1:19" ht="14.25" customHeight="1">
      <c r="A730" s="3" t="s">
        <v>761</v>
      </c>
      <c r="B730" s="3" t="s">
        <v>26</v>
      </c>
      <c r="C730" s="3" t="s">
        <v>21</v>
      </c>
      <c r="D730" s="4">
        <v>45961</v>
      </c>
      <c r="E730" s="4">
        <v>45963</v>
      </c>
      <c r="F730" s="4">
        <v>45967</v>
      </c>
      <c r="G730" s="4">
        <v>45972</v>
      </c>
      <c r="H730" s="3" t="s">
        <v>22</v>
      </c>
      <c r="J730" s="4">
        <v>46001</v>
      </c>
      <c r="K730" s="3">
        <v>2</v>
      </c>
      <c r="L730" s="3">
        <v>4</v>
      </c>
      <c r="M730" s="3">
        <v>5</v>
      </c>
      <c r="N730" s="3">
        <v>3</v>
      </c>
      <c r="O730">
        <v>1</v>
      </c>
      <c r="P730">
        <f t="shared" si="33"/>
        <v>1</v>
      </c>
      <c r="Q730">
        <f t="shared" si="34"/>
        <v>1</v>
      </c>
      <c r="R730">
        <f t="shared" si="35"/>
        <v>1</v>
      </c>
      <c r="S730" s="10" t="str" cm="1">
        <f t="array" ref="S730">_xlfn.IFS(N730="", "", N730&gt;=9,"Promoter", N730&gt;=7,"Passive", N730&lt;=6,"Detractor")</f>
        <v>Detractor</v>
      </c>
    </row>
    <row r="731" spans="1:19" ht="14.25" customHeight="1">
      <c r="A731" s="3" t="s">
        <v>762</v>
      </c>
      <c r="B731" s="3" t="s">
        <v>37</v>
      </c>
      <c r="C731" s="3" t="s">
        <v>21</v>
      </c>
      <c r="D731" s="4">
        <v>45946</v>
      </c>
      <c r="E731" s="4">
        <v>45949</v>
      </c>
      <c r="F731" s="4">
        <v>45953</v>
      </c>
      <c r="G731" s="4">
        <v>45958</v>
      </c>
      <c r="H731" s="3" t="s">
        <v>22</v>
      </c>
      <c r="J731" s="4">
        <v>45981</v>
      </c>
      <c r="K731" s="3">
        <v>3</v>
      </c>
      <c r="L731" s="3">
        <v>4</v>
      </c>
      <c r="M731" s="3">
        <v>5</v>
      </c>
      <c r="N731" s="3">
        <v>9</v>
      </c>
      <c r="O731">
        <v>1</v>
      </c>
      <c r="P731">
        <f t="shared" si="33"/>
        <v>1</v>
      </c>
      <c r="Q731">
        <f t="shared" si="34"/>
        <v>1</v>
      </c>
      <c r="R731">
        <f t="shared" si="35"/>
        <v>1</v>
      </c>
      <c r="S731" s="10" t="str" cm="1">
        <f t="array" ref="S731">_xlfn.IFS(N731="", "", N731&gt;=9,"Promoter", N731&gt;=7,"Passive", N731&lt;=6,"Detractor")</f>
        <v>Promoter</v>
      </c>
    </row>
    <row r="732" spans="1:19" ht="14.25" customHeight="1">
      <c r="A732" s="3" t="s">
        <v>763</v>
      </c>
      <c r="B732" s="3" t="s">
        <v>24</v>
      </c>
      <c r="C732" s="3" t="s">
        <v>21</v>
      </c>
      <c r="D732" s="4">
        <v>45961</v>
      </c>
      <c r="E732" s="4">
        <v>45966</v>
      </c>
      <c r="F732" s="4">
        <v>45968</v>
      </c>
      <c r="G732" s="4">
        <v>45970</v>
      </c>
      <c r="H732" s="3" t="s">
        <v>22</v>
      </c>
      <c r="J732" s="4">
        <v>46000</v>
      </c>
      <c r="K732" s="3">
        <v>5</v>
      </c>
      <c r="L732" s="3">
        <v>2</v>
      </c>
      <c r="M732" s="3">
        <v>2</v>
      </c>
      <c r="N732" s="3">
        <v>1</v>
      </c>
      <c r="O732">
        <v>1</v>
      </c>
      <c r="P732">
        <f t="shared" si="33"/>
        <v>1</v>
      </c>
      <c r="Q732">
        <f t="shared" si="34"/>
        <v>1</v>
      </c>
      <c r="R732">
        <f t="shared" si="35"/>
        <v>1</v>
      </c>
      <c r="S732" s="10" t="str" cm="1">
        <f t="array" ref="S732">_xlfn.IFS(N732="", "", N732&gt;=9,"Promoter", N732&gt;=7,"Passive", N732&lt;=6,"Detractor")</f>
        <v>Detractor</v>
      </c>
    </row>
    <row r="733" spans="1:19" ht="14.25" customHeight="1">
      <c r="A733" s="3" t="s">
        <v>764</v>
      </c>
      <c r="B733" s="3" t="s">
        <v>24</v>
      </c>
      <c r="C733" s="3" t="s">
        <v>21</v>
      </c>
      <c r="D733" s="4">
        <v>45956</v>
      </c>
      <c r="E733" s="4">
        <v>45958</v>
      </c>
      <c r="F733" s="4">
        <v>45961</v>
      </c>
      <c r="G733" s="4">
        <v>45964</v>
      </c>
      <c r="H733" s="3" t="s">
        <v>22</v>
      </c>
      <c r="J733" s="4">
        <v>45987</v>
      </c>
      <c r="K733" s="3">
        <v>2</v>
      </c>
      <c r="L733" s="3">
        <v>3</v>
      </c>
      <c r="M733" s="3">
        <v>3</v>
      </c>
      <c r="N733" s="3">
        <v>8</v>
      </c>
      <c r="O733">
        <v>1</v>
      </c>
      <c r="P733">
        <f t="shared" si="33"/>
        <v>1</v>
      </c>
      <c r="Q733">
        <f t="shared" si="34"/>
        <v>1</v>
      </c>
      <c r="R733">
        <f t="shared" si="35"/>
        <v>1</v>
      </c>
      <c r="S733" s="10" t="str" cm="1">
        <f t="array" ref="S733">_xlfn.IFS(N733="", "", N733&gt;=9,"Promoter", N733&gt;=7,"Passive", N733&lt;=6,"Detractor")</f>
        <v>Passive</v>
      </c>
    </row>
    <row r="734" spans="1:19" ht="14.25" customHeight="1">
      <c r="A734" s="3" t="s">
        <v>765</v>
      </c>
      <c r="B734" s="3" t="s">
        <v>26</v>
      </c>
      <c r="C734" s="3" t="s">
        <v>21</v>
      </c>
      <c r="D734" s="4">
        <v>45940</v>
      </c>
      <c r="E734" s="4">
        <v>45941</v>
      </c>
      <c r="F734" s="4">
        <v>45946</v>
      </c>
      <c r="G734" s="4">
        <v>45953</v>
      </c>
      <c r="H734" s="3" t="s">
        <v>22</v>
      </c>
      <c r="J734" s="4">
        <v>45975</v>
      </c>
      <c r="K734" s="3">
        <v>1</v>
      </c>
      <c r="L734" s="3">
        <v>5</v>
      </c>
      <c r="M734" s="3">
        <v>7</v>
      </c>
      <c r="N734" s="3">
        <v>6</v>
      </c>
      <c r="O734">
        <v>1</v>
      </c>
      <c r="P734">
        <f t="shared" si="33"/>
        <v>1</v>
      </c>
      <c r="Q734">
        <f t="shared" si="34"/>
        <v>1</v>
      </c>
      <c r="R734">
        <f t="shared" si="35"/>
        <v>1</v>
      </c>
      <c r="S734" s="10" t="str" cm="1">
        <f t="array" ref="S734">_xlfn.IFS(N734="", "", N734&gt;=9,"Promoter", N734&gt;=7,"Passive", N734&lt;=6,"Detractor")</f>
        <v>Detractor</v>
      </c>
    </row>
    <row r="735" spans="1:19" ht="14.25" customHeight="1">
      <c r="A735" s="3" t="s">
        <v>766</v>
      </c>
      <c r="B735" s="3" t="s">
        <v>24</v>
      </c>
      <c r="C735" s="3" t="s">
        <v>21</v>
      </c>
      <c r="D735" s="4">
        <v>45954</v>
      </c>
      <c r="E735" s="4">
        <v>45956</v>
      </c>
      <c r="F735" s="4">
        <v>45960</v>
      </c>
      <c r="G735" s="4">
        <v>45964</v>
      </c>
      <c r="H735" s="3" t="s">
        <v>22</v>
      </c>
      <c r="J735" s="4">
        <v>45987</v>
      </c>
      <c r="K735" s="3">
        <v>2</v>
      </c>
      <c r="L735" s="3">
        <v>4</v>
      </c>
      <c r="M735" s="3">
        <v>4</v>
      </c>
      <c r="N735" s="3">
        <v>4</v>
      </c>
      <c r="O735">
        <v>1</v>
      </c>
      <c r="P735">
        <f t="shared" si="33"/>
        <v>1</v>
      </c>
      <c r="Q735">
        <f t="shared" si="34"/>
        <v>1</v>
      </c>
      <c r="R735">
        <f t="shared" si="35"/>
        <v>1</v>
      </c>
      <c r="S735" s="10" t="str" cm="1">
        <f t="array" ref="S735">_xlfn.IFS(N735="", "", N735&gt;=9,"Promoter", N735&gt;=7,"Passive", N735&lt;=6,"Detractor")</f>
        <v>Detractor</v>
      </c>
    </row>
    <row r="736" spans="1:19" ht="14.25" customHeight="1">
      <c r="A736" s="3" t="s">
        <v>767</v>
      </c>
      <c r="B736" s="3" t="s">
        <v>24</v>
      </c>
      <c r="C736" s="3" t="s">
        <v>21</v>
      </c>
      <c r="D736" s="4">
        <v>45958</v>
      </c>
      <c r="E736" s="4">
        <v>45960</v>
      </c>
      <c r="F736" s="4">
        <v>45964</v>
      </c>
      <c r="G736" s="4">
        <v>45966</v>
      </c>
      <c r="H736" s="3" t="s">
        <v>22</v>
      </c>
      <c r="J736" s="4">
        <v>45991</v>
      </c>
      <c r="K736" s="3">
        <v>2</v>
      </c>
      <c r="L736" s="3">
        <v>4</v>
      </c>
      <c r="M736" s="3">
        <v>2</v>
      </c>
      <c r="N736" s="3">
        <v>4</v>
      </c>
      <c r="O736">
        <v>1</v>
      </c>
      <c r="P736">
        <f t="shared" si="33"/>
        <v>1</v>
      </c>
      <c r="Q736">
        <f t="shared" si="34"/>
        <v>1</v>
      </c>
      <c r="R736">
        <f t="shared" si="35"/>
        <v>1</v>
      </c>
      <c r="S736" s="10" t="str" cm="1">
        <f t="array" ref="S736">_xlfn.IFS(N736="", "", N736&gt;=9,"Promoter", N736&gt;=7,"Passive", N736&lt;=6,"Detractor")</f>
        <v>Detractor</v>
      </c>
    </row>
    <row r="737" spans="1:19" ht="14.25" customHeight="1">
      <c r="A737" s="3" t="s">
        <v>768</v>
      </c>
      <c r="B737" s="3" t="s">
        <v>37</v>
      </c>
      <c r="C737" s="3" t="s">
        <v>35</v>
      </c>
      <c r="D737" s="4">
        <v>45941</v>
      </c>
      <c r="E737" s="4">
        <v>45943</v>
      </c>
      <c r="F737" s="4">
        <v>45945</v>
      </c>
      <c r="G737" s="4">
        <v>45947</v>
      </c>
      <c r="H737" s="3" t="s">
        <v>22</v>
      </c>
      <c r="J737" s="4">
        <v>45969</v>
      </c>
      <c r="K737" s="3">
        <v>2</v>
      </c>
      <c r="L737" s="3">
        <v>2</v>
      </c>
      <c r="M737" s="3">
        <v>2</v>
      </c>
      <c r="N737" s="3">
        <v>9</v>
      </c>
      <c r="O737">
        <v>1</v>
      </c>
      <c r="P737">
        <f t="shared" si="33"/>
        <v>1</v>
      </c>
      <c r="Q737">
        <f t="shared" si="34"/>
        <v>1</v>
      </c>
      <c r="R737">
        <f t="shared" si="35"/>
        <v>1</v>
      </c>
      <c r="S737" s="10" t="str" cm="1">
        <f t="array" ref="S737">_xlfn.IFS(N737="", "", N737&gt;=9,"Promoter", N737&gt;=7,"Passive", N737&lt;=6,"Detractor")</f>
        <v>Promoter</v>
      </c>
    </row>
    <row r="738" spans="1:19" ht="14.25" customHeight="1">
      <c r="A738" s="3" t="s">
        <v>769</v>
      </c>
      <c r="B738" s="3" t="s">
        <v>20</v>
      </c>
      <c r="C738" s="3" t="s">
        <v>21</v>
      </c>
      <c r="D738" s="4">
        <v>45956</v>
      </c>
      <c r="E738" s="4">
        <v>45960</v>
      </c>
      <c r="F738" s="4">
        <v>45965</v>
      </c>
      <c r="G738" s="4">
        <v>45968</v>
      </c>
      <c r="H738" s="3" t="s">
        <v>22</v>
      </c>
      <c r="J738" s="4">
        <v>45978</v>
      </c>
      <c r="K738" s="3">
        <v>4</v>
      </c>
      <c r="L738" s="3">
        <v>5</v>
      </c>
      <c r="M738" s="3">
        <v>3</v>
      </c>
      <c r="N738" s="3">
        <v>0</v>
      </c>
      <c r="O738">
        <v>1</v>
      </c>
      <c r="P738">
        <f t="shared" si="33"/>
        <v>1</v>
      </c>
      <c r="Q738">
        <f t="shared" si="34"/>
        <v>1</v>
      </c>
      <c r="R738">
        <f t="shared" si="35"/>
        <v>1</v>
      </c>
      <c r="S738" s="10" t="str" cm="1">
        <f t="array" ref="S738">_xlfn.IFS(N738="", "", N738&gt;=9,"Promoter", N738&gt;=7,"Passive", N738&lt;=6,"Detractor")</f>
        <v>Detractor</v>
      </c>
    </row>
    <row r="739" spans="1:19" ht="14.25" customHeight="1">
      <c r="A739" s="3" t="s">
        <v>770</v>
      </c>
      <c r="B739" s="3" t="s">
        <v>26</v>
      </c>
      <c r="C739" s="3" t="s">
        <v>27</v>
      </c>
      <c r="D739" s="4">
        <v>45934</v>
      </c>
      <c r="H739" s="3" t="s">
        <v>28</v>
      </c>
      <c r="I739" s="3" t="s">
        <v>31</v>
      </c>
      <c r="O739">
        <v>1</v>
      </c>
      <c r="P739">
        <f t="shared" si="33"/>
        <v>0</v>
      </c>
      <c r="Q739">
        <f t="shared" si="34"/>
        <v>0</v>
      </c>
      <c r="R739">
        <f t="shared" si="35"/>
        <v>0</v>
      </c>
      <c r="S739" s="10" t="str" cm="1">
        <f t="array" ref="S739">_xlfn.IFS(N739="", "", N739&gt;=9,"Promoter", N739&gt;=7,"Passive", N739&lt;=6,"Detractor")</f>
        <v/>
      </c>
    </row>
    <row r="740" spans="1:19" ht="14.25" customHeight="1">
      <c r="A740" s="3" t="s">
        <v>771</v>
      </c>
      <c r="B740" s="3" t="s">
        <v>26</v>
      </c>
      <c r="C740" s="3" t="s">
        <v>35</v>
      </c>
      <c r="D740" s="4">
        <v>45945</v>
      </c>
      <c r="E740" s="4">
        <v>45946</v>
      </c>
      <c r="F740" s="4">
        <v>45950</v>
      </c>
      <c r="G740" s="4">
        <v>45956</v>
      </c>
      <c r="H740" s="3" t="s">
        <v>22</v>
      </c>
      <c r="J740" s="4">
        <v>45967</v>
      </c>
      <c r="K740" s="3">
        <v>1</v>
      </c>
      <c r="L740" s="3">
        <v>4</v>
      </c>
      <c r="M740" s="3">
        <v>6</v>
      </c>
      <c r="N740" s="3">
        <v>7</v>
      </c>
      <c r="O740">
        <v>1</v>
      </c>
      <c r="P740">
        <f t="shared" si="33"/>
        <v>1</v>
      </c>
      <c r="Q740">
        <f t="shared" si="34"/>
        <v>1</v>
      </c>
      <c r="R740">
        <f t="shared" si="35"/>
        <v>1</v>
      </c>
      <c r="S740" s="10" t="str" cm="1">
        <f t="array" ref="S740">_xlfn.IFS(N740="", "", N740&gt;=9,"Promoter", N740&gt;=7,"Passive", N740&lt;=6,"Detractor")</f>
        <v>Passive</v>
      </c>
    </row>
    <row r="741" spans="1:19" ht="14.25" customHeight="1">
      <c r="A741" s="3" t="s">
        <v>772</v>
      </c>
      <c r="B741" s="3" t="s">
        <v>37</v>
      </c>
      <c r="C741" s="3" t="s">
        <v>35</v>
      </c>
      <c r="D741" s="4">
        <v>45961</v>
      </c>
      <c r="E741" s="4">
        <v>45964</v>
      </c>
      <c r="F741" s="4">
        <v>45965</v>
      </c>
      <c r="G741" s="4">
        <v>45970</v>
      </c>
      <c r="H741" s="3" t="s">
        <v>22</v>
      </c>
      <c r="J741" s="4">
        <v>45997</v>
      </c>
      <c r="K741" s="3">
        <v>3</v>
      </c>
      <c r="L741" s="3">
        <v>1</v>
      </c>
      <c r="M741" s="3">
        <v>5</v>
      </c>
      <c r="N741" s="3">
        <v>7</v>
      </c>
      <c r="O741">
        <v>1</v>
      </c>
      <c r="P741">
        <f t="shared" si="33"/>
        <v>1</v>
      </c>
      <c r="Q741">
        <f t="shared" si="34"/>
        <v>1</v>
      </c>
      <c r="R741">
        <f t="shared" si="35"/>
        <v>1</v>
      </c>
      <c r="S741" s="10" t="str" cm="1">
        <f t="array" ref="S741">_xlfn.IFS(N741="", "", N741&gt;=9,"Promoter", N741&gt;=7,"Passive", N741&lt;=6,"Detractor")</f>
        <v>Passive</v>
      </c>
    </row>
    <row r="742" spans="1:19" ht="14.25" customHeight="1">
      <c r="A742" s="3" t="s">
        <v>773</v>
      </c>
      <c r="B742" s="3" t="s">
        <v>37</v>
      </c>
      <c r="C742" s="3" t="s">
        <v>21</v>
      </c>
      <c r="D742" s="4">
        <v>45933</v>
      </c>
      <c r="E742" s="4">
        <v>45938</v>
      </c>
      <c r="F742" s="4">
        <v>45943</v>
      </c>
      <c r="G742" s="4">
        <v>45950</v>
      </c>
      <c r="H742" s="3" t="s">
        <v>22</v>
      </c>
      <c r="J742" s="4">
        <v>45966</v>
      </c>
      <c r="K742" s="3">
        <v>5</v>
      </c>
      <c r="L742" s="3">
        <v>5</v>
      </c>
      <c r="M742" s="3">
        <v>7</v>
      </c>
      <c r="N742" s="3">
        <v>1</v>
      </c>
      <c r="O742">
        <v>1</v>
      </c>
      <c r="P742">
        <f t="shared" si="33"/>
        <v>1</v>
      </c>
      <c r="Q742">
        <f t="shared" si="34"/>
        <v>1</v>
      </c>
      <c r="R742">
        <f t="shared" si="35"/>
        <v>1</v>
      </c>
      <c r="S742" s="10" t="str" cm="1">
        <f t="array" ref="S742">_xlfn.IFS(N742="", "", N742&gt;=9,"Promoter", N742&gt;=7,"Passive", N742&lt;=6,"Detractor")</f>
        <v>Detractor</v>
      </c>
    </row>
    <row r="743" spans="1:19" ht="14.25" customHeight="1">
      <c r="A743" s="3" t="s">
        <v>774</v>
      </c>
      <c r="B743" s="3" t="s">
        <v>24</v>
      </c>
      <c r="C743" s="3" t="s">
        <v>21</v>
      </c>
      <c r="D743" s="4">
        <v>45935</v>
      </c>
      <c r="E743" s="4">
        <v>45940</v>
      </c>
      <c r="F743" s="4">
        <v>45943</v>
      </c>
      <c r="G743" s="4">
        <v>45947</v>
      </c>
      <c r="H743" s="3" t="s">
        <v>22</v>
      </c>
      <c r="J743" s="4">
        <v>45968</v>
      </c>
      <c r="K743" s="3">
        <v>5</v>
      </c>
      <c r="L743" s="3">
        <v>3</v>
      </c>
      <c r="M743" s="3">
        <v>4</v>
      </c>
      <c r="N743" s="3">
        <v>2</v>
      </c>
      <c r="O743">
        <v>1</v>
      </c>
      <c r="P743">
        <f t="shared" si="33"/>
        <v>1</v>
      </c>
      <c r="Q743">
        <f t="shared" si="34"/>
        <v>1</v>
      </c>
      <c r="R743">
        <f t="shared" si="35"/>
        <v>1</v>
      </c>
      <c r="S743" s="10" t="str" cm="1">
        <f t="array" ref="S743">_xlfn.IFS(N743="", "", N743&gt;=9,"Promoter", N743&gt;=7,"Passive", N743&lt;=6,"Detractor")</f>
        <v>Detractor</v>
      </c>
    </row>
    <row r="744" spans="1:19" ht="14.25" customHeight="1">
      <c r="A744" s="3" t="s">
        <v>775</v>
      </c>
      <c r="B744" s="3" t="s">
        <v>26</v>
      </c>
      <c r="C744" s="3" t="s">
        <v>21</v>
      </c>
      <c r="D744" s="4">
        <v>45955</v>
      </c>
      <c r="E744" s="4">
        <v>45958</v>
      </c>
      <c r="F744" s="4">
        <v>45960</v>
      </c>
      <c r="G744" s="4">
        <v>45965</v>
      </c>
      <c r="H744" s="3" t="s">
        <v>22</v>
      </c>
      <c r="J744" s="4">
        <v>45975</v>
      </c>
      <c r="K744" s="3">
        <v>3</v>
      </c>
      <c r="L744" s="3">
        <v>2</v>
      </c>
      <c r="M744" s="3">
        <v>5</v>
      </c>
      <c r="N744" s="3">
        <v>2</v>
      </c>
      <c r="O744">
        <v>1</v>
      </c>
      <c r="P744">
        <f t="shared" si="33"/>
        <v>1</v>
      </c>
      <c r="Q744">
        <f t="shared" si="34"/>
        <v>1</v>
      </c>
      <c r="R744">
        <f t="shared" si="35"/>
        <v>1</v>
      </c>
      <c r="S744" s="10" t="str" cm="1">
        <f t="array" ref="S744">_xlfn.IFS(N744="", "", N744&gt;=9,"Promoter", N744&gt;=7,"Passive", N744&lt;=6,"Detractor")</f>
        <v>Detractor</v>
      </c>
    </row>
    <row r="745" spans="1:19" ht="14.25" customHeight="1">
      <c r="A745" s="3" t="s">
        <v>776</v>
      </c>
      <c r="B745" s="3" t="s">
        <v>20</v>
      </c>
      <c r="C745" s="3" t="s">
        <v>21</v>
      </c>
      <c r="D745" s="4">
        <v>45961</v>
      </c>
      <c r="E745" s="4">
        <v>45965</v>
      </c>
      <c r="F745" s="4">
        <v>45966</v>
      </c>
      <c r="G745" s="4">
        <v>45973</v>
      </c>
      <c r="H745" s="3" t="s">
        <v>22</v>
      </c>
      <c r="J745" s="4">
        <v>45993</v>
      </c>
      <c r="K745" s="3">
        <v>4</v>
      </c>
      <c r="L745" s="3">
        <v>1</v>
      </c>
      <c r="M745" s="3">
        <v>7</v>
      </c>
      <c r="N745" s="3">
        <v>1</v>
      </c>
      <c r="O745">
        <v>1</v>
      </c>
      <c r="P745">
        <f t="shared" si="33"/>
        <v>1</v>
      </c>
      <c r="Q745">
        <f t="shared" si="34"/>
        <v>1</v>
      </c>
      <c r="R745">
        <f t="shared" si="35"/>
        <v>1</v>
      </c>
      <c r="S745" s="10" t="str" cm="1">
        <f t="array" ref="S745">_xlfn.IFS(N745="", "", N745&gt;=9,"Promoter", N745&gt;=7,"Passive", N745&lt;=6,"Detractor")</f>
        <v>Detractor</v>
      </c>
    </row>
    <row r="746" spans="1:19" ht="14.25" customHeight="1">
      <c r="A746" s="3" t="s">
        <v>777</v>
      </c>
      <c r="B746" s="3" t="s">
        <v>37</v>
      </c>
      <c r="C746" s="3" t="s">
        <v>35</v>
      </c>
      <c r="D746" s="4">
        <v>45938</v>
      </c>
      <c r="E746" s="4">
        <v>45943</v>
      </c>
      <c r="F746" s="4">
        <v>45944</v>
      </c>
      <c r="G746" s="4">
        <v>45946</v>
      </c>
      <c r="H746" s="3" t="s">
        <v>22</v>
      </c>
      <c r="J746" s="4">
        <v>45972</v>
      </c>
      <c r="K746" s="3">
        <v>5</v>
      </c>
      <c r="L746" s="3">
        <v>1</v>
      </c>
      <c r="M746" s="3">
        <v>2</v>
      </c>
      <c r="N746" s="3">
        <v>5</v>
      </c>
      <c r="O746">
        <v>1</v>
      </c>
      <c r="P746">
        <f t="shared" si="33"/>
        <v>1</v>
      </c>
      <c r="Q746">
        <f t="shared" si="34"/>
        <v>1</v>
      </c>
      <c r="R746">
        <f t="shared" si="35"/>
        <v>1</v>
      </c>
      <c r="S746" s="10" t="str" cm="1">
        <f t="array" ref="S746">_xlfn.IFS(N746="", "", N746&gt;=9,"Promoter", N746&gt;=7,"Passive", N746&lt;=6,"Detractor")</f>
        <v>Detractor</v>
      </c>
    </row>
    <row r="747" spans="1:19" ht="14.25" customHeight="1">
      <c r="A747" s="3" t="s">
        <v>778</v>
      </c>
      <c r="B747" s="3" t="s">
        <v>20</v>
      </c>
      <c r="C747" s="3" t="s">
        <v>21</v>
      </c>
      <c r="D747" s="4">
        <v>45958</v>
      </c>
      <c r="E747" s="4">
        <v>45960</v>
      </c>
      <c r="F747" s="4">
        <v>45963</v>
      </c>
      <c r="G747" s="4">
        <v>45969</v>
      </c>
      <c r="H747" s="3" t="s">
        <v>22</v>
      </c>
      <c r="J747" s="4">
        <v>45985</v>
      </c>
      <c r="K747" s="3">
        <v>2</v>
      </c>
      <c r="L747" s="3">
        <v>3</v>
      </c>
      <c r="M747" s="3">
        <v>6</v>
      </c>
      <c r="N747" s="3">
        <v>9</v>
      </c>
      <c r="O747">
        <v>1</v>
      </c>
      <c r="P747">
        <f t="shared" si="33"/>
        <v>1</v>
      </c>
      <c r="Q747">
        <f t="shared" si="34"/>
        <v>1</v>
      </c>
      <c r="R747">
        <f t="shared" si="35"/>
        <v>1</v>
      </c>
      <c r="S747" s="10" t="str" cm="1">
        <f t="array" ref="S747">_xlfn.IFS(N747="", "", N747&gt;=9,"Promoter", N747&gt;=7,"Passive", N747&lt;=6,"Detractor")</f>
        <v>Promoter</v>
      </c>
    </row>
    <row r="748" spans="1:19" ht="14.25" customHeight="1">
      <c r="A748" s="3" t="s">
        <v>779</v>
      </c>
      <c r="B748" s="3" t="s">
        <v>20</v>
      </c>
      <c r="C748" s="3" t="s">
        <v>21</v>
      </c>
      <c r="D748" s="4">
        <v>45952</v>
      </c>
      <c r="E748" s="4">
        <v>45957</v>
      </c>
      <c r="F748" s="4">
        <v>45959</v>
      </c>
      <c r="G748" s="4">
        <v>45961</v>
      </c>
      <c r="H748" s="3" t="s">
        <v>28</v>
      </c>
      <c r="I748" s="3" t="s">
        <v>106</v>
      </c>
      <c r="K748" s="3">
        <v>5</v>
      </c>
      <c r="L748" s="3">
        <v>2</v>
      </c>
      <c r="M748" s="3">
        <v>2</v>
      </c>
      <c r="O748">
        <v>1</v>
      </c>
      <c r="P748">
        <f t="shared" si="33"/>
        <v>1</v>
      </c>
      <c r="Q748">
        <f t="shared" si="34"/>
        <v>1</v>
      </c>
      <c r="R748">
        <f t="shared" si="35"/>
        <v>0</v>
      </c>
      <c r="S748" s="10" t="str" cm="1">
        <f t="array" ref="S748">_xlfn.IFS(N748="", "", N748&gt;=9,"Promoter", N748&gt;=7,"Passive", N748&lt;=6,"Detractor")</f>
        <v/>
      </c>
    </row>
    <row r="749" spans="1:19" ht="14.25" customHeight="1">
      <c r="A749" s="3" t="s">
        <v>780</v>
      </c>
      <c r="B749" s="3" t="s">
        <v>26</v>
      </c>
      <c r="C749" s="3" t="s">
        <v>27</v>
      </c>
      <c r="D749" s="4">
        <v>45954</v>
      </c>
      <c r="H749" s="3" t="s">
        <v>28</v>
      </c>
      <c r="I749" s="3" t="s">
        <v>68</v>
      </c>
      <c r="O749">
        <v>1</v>
      </c>
      <c r="P749">
        <f t="shared" si="33"/>
        <v>0</v>
      </c>
      <c r="Q749">
        <f t="shared" si="34"/>
        <v>0</v>
      </c>
      <c r="R749">
        <f t="shared" si="35"/>
        <v>0</v>
      </c>
      <c r="S749" s="10" t="str" cm="1">
        <f t="array" ref="S749">_xlfn.IFS(N749="", "", N749&gt;=9,"Promoter", N749&gt;=7,"Passive", N749&lt;=6,"Detractor")</f>
        <v/>
      </c>
    </row>
    <row r="750" spans="1:19" ht="14.25" customHeight="1">
      <c r="A750" s="3" t="s">
        <v>781</v>
      </c>
      <c r="B750" s="3" t="s">
        <v>26</v>
      </c>
      <c r="C750" s="3" t="s">
        <v>21</v>
      </c>
      <c r="D750" s="4">
        <v>45952</v>
      </c>
      <c r="E750" s="4">
        <v>45953</v>
      </c>
      <c r="F750" s="4">
        <v>45957</v>
      </c>
      <c r="G750" s="4">
        <v>45963</v>
      </c>
      <c r="H750" s="3" t="s">
        <v>22</v>
      </c>
      <c r="J750" s="4">
        <v>45973</v>
      </c>
      <c r="K750" s="3">
        <v>1</v>
      </c>
      <c r="L750" s="3">
        <v>4</v>
      </c>
      <c r="M750" s="3">
        <v>6</v>
      </c>
      <c r="N750" s="3">
        <v>7</v>
      </c>
      <c r="O750">
        <v>1</v>
      </c>
      <c r="P750">
        <f t="shared" si="33"/>
        <v>1</v>
      </c>
      <c r="Q750">
        <f t="shared" si="34"/>
        <v>1</v>
      </c>
      <c r="R750">
        <f t="shared" si="35"/>
        <v>1</v>
      </c>
      <c r="S750" s="10" t="str" cm="1">
        <f t="array" ref="S750">_xlfn.IFS(N750="", "", N750&gt;=9,"Promoter", N750&gt;=7,"Passive", N750&lt;=6,"Detractor")</f>
        <v>Passive</v>
      </c>
    </row>
    <row r="751" spans="1:19" ht="14.25" customHeight="1">
      <c r="A751" s="3" t="s">
        <v>782</v>
      </c>
      <c r="B751" s="3" t="s">
        <v>37</v>
      </c>
      <c r="C751" s="3" t="s">
        <v>35</v>
      </c>
      <c r="D751" s="4">
        <v>45943</v>
      </c>
      <c r="E751" s="4">
        <v>45944</v>
      </c>
      <c r="F751" s="4">
        <v>45946</v>
      </c>
      <c r="G751" s="4">
        <v>45949</v>
      </c>
      <c r="H751" s="3" t="s">
        <v>22</v>
      </c>
      <c r="J751" s="4">
        <v>45959</v>
      </c>
      <c r="K751" s="3">
        <v>1</v>
      </c>
      <c r="L751" s="3">
        <v>2</v>
      </c>
      <c r="M751" s="3">
        <v>3</v>
      </c>
      <c r="N751" s="3">
        <v>0</v>
      </c>
      <c r="O751">
        <v>1</v>
      </c>
      <c r="P751">
        <f t="shared" si="33"/>
        <v>1</v>
      </c>
      <c r="Q751">
        <f t="shared" si="34"/>
        <v>1</v>
      </c>
      <c r="R751">
        <f t="shared" si="35"/>
        <v>1</v>
      </c>
      <c r="S751" s="10" t="str" cm="1">
        <f t="array" ref="S751">_xlfn.IFS(N751="", "", N751&gt;=9,"Promoter", N751&gt;=7,"Passive", N751&lt;=6,"Detractor")</f>
        <v>Detractor</v>
      </c>
    </row>
    <row r="752" spans="1:19" ht="14.25" customHeight="1">
      <c r="A752" s="3" t="s">
        <v>783</v>
      </c>
      <c r="B752" s="3" t="s">
        <v>26</v>
      </c>
      <c r="C752" s="3" t="s">
        <v>35</v>
      </c>
      <c r="D752" s="4">
        <v>45961</v>
      </c>
      <c r="E752" s="4">
        <v>45964</v>
      </c>
      <c r="F752" s="4">
        <v>45968</v>
      </c>
      <c r="G752" s="4">
        <v>45975</v>
      </c>
      <c r="H752" s="3" t="s">
        <v>22</v>
      </c>
      <c r="J752" s="4">
        <v>46005</v>
      </c>
      <c r="K752" s="3">
        <v>3</v>
      </c>
      <c r="L752" s="3">
        <v>4</v>
      </c>
      <c r="M752" s="3">
        <v>7</v>
      </c>
      <c r="N752" s="3">
        <v>7</v>
      </c>
      <c r="O752">
        <v>1</v>
      </c>
      <c r="P752">
        <f t="shared" si="33"/>
        <v>1</v>
      </c>
      <c r="Q752">
        <f t="shared" si="34"/>
        <v>1</v>
      </c>
      <c r="R752">
        <f t="shared" si="35"/>
        <v>1</v>
      </c>
      <c r="S752" s="10" t="str" cm="1">
        <f t="array" ref="S752">_xlfn.IFS(N752="", "", N752&gt;=9,"Promoter", N752&gt;=7,"Passive", N752&lt;=6,"Detractor")</f>
        <v>Passive</v>
      </c>
    </row>
    <row r="753" spans="1:19" ht="14.25" customHeight="1">
      <c r="A753" s="3" t="s">
        <v>784</v>
      </c>
      <c r="B753" s="3" t="s">
        <v>26</v>
      </c>
      <c r="C753" s="3" t="s">
        <v>35</v>
      </c>
      <c r="D753" s="4">
        <v>45958</v>
      </c>
      <c r="E753" s="4">
        <v>45962</v>
      </c>
      <c r="F753" s="4">
        <v>45965</v>
      </c>
      <c r="G753" s="4">
        <v>45970</v>
      </c>
      <c r="H753" s="3" t="s">
        <v>22</v>
      </c>
      <c r="J753" s="4">
        <v>45987</v>
      </c>
      <c r="K753" s="3">
        <v>4</v>
      </c>
      <c r="L753" s="3">
        <v>3</v>
      </c>
      <c r="M753" s="3">
        <v>5</v>
      </c>
      <c r="N753" s="3">
        <v>4</v>
      </c>
      <c r="O753">
        <v>1</v>
      </c>
      <c r="P753">
        <f t="shared" si="33"/>
        <v>1</v>
      </c>
      <c r="Q753">
        <f t="shared" si="34"/>
        <v>1</v>
      </c>
      <c r="R753">
        <f t="shared" si="35"/>
        <v>1</v>
      </c>
      <c r="S753" s="10" t="str" cm="1">
        <f t="array" ref="S753">_xlfn.IFS(N753="", "", N753&gt;=9,"Promoter", N753&gt;=7,"Passive", N753&lt;=6,"Detractor")</f>
        <v>Detractor</v>
      </c>
    </row>
    <row r="754" spans="1:19" ht="14.25" customHeight="1">
      <c r="A754" s="3" t="s">
        <v>785</v>
      </c>
      <c r="B754" s="3" t="s">
        <v>26</v>
      </c>
      <c r="C754" s="3" t="s">
        <v>21</v>
      </c>
      <c r="D754" s="4">
        <v>45956</v>
      </c>
      <c r="E754" s="4">
        <v>45960</v>
      </c>
      <c r="F754" s="4">
        <v>45963</v>
      </c>
      <c r="G754" s="4">
        <v>45965</v>
      </c>
      <c r="H754" s="3" t="s">
        <v>22</v>
      </c>
      <c r="J754" s="4">
        <v>45982</v>
      </c>
      <c r="K754" s="3">
        <v>4</v>
      </c>
      <c r="L754" s="3">
        <v>3</v>
      </c>
      <c r="M754" s="3">
        <v>2</v>
      </c>
      <c r="N754" s="3">
        <v>4</v>
      </c>
      <c r="O754">
        <v>1</v>
      </c>
      <c r="P754">
        <f t="shared" si="33"/>
        <v>1</v>
      </c>
      <c r="Q754">
        <f t="shared" si="34"/>
        <v>1</v>
      </c>
      <c r="R754">
        <f t="shared" si="35"/>
        <v>1</v>
      </c>
      <c r="S754" s="10" t="str" cm="1">
        <f t="array" ref="S754">_xlfn.IFS(N754="", "", N754&gt;=9,"Promoter", N754&gt;=7,"Passive", N754&lt;=6,"Detractor")</f>
        <v>Detractor</v>
      </c>
    </row>
    <row r="755" spans="1:19" ht="14.25" customHeight="1">
      <c r="A755" s="3" t="s">
        <v>786</v>
      </c>
      <c r="B755" s="3" t="s">
        <v>20</v>
      </c>
      <c r="C755" s="3" t="s">
        <v>35</v>
      </c>
      <c r="D755" s="4">
        <v>45948</v>
      </c>
      <c r="E755" s="4">
        <v>45953</v>
      </c>
      <c r="F755" s="4">
        <v>45954</v>
      </c>
      <c r="G755" s="4">
        <v>45960</v>
      </c>
      <c r="H755" s="3" t="s">
        <v>22</v>
      </c>
      <c r="J755" s="4">
        <v>45981</v>
      </c>
      <c r="K755" s="3">
        <v>5</v>
      </c>
      <c r="L755" s="3">
        <v>1</v>
      </c>
      <c r="M755" s="3">
        <v>6</v>
      </c>
      <c r="N755" s="3">
        <v>9</v>
      </c>
      <c r="O755">
        <v>1</v>
      </c>
      <c r="P755">
        <f t="shared" si="33"/>
        <v>1</v>
      </c>
      <c r="Q755">
        <f t="shared" si="34"/>
        <v>1</v>
      </c>
      <c r="R755">
        <f t="shared" si="35"/>
        <v>1</v>
      </c>
      <c r="S755" s="10" t="str" cm="1">
        <f t="array" ref="S755">_xlfn.IFS(N755="", "", N755&gt;=9,"Promoter", N755&gt;=7,"Passive", N755&lt;=6,"Detractor")</f>
        <v>Promoter</v>
      </c>
    </row>
    <row r="756" spans="1:19" ht="14.25" customHeight="1">
      <c r="A756" s="3" t="s">
        <v>787</v>
      </c>
      <c r="B756" s="3" t="s">
        <v>37</v>
      </c>
      <c r="C756" s="3" t="s">
        <v>21</v>
      </c>
      <c r="D756" s="4">
        <v>45942</v>
      </c>
      <c r="E756" s="4">
        <v>45946</v>
      </c>
      <c r="F756" s="4">
        <v>45947</v>
      </c>
      <c r="G756" s="4">
        <v>45953</v>
      </c>
      <c r="H756" s="3" t="s">
        <v>22</v>
      </c>
      <c r="J756" s="4">
        <v>45972</v>
      </c>
      <c r="K756" s="3">
        <v>4</v>
      </c>
      <c r="L756" s="3">
        <v>1</v>
      </c>
      <c r="M756" s="3">
        <v>6</v>
      </c>
      <c r="N756" s="3">
        <v>6</v>
      </c>
      <c r="O756">
        <v>1</v>
      </c>
      <c r="P756">
        <f t="shared" si="33"/>
        <v>1</v>
      </c>
      <c r="Q756">
        <f t="shared" si="34"/>
        <v>1</v>
      </c>
      <c r="R756">
        <f t="shared" si="35"/>
        <v>1</v>
      </c>
      <c r="S756" s="10" t="str" cm="1">
        <f t="array" ref="S756">_xlfn.IFS(N756="", "", N756&gt;=9,"Promoter", N756&gt;=7,"Passive", N756&lt;=6,"Detractor")</f>
        <v>Detractor</v>
      </c>
    </row>
    <row r="757" spans="1:19" ht="14.25" customHeight="1">
      <c r="A757" s="3" t="s">
        <v>788</v>
      </c>
      <c r="B757" s="3" t="s">
        <v>24</v>
      </c>
      <c r="C757" s="3" t="s">
        <v>21</v>
      </c>
      <c r="D757" s="4">
        <v>45933</v>
      </c>
      <c r="E757" s="4">
        <v>45937</v>
      </c>
      <c r="F757" s="4">
        <v>45938</v>
      </c>
      <c r="G757" s="4">
        <v>45940</v>
      </c>
      <c r="H757" s="3" t="s">
        <v>22</v>
      </c>
      <c r="J757" s="4">
        <v>45954</v>
      </c>
      <c r="K757" s="3">
        <v>4</v>
      </c>
      <c r="L757" s="3">
        <v>1</v>
      </c>
      <c r="M757" s="3">
        <v>2</v>
      </c>
      <c r="N757" s="3">
        <v>5</v>
      </c>
      <c r="O757">
        <v>1</v>
      </c>
      <c r="P757">
        <f t="shared" si="33"/>
        <v>1</v>
      </c>
      <c r="Q757">
        <f t="shared" si="34"/>
        <v>1</v>
      </c>
      <c r="R757">
        <f t="shared" si="35"/>
        <v>1</v>
      </c>
      <c r="S757" s="10" t="str" cm="1">
        <f t="array" ref="S757">_xlfn.IFS(N757="", "", N757&gt;=9,"Promoter", N757&gt;=7,"Passive", N757&lt;=6,"Detractor")</f>
        <v>Detractor</v>
      </c>
    </row>
    <row r="758" spans="1:19" ht="14.25" customHeight="1">
      <c r="A758" s="3" t="s">
        <v>789</v>
      </c>
      <c r="B758" s="3" t="s">
        <v>20</v>
      </c>
      <c r="C758" s="3" t="s">
        <v>35</v>
      </c>
      <c r="D758" s="4">
        <v>45956</v>
      </c>
      <c r="E758" s="4">
        <v>45961</v>
      </c>
      <c r="F758" s="4">
        <v>45964</v>
      </c>
      <c r="G758" s="4">
        <v>45969</v>
      </c>
      <c r="H758" s="3" t="s">
        <v>22</v>
      </c>
      <c r="J758" s="4">
        <v>45982</v>
      </c>
      <c r="K758" s="3">
        <v>5</v>
      </c>
      <c r="L758" s="3">
        <v>3</v>
      </c>
      <c r="M758" s="3">
        <v>5</v>
      </c>
      <c r="N758" s="3">
        <v>7</v>
      </c>
      <c r="O758">
        <v>1</v>
      </c>
      <c r="P758">
        <f t="shared" si="33"/>
        <v>1</v>
      </c>
      <c r="Q758">
        <f t="shared" si="34"/>
        <v>1</v>
      </c>
      <c r="R758">
        <f t="shared" si="35"/>
        <v>1</v>
      </c>
      <c r="S758" s="10" t="str" cm="1">
        <f t="array" ref="S758">_xlfn.IFS(N758="", "", N758&gt;=9,"Promoter", N758&gt;=7,"Passive", N758&lt;=6,"Detractor")</f>
        <v>Passive</v>
      </c>
    </row>
    <row r="759" spans="1:19" ht="14.25" customHeight="1">
      <c r="A759" s="3" t="s">
        <v>790</v>
      </c>
      <c r="B759" s="3" t="s">
        <v>26</v>
      </c>
      <c r="C759" s="3" t="s">
        <v>35</v>
      </c>
      <c r="D759" s="4">
        <v>45943</v>
      </c>
      <c r="E759" s="4">
        <v>45944</v>
      </c>
      <c r="F759" s="4">
        <v>45948</v>
      </c>
      <c r="G759" s="4">
        <v>45955</v>
      </c>
      <c r="H759" s="3" t="s">
        <v>22</v>
      </c>
      <c r="J759" s="4">
        <v>45977</v>
      </c>
      <c r="K759" s="3">
        <v>1</v>
      </c>
      <c r="L759" s="3">
        <v>4</v>
      </c>
      <c r="M759" s="3">
        <v>7</v>
      </c>
      <c r="N759" s="3">
        <v>6</v>
      </c>
      <c r="O759">
        <v>1</v>
      </c>
      <c r="P759">
        <f t="shared" si="33"/>
        <v>1</v>
      </c>
      <c r="Q759">
        <f t="shared" si="34"/>
        <v>1</v>
      </c>
      <c r="R759">
        <f t="shared" si="35"/>
        <v>1</v>
      </c>
      <c r="S759" s="10" t="str" cm="1">
        <f t="array" ref="S759">_xlfn.IFS(N759="", "", N759&gt;=9,"Promoter", N759&gt;=7,"Passive", N759&lt;=6,"Detractor")</f>
        <v>Detractor</v>
      </c>
    </row>
    <row r="760" spans="1:19" ht="14.25" customHeight="1">
      <c r="A760" s="3" t="s">
        <v>791</v>
      </c>
      <c r="B760" s="3" t="s">
        <v>20</v>
      </c>
      <c r="C760" s="3" t="s">
        <v>35</v>
      </c>
      <c r="D760" s="4">
        <v>45931</v>
      </c>
      <c r="E760" s="4">
        <v>45933</v>
      </c>
      <c r="F760" s="4">
        <v>45936</v>
      </c>
      <c r="G760" s="4">
        <v>45939</v>
      </c>
      <c r="H760" s="3" t="s">
        <v>22</v>
      </c>
      <c r="J760" s="4">
        <v>45965</v>
      </c>
      <c r="K760" s="3">
        <v>2</v>
      </c>
      <c r="L760" s="3">
        <v>3</v>
      </c>
      <c r="M760" s="3">
        <v>3</v>
      </c>
      <c r="N760" s="3">
        <v>6</v>
      </c>
      <c r="O760">
        <v>1</v>
      </c>
      <c r="P760">
        <f t="shared" si="33"/>
        <v>1</v>
      </c>
      <c r="Q760">
        <f t="shared" si="34"/>
        <v>1</v>
      </c>
      <c r="R760">
        <f t="shared" si="35"/>
        <v>1</v>
      </c>
      <c r="S760" s="10" t="str" cm="1">
        <f t="array" ref="S760">_xlfn.IFS(N760="", "", N760&gt;=9,"Promoter", N760&gt;=7,"Passive", N760&lt;=6,"Detractor")</f>
        <v>Detractor</v>
      </c>
    </row>
    <row r="761" spans="1:19" ht="14.25" customHeight="1">
      <c r="A761" s="3" t="s">
        <v>792</v>
      </c>
      <c r="B761" s="3" t="s">
        <v>26</v>
      </c>
      <c r="C761" s="3" t="s">
        <v>27</v>
      </c>
      <c r="D761" s="4">
        <v>45939</v>
      </c>
      <c r="H761" s="3" t="s">
        <v>28</v>
      </c>
      <c r="I761" s="3" t="s">
        <v>68</v>
      </c>
      <c r="O761">
        <v>1</v>
      </c>
      <c r="P761">
        <f t="shared" si="33"/>
        <v>0</v>
      </c>
      <c r="Q761">
        <f t="shared" si="34"/>
        <v>0</v>
      </c>
      <c r="R761">
        <f t="shared" si="35"/>
        <v>0</v>
      </c>
      <c r="S761" s="10" t="str" cm="1">
        <f t="array" ref="S761">_xlfn.IFS(N761="", "", N761&gt;=9,"Promoter", N761&gt;=7,"Passive", N761&lt;=6,"Detractor")</f>
        <v/>
      </c>
    </row>
    <row r="762" spans="1:19" ht="14.25" customHeight="1">
      <c r="A762" s="3" t="s">
        <v>793</v>
      </c>
      <c r="B762" s="3" t="s">
        <v>26</v>
      </c>
      <c r="C762" s="3" t="s">
        <v>35</v>
      </c>
      <c r="D762" s="4">
        <v>45948</v>
      </c>
      <c r="E762" s="4">
        <v>45951</v>
      </c>
      <c r="F762" s="4">
        <v>45954</v>
      </c>
      <c r="G762" s="4">
        <v>45957</v>
      </c>
      <c r="H762" s="3" t="s">
        <v>22</v>
      </c>
      <c r="J762" s="4">
        <v>45985</v>
      </c>
      <c r="K762" s="3">
        <v>3</v>
      </c>
      <c r="L762" s="3">
        <v>3</v>
      </c>
      <c r="M762" s="3">
        <v>3</v>
      </c>
      <c r="N762" s="3">
        <v>2</v>
      </c>
      <c r="O762">
        <v>1</v>
      </c>
      <c r="P762">
        <f t="shared" si="33"/>
        <v>1</v>
      </c>
      <c r="Q762">
        <f t="shared" si="34"/>
        <v>1</v>
      </c>
      <c r="R762">
        <f t="shared" si="35"/>
        <v>1</v>
      </c>
      <c r="S762" s="10" t="str" cm="1">
        <f t="array" ref="S762">_xlfn.IFS(N762="", "", N762&gt;=9,"Promoter", N762&gt;=7,"Passive", N762&lt;=6,"Detractor")</f>
        <v>Detractor</v>
      </c>
    </row>
    <row r="763" spans="1:19" ht="14.25" customHeight="1">
      <c r="A763" s="3" t="s">
        <v>794</v>
      </c>
      <c r="B763" s="3" t="s">
        <v>20</v>
      </c>
      <c r="C763" s="3" t="s">
        <v>21</v>
      </c>
      <c r="D763" s="4">
        <v>45934</v>
      </c>
      <c r="E763" s="4">
        <v>45935</v>
      </c>
      <c r="F763" s="4">
        <v>45936</v>
      </c>
      <c r="G763" s="4">
        <v>45940</v>
      </c>
      <c r="H763" s="3" t="s">
        <v>22</v>
      </c>
      <c r="J763" s="4">
        <v>45959</v>
      </c>
      <c r="K763" s="3">
        <v>1</v>
      </c>
      <c r="L763" s="3">
        <v>1</v>
      </c>
      <c r="M763" s="3">
        <v>4</v>
      </c>
      <c r="N763" s="3">
        <v>8</v>
      </c>
      <c r="O763">
        <v>1</v>
      </c>
      <c r="P763">
        <f t="shared" si="33"/>
        <v>1</v>
      </c>
      <c r="Q763">
        <f t="shared" si="34"/>
        <v>1</v>
      </c>
      <c r="R763">
        <f t="shared" si="35"/>
        <v>1</v>
      </c>
      <c r="S763" s="10" t="str" cm="1">
        <f t="array" ref="S763">_xlfn.IFS(N763="", "", N763&gt;=9,"Promoter", N763&gt;=7,"Passive", N763&lt;=6,"Detractor")</f>
        <v>Passive</v>
      </c>
    </row>
    <row r="764" spans="1:19" ht="14.25" customHeight="1">
      <c r="A764" s="3" t="s">
        <v>795</v>
      </c>
      <c r="B764" s="3" t="s">
        <v>37</v>
      </c>
      <c r="C764" s="3" t="s">
        <v>27</v>
      </c>
      <c r="D764" s="4">
        <v>45945</v>
      </c>
      <c r="H764" s="3" t="s">
        <v>28</v>
      </c>
      <c r="I764" s="3" t="s">
        <v>38</v>
      </c>
      <c r="O764">
        <v>1</v>
      </c>
      <c r="P764">
        <f t="shared" si="33"/>
        <v>0</v>
      </c>
      <c r="Q764">
        <f t="shared" si="34"/>
        <v>0</v>
      </c>
      <c r="R764">
        <f t="shared" si="35"/>
        <v>0</v>
      </c>
      <c r="S764" s="10" t="str" cm="1">
        <f t="array" ref="S764">_xlfn.IFS(N764="", "", N764&gt;=9,"Promoter", N764&gt;=7,"Passive", N764&lt;=6,"Detractor")</f>
        <v/>
      </c>
    </row>
    <row r="765" spans="1:19" ht="14.25" customHeight="1">
      <c r="A765" s="3" t="s">
        <v>796</v>
      </c>
      <c r="B765" s="3" t="s">
        <v>26</v>
      </c>
      <c r="C765" s="3" t="s">
        <v>21</v>
      </c>
      <c r="D765" s="4">
        <v>45942</v>
      </c>
      <c r="E765" s="4">
        <v>45946</v>
      </c>
      <c r="F765" s="4">
        <v>45948</v>
      </c>
      <c r="G765" s="4">
        <v>45952</v>
      </c>
      <c r="H765" s="3" t="s">
        <v>28</v>
      </c>
      <c r="I765" s="3" t="s">
        <v>68</v>
      </c>
      <c r="K765" s="3">
        <v>4</v>
      </c>
      <c r="L765" s="3">
        <v>2</v>
      </c>
      <c r="M765" s="3">
        <v>4</v>
      </c>
      <c r="O765">
        <v>1</v>
      </c>
      <c r="P765">
        <f t="shared" si="33"/>
        <v>1</v>
      </c>
      <c r="Q765">
        <f t="shared" si="34"/>
        <v>1</v>
      </c>
      <c r="R765">
        <f t="shared" si="35"/>
        <v>0</v>
      </c>
      <c r="S765" s="10" t="str" cm="1">
        <f t="array" ref="S765">_xlfn.IFS(N765="", "", N765&gt;=9,"Promoter", N765&gt;=7,"Passive", N765&lt;=6,"Detractor")</f>
        <v/>
      </c>
    </row>
    <row r="766" spans="1:19" ht="14.25" customHeight="1">
      <c r="A766" s="3" t="s">
        <v>797</v>
      </c>
      <c r="B766" s="3" t="s">
        <v>37</v>
      </c>
      <c r="C766" s="3" t="s">
        <v>27</v>
      </c>
      <c r="D766" s="4">
        <v>45952</v>
      </c>
      <c r="H766" s="3" t="s">
        <v>28</v>
      </c>
      <c r="I766" s="3" t="s">
        <v>31</v>
      </c>
      <c r="O766">
        <v>1</v>
      </c>
      <c r="P766">
        <f t="shared" si="33"/>
        <v>0</v>
      </c>
      <c r="Q766">
        <f t="shared" si="34"/>
        <v>0</v>
      </c>
      <c r="R766">
        <f t="shared" si="35"/>
        <v>0</v>
      </c>
      <c r="S766" s="10" t="str" cm="1">
        <f t="array" ref="S766">_xlfn.IFS(N766="", "", N766&gt;=9,"Promoter", N766&gt;=7,"Passive", N766&lt;=6,"Detractor")</f>
        <v/>
      </c>
    </row>
    <row r="767" spans="1:19" ht="14.25" customHeight="1">
      <c r="A767" s="3" t="s">
        <v>798</v>
      </c>
      <c r="B767" s="3" t="s">
        <v>24</v>
      </c>
      <c r="C767" s="3" t="s">
        <v>21</v>
      </c>
      <c r="D767" s="4">
        <v>45954</v>
      </c>
      <c r="E767" s="4">
        <v>45958</v>
      </c>
      <c r="F767" s="4">
        <v>45959</v>
      </c>
      <c r="G767" s="4">
        <v>45963</v>
      </c>
      <c r="H767" s="3" t="s">
        <v>22</v>
      </c>
      <c r="J767" s="4">
        <v>45978</v>
      </c>
      <c r="K767" s="3">
        <v>4</v>
      </c>
      <c r="L767" s="3">
        <v>1</v>
      </c>
      <c r="M767" s="3">
        <v>4</v>
      </c>
      <c r="N767" s="3">
        <v>1</v>
      </c>
      <c r="O767">
        <v>1</v>
      </c>
      <c r="P767">
        <f t="shared" si="33"/>
        <v>1</v>
      </c>
      <c r="Q767">
        <f t="shared" si="34"/>
        <v>1</v>
      </c>
      <c r="R767">
        <f t="shared" si="35"/>
        <v>1</v>
      </c>
      <c r="S767" s="10" t="str" cm="1">
        <f t="array" ref="S767">_xlfn.IFS(N767="", "", N767&gt;=9,"Promoter", N767&gt;=7,"Passive", N767&lt;=6,"Detractor")</f>
        <v>Detractor</v>
      </c>
    </row>
    <row r="768" spans="1:19" ht="14.25" customHeight="1">
      <c r="A768" s="3" t="s">
        <v>799</v>
      </c>
      <c r="B768" s="3" t="s">
        <v>26</v>
      </c>
      <c r="C768" s="3" t="s">
        <v>27</v>
      </c>
      <c r="D768" s="4">
        <v>45952</v>
      </c>
      <c r="H768" s="3" t="s">
        <v>28</v>
      </c>
      <c r="I768" s="3" t="s">
        <v>106</v>
      </c>
      <c r="O768">
        <v>1</v>
      </c>
      <c r="P768">
        <f t="shared" si="33"/>
        <v>0</v>
      </c>
      <c r="Q768">
        <f t="shared" si="34"/>
        <v>0</v>
      </c>
      <c r="R768">
        <f t="shared" si="35"/>
        <v>0</v>
      </c>
      <c r="S768" s="10" t="str" cm="1">
        <f t="array" ref="S768">_xlfn.IFS(N768="", "", N768&gt;=9,"Promoter", N768&gt;=7,"Passive", N768&lt;=6,"Detractor")</f>
        <v/>
      </c>
    </row>
    <row r="769" spans="1:19" ht="14.25" customHeight="1">
      <c r="A769" s="3" t="s">
        <v>800</v>
      </c>
      <c r="B769" s="3" t="s">
        <v>37</v>
      </c>
      <c r="C769" s="3" t="s">
        <v>35</v>
      </c>
      <c r="D769" s="4">
        <v>45939</v>
      </c>
      <c r="E769" s="4">
        <v>45944</v>
      </c>
      <c r="F769" s="4">
        <v>45946</v>
      </c>
      <c r="G769" s="4">
        <v>45951</v>
      </c>
      <c r="H769" s="3" t="s">
        <v>22</v>
      </c>
      <c r="J769" s="4">
        <v>45963</v>
      </c>
      <c r="K769" s="3">
        <v>5</v>
      </c>
      <c r="L769" s="3">
        <v>2</v>
      </c>
      <c r="M769" s="3">
        <v>5</v>
      </c>
      <c r="N769" s="3">
        <v>0</v>
      </c>
      <c r="O769">
        <v>1</v>
      </c>
      <c r="P769">
        <f t="shared" si="33"/>
        <v>1</v>
      </c>
      <c r="Q769">
        <f t="shared" si="34"/>
        <v>1</v>
      </c>
      <c r="R769">
        <f t="shared" si="35"/>
        <v>1</v>
      </c>
      <c r="S769" s="10" t="str" cm="1">
        <f t="array" ref="S769">_xlfn.IFS(N769="", "", N769&gt;=9,"Promoter", N769&gt;=7,"Passive", N769&lt;=6,"Detractor")</f>
        <v>Detractor</v>
      </c>
    </row>
    <row r="770" spans="1:19" ht="14.25" customHeight="1">
      <c r="A770" s="3" t="s">
        <v>801</v>
      </c>
      <c r="B770" s="3" t="s">
        <v>37</v>
      </c>
      <c r="C770" s="3" t="s">
        <v>35</v>
      </c>
      <c r="D770" s="4">
        <v>45949</v>
      </c>
      <c r="E770" s="4">
        <v>45952</v>
      </c>
      <c r="F770" s="4">
        <v>45956</v>
      </c>
      <c r="G770" s="4">
        <v>45963</v>
      </c>
      <c r="H770" s="3" t="s">
        <v>22</v>
      </c>
      <c r="J770" s="4">
        <v>45974</v>
      </c>
      <c r="K770" s="3">
        <v>3</v>
      </c>
      <c r="L770" s="3">
        <v>4</v>
      </c>
      <c r="M770" s="3">
        <v>7</v>
      </c>
      <c r="N770" s="3">
        <v>4</v>
      </c>
      <c r="O770">
        <v>1</v>
      </c>
      <c r="P770">
        <f t="shared" si="33"/>
        <v>1</v>
      </c>
      <c r="Q770">
        <f t="shared" si="34"/>
        <v>1</v>
      </c>
      <c r="R770">
        <f t="shared" si="35"/>
        <v>1</v>
      </c>
      <c r="S770" s="10" t="str" cm="1">
        <f t="array" ref="S770">_xlfn.IFS(N770="", "", N770&gt;=9,"Promoter", N770&gt;=7,"Passive", N770&lt;=6,"Detractor")</f>
        <v>Detractor</v>
      </c>
    </row>
    <row r="771" spans="1:19" ht="14.25" customHeight="1">
      <c r="A771" s="3" t="s">
        <v>802</v>
      </c>
      <c r="B771" s="3" t="s">
        <v>24</v>
      </c>
      <c r="C771" s="3" t="s">
        <v>21</v>
      </c>
      <c r="D771" s="4">
        <v>45943</v>
      </c>
      <c r="E771" s="4">
        <v>45945</v>
      </c>
      <c r="F771" s="4">
        <v>45949</v>
      </c>
      <c r="G771" s="4">
        <v>45956</v>
      </c>
      <c r="H771" s="3" t="s">
        <v>22</v>
      </c>
      <c r="J771" s="4">
        <v>45975</v>
      </c>
      <c r="K771" s="3">
        <v>2</v>
      </c>
      <c r="L771" s="3">
        <v>4</v>
      </c>
      <c r="M771" s="3">
        <v>7</v>
      </c>
      <c r="N771" s="3">
        <v>0</v>
      </c>
      <c r="O771">
        <v>1</v>
      </c>
      <c r="P771">
        <f t="shared" ref="P771:P834" si="36">IF(E771&lt;&gt;"", 1, 0)</f>
        <v>1</v>
      </c>
      <c r="Q771">
        <f t="shared" ref="Q771:Q834" si="37">IF(G771&lt;&gt;"",1,0)</f>
        <v>1</v>
      </c>
      <c r="R771">
        <f t="shared" ref="R771:R834" si="38">IF(AND(G771&lt;&gt;"", H771="No"), 1, 0)</f>
        <v>1</v>
      </c>
      <c r="S771" s="10" t="str" cm="1">
        <f t="array" ref="S771">_xlfn.IFS(N771="", "", N771&gt;=9,"Promoter", N771&gt;=7,"Passive", N771&lt;=6,"Detractor")</f>
        <v>Detractor</v>
      </c>
    </row>
    <row r="772" spans="1:19" ht="14.25" customHeight="1">
      <c r="A772" s="3" t="s">
        <v>803</v>
      </c>
      <c r="B772" s="3" t="s">
        <v>37</v>
      </c>
      <c r="C772" s="3" t="s">
        <v>27</v>
      </c>
      <c r="D772" s="4">
        <v>45957</v>
      </c>
      <c r="H772" s="3" t="s">
        <v>28</v>
      </c>
      <c r="I772" s="3" t="s">
        <v>31</v>
      </c>
      <c r="O772">
        <v>1</v>
      </c>
      <c r="P772">
        <f t="shared" si="36"/>
        <v>0</v>
      </c>
      <c r="Q772">
        <f t="shared" si="37"/>
        <v>0</v>
      </c>
      <c r="R772">
        <f t="shared" si="38"/>
        <v>0</v>
      </c>
      <c r="S772" s="10" t="str" cm="1">
        <f t="array" ref="S772">_xlfn.IFS(N772="", "", N772&gt;=9,"Promoter", N772&gt;=7,"Passive", N772&lt;=6,"Detractor")</f>
        <v/>
      </c>
    </row>
    <row r="773" spans="1:19" ht="14.25" customHeight="1">
      <c r="A773" s="3" t="s">
        <v>804</v>
      </c>
      <c r="B773" s="3" t="s">
        <v>37</v>
      </c>
      <c r="C773" s="3" t="s">
        <v>27</v>
      </c>
      <c r="D773" s="4">
        <v>45951</v>
      </c>
      <c r="H773" s="3" t="s">
        <v>28</v>
      </c>
      <c r="I773" s="3" t="s">
        <v>29</v>
      </c>
      <c r="O773">
        <v>1</v>
      </c>
      <c r="P773">
        <f t="shared" si="36"/>
        <v>0</v>
      </c>
      <c r="Q773">
        <f t="shared" si="37"/>
        <v>0</v>
      </c>
      <c r="R773">
        <f t="shared" si="38"/>
        <v>0</v>
      </c>
      <c r="S773" s="10" t="str" cm="1">
        <f t="array" ref="S773">_xlfn.IFS(N773="", "", N773&gt;=9,"Promoter", N773&gt;=7,"Passive", N773&lt;=6,"Detractor")</f>
        <v/>
      </c>
    </row>
    <row r="774" spans="1:19" ht="14.25" customHeight="1">
      <c r="A774" s="3" t="s">
        <v>805</v>
      </c>
      <c r="B774" s="3" t="s">
        <v>24</v>
      </c>
      <c r="C774" s="3" t="s">
        <v>35</v>
      </c>
      <c r="D774" s="4">
        <v>45961</v>
      </c>
      <c r="E774" s="4">
        <v>45966</v>
      </c>
      <c r="F774" s="4">
        <v>45971</v>
      </c>
      <c r="G774" s="4">
        <v>45975</v>
      </c>
      <c r="H774" s="3" t="s">
        <v>22</v>
      </c>
      <c r="J774" s="4">
        <v>45994</v>
      </c>
      <c r="K774" s="3">
        <v>5</v>
      </c>
      <c r="L774" s="3">
        <v>5</v>
      </c>
      <c r="M774" s="3">
        <v>4</v>
      </c>
      <c r="N774" s="3">
        <v>4</v>
      </c>
      <c r="O774">
        <v>1</v>
      </c>
      <c r="P774">
        <f t="shared" si="36"/>
        <v>1</v>
      </c>
      <c r="Q774">
        <f t="shared" si="37"/>
        <v>1</v>
      </c>
      <c r="R774">
        <f t="shared" si="38"/>
        <v>1</v>
      </c>
      <c r="S774" s="10" t="str" cm="1">
        <f t="array" ref="S774">_xlfn.IFS(N774="", "", N774&gt;=9,"Promoter", N774&gt;=7,"Passive", N774&lt;=6,"Detractor")</f>
        <v>Detractor</v>
      </c>
    </row>
    <row r="775" spans="1:19" ht="14.25" customHeight="1">
      <c r="A775" s="3" t="s">
        <v>806</v>
      </c>
      <c r="B775" s="3" t="s">
        <v>26</v>
      </c>
      <c r="C775" s="3" t="s">
        <v>35</v>
      </c>
      <c r="D775" s="4">
        <v>45942</v>
      </c>
      <c r="E775" s="4">
        <v>45947</v>
      </c>
      <c r="F775" s="4">
        <v>45952</v>
      </c>
      <c r="G775" s="4">
        <v>45956</v>
      </c>
      <c r="H775" s="3" t="s">
        <v>22</v>
      </c>
      <c r="J775" s="4">
        <v>45980</v>
      </c>
      <c r="K775" s="3">
        <v>5</v>
      </c>
      <c r="L775" s="3">
        <v>5</v>
      </c>
      <c r="M775" s="3">
        <v>4</v>
      </c>
      <c r="N775" s="3">
        <v>1</v>
      </c>
      <c r="O775">
        <v>1</v>
      </c>
      <c r="P775">
        <f t="shared" si="36"/>
        <v>1</v>
      </c>
      <c r="Q775">
        <f t="shared" si="37"/>
        <v>1</v>
      </c>
      <c r="R775">
        <f t="shared" si="38"/>
        <v>1</v>
      </c>
      <c r="S775" s="10" t="str" cm="1">
        <f t="array" ref="S775">_xlfn.IFS(N775="", "", N775&gt;=9,"Promoter", N775&gt;=7,"Passive", N775&lt;=6,"Detractor")</f>
        <v>Detractor</v>
      </c>
    </row>
    <row r="776" spans="1:19" ht="14.25" customHeight="1">
      <c r="A776" s="3" t="s">
        <v>807</v>
      </c>
      <c r="B776" s="3" t="s">
        <v>37</v>
      </c>
      <c r="C776" s="3" t="s">
        <v>27</v>
      </c>
      <c r="D776" s="4">
        <v>45934</v>
      </c>
      <c r="H776" s="3" t="s">
        <v>28</v>
      </c>
      <c r="I776" s="3" t="s">
        <v>38</v>
      </c>
      <c r="O776">
        <v>1</v>
      </c>
      <c r="P776">
        <f t="shared" si="36"/>
        <v>0</v>
      </c>
      <c r="Q776">
        <f t="shared" si="37"/>
        <v>0</v>
      </c>
      <c r="R776">
        <f t="shared" si="38"/>
        <v>0</v>
      </c>
      <c r="S776" s="10" t="str" cm="1">
        <f t="array" ref="S776">_xlfn.IFS(N776="", "", N776&gt;=9,"Promoter", N776&gt;=7,"Passive", N776&lt;=6,"Detractor")</f>
        <v/>
      </c>
    </row>
    <row r="777" spans="1:19" ht="14.25" customHeight="1">
      <c r="A777" s="3" t="s">
        <v>808</v>
      </c>
      <c r="B777" s="3" t="s">
        <v>37</v>
      </c>
      <c r="C777" s="3" t="s">
        <v>35</v>
      </c>
      <c r="D777" s="4">
        <v>45952</v>
      </c>
      <c r="E777" s="4">
        <v>45954</v>
      </c>
      <c r="F777" s="4">
        <v>45959</v>
      </c>
      <c r="G777" s="4">
        <v>45964</v>
      </c>
      <c r="H777" s="3" t="s">
        <v>22</v>
      </c>
      <c r="J777" s="4">
        <v>45990</v>
      </c>
      <c r="K777" s="3">
        <v>2</v>
      </c>
      <c r="L777" s="3">
        <v>5</v>
      </c>
      <c r="M777" s="3">
        <v>5</v>
      </c>
      <c r="N777" s="3">
        <v>10</v>
      </c>
      <c r="O777">
        <v>1</v>
      </c>
      <c r="P777">
        <f t="shared" si="36"/>
        <v>1</v>
      </c>
      <c r="Q777">
        <f t="shared" si="37"/>
        <v>1</v>
      </c>
      <c r="R777">
        <f t="shared" si="38"/>
        <v>1</v>
      </c>
      <c r="S777" s="10" t="str" cm="1">
        <f t="array" ref="S777">_xlfn.IFS(N777="", "", N777&gt;=9,"Promoter", N777&gt;=7,"Passive", N777&lt;=6,"Detractor")</f>
        <v>Promoter</v>
      </c>
    </row>
    <row r="778" spans="1:19" ht="14.25" customHeight="1">
      <c r="A778" s="3" t="s">
        <v>809</v>
      </c>
      <c r="B778" s="3" t="s">
        <v>37</v>
      </c>
      <c r="C778" s="3" t="s">
        <v>21</v>
      </c>
      <c r="D778" s="4">
        <v>45938</v>
      </c>
      <c r="E778" s="4">
        <v>45940</v>
      </c>
      <c r="F778" s="4">
        <v>45944</v>
      </c>
      <c r="G778" s="4">
        <v>45948</v>
      </c>
      <c r="H778" s="3" t="s">
        <v>22</v>
      </c>
      <c r="J778" s="4">
        <v>45977</v>
      </c>
      <c r="K778" s="3">
        <v>2</v>
      </c>
      <c r="L778" s="3">
        <v>4</v>
      </c>
      <c r="M778" s="3">
        <v>4</v>
      </c>
      <c r="N778" s="3">
        <v>1</v>
      </c>
      <c r="O778">
        <v>1</v>
      </c>
      <c r="P778">
        <f t="shared" si="36"/>
        <v>1</v>
      </c>
      <c r="Q778">
        <f t="shared" si="37"/>
        <v>1</v>
      </c>
      <c r="R778">
        <f t="shared" si="38"/>
        <v>1</v>
      </c>
      <c r="S778" s="10" t="str" cm="1">
        <f t="array" ref="S778">_xlfn.IFS(N778="", "", N778&gt;=9,"Promoter", N778&gt;=7,"Passive", N778&lt;=6,"Detractor")</f>
        <v>Detractor</v>
      </c>
    </row>
    <row r="779" spans="1:19" ht="14.25" customHeight="1">
      <c r="A779" s="3" t="s">
        <v>810</v>
      </c>
      <c r="B779" s="3" t="s">
        <v>20</v>
      </c>
      <c r="C779" s="3" t="s">
        <v>27</v>
      </c>
      <c r="D779" s="4">
        <v>45946</v>
      </c>
      <c r="H779" s="3" t="s">
        <v>28</v>
      </c>
      <c r="I779" s="3" t="s">
        <v>68</v>
      </c>
      <c r="O779">
        <v>1</v>
      </c>
      <c r="P779">
        <f t="shared" si="36"/>
        <v>0</v>
      </c>
      <c r="Q779">
        <f t="shared" si="37"/>
        <v>0</v>
      </c>
      <c r="R779">
        <f t="shared" si="38"/>
        <v>0</v>
      </c>
      <c r="S779" s="10" t="str" cm="1">
        <f t="array" ref="S779">_xlfn.IFS(N779="", "", N779&gt;=9,"Promoter", N779&gt;=7,"Passive", N779&lt;=6,"Detractor")</f>
        <v/>
      </c>
    </row>
    <row r="780" spans="1:19" ht="14.25" customHeight="1">
      <c r="A780" s="3" t="s">
        <v>811</v>
      </c>
      <c r="B780" s="3" t="s">
        <v>24</v>
      </c>
      <c r="C780" s="3" t="s">
        <v>21</v>
      </c>
      <c r="D780" s="4">
        <v>45931</v>
      </c>
      <c r="E780" s="4">
        <v>45935</v>
      </c>
      <c r="F780" s="4">
        <v>45936</v>
      </c>
      <c r="G780" s="4">
        <v>45939</v>
      </c>
      <c r="H780" s="3" t="s">
        <v>22</v>
      </c>
      <c r="J780" s="4">
        <v>45965</v>
      </c>
      <c r="K780" s="3">
        <v>4</v>
      </c>
      <c r="L780" s="3">
        <v>1</v>
      </c>
      <c r="M780" s="3">
        <v>3</v>
      </c>
      <c r="N780" s="3">
        <v>3</v>
      </c>
      <c r="O780">
        <v>1</v>
      </c>
      <c r="P780">
        <f t="shared" si="36"/>
        <v>1</v>
      </c>
      <c r="Q780">
        <f t="shared" si="37"/>
        <v>1</v>
      </c>
      <c r="R780">
        <f t="shared" si="38"/>
        <v>1</v>
      </c>
      <c r="S780" s="10" t="str" cm="1">
        <f t="array" ref="S780">_xlfn.IFS(N780="", "", N780&gt;=9,"Promoter", N780&gt;=7,"Passive", N780&lt;=6,"Detractor")</f>
        <v>Detractor</v>
      </c>
    </row>
    <row r="781" spans="1:19" ht="14.25" customHeight="1">
      <c r="A781" s="3" t="s">
        <v>812</v>
      </c>
      <c r="B781" s="3" t="s">
        <v>20</v>
      </c>
      <c r="C781" s="3" t="s">
        <v>21</v>
      </c>
      <c r="D781" s="4">
        <v>45950</v>
      </c>
      <c r="E781" s="4">
        <v>45955</v>
      </c>
      <c r="F781" s="4">
        <v>45956</v>
      </c>
      <c r="G781" s="4">
        <v>45958</v>
      </c>
      <c r="H781" s="3" t="s">
        <v>22</v>
      </c>
      <c r="J781" s="4">
        <v>45978</v>
      </c>
      <c r="K781" s="3">
        <v>5</v>
      </c>
      <c r="L781" s="3">
        <v>1</v>
      </c>
      <c r="M781" s="3">
        <v>2</v>
      </c>
      <c r="N781" s="3">
        <v>2</v>
      </c>
      <c r="O781">
        <v>1</v>
      </c>
      <c r="P781">
        <f t="shared" si="36"/>
        <v>1</v>
      </c>
      <c r="Q781">
        <f t="shared" si="37"/>
        <v>1</v>
      </c>
      <c r="R781">
        <f t="shared" si="38"/>
        <v>1</v>
      </c>
      <c r="S781" s="10" t="str" cm="1">
        <f t="array" ref="S781">_xlfn.IFS(N781="", "", N781&gt;=9,"Promoter", N781&gt;=7,"Passive", N781&lt;=6,"Detractor")</f>
        <v>Detractor</v>
      </c>
    </row>
    <row r="782" spans="1:19" ht="14.25" customHeight="1">
      <c r="A782" s="3" t="s">
        <v>813</v>
      </c>
      <c r="B782" s="3" t="s">
        <v>24</v>
      </c>
      <c r="C782" s="3" t="s">
        <v>21</v>
      </c>
      <c r="D782" s="4">
        <v>45959</v>
      </c>
      <c r="E782" s="4">
        <v>45960</v>
      </c>
      <c r="F782" s="4">
        <v>45961</v>
      </c>
      <c r="G782" s="4">
        <v>45964</v>
      </c>
      <c r="H782" s="3" t="s">
        <v>22</v>
      </c>
      <c r="J782" s="4">
        <v>45987</v>
      </c>
      <c r="K782" s="3">
        <v>1</v>
      </c>
      <c r="L782" s="3">
        <v>1</v>
      </c>
      <c r="M782" s="3">
        <v>3</v>
      </c>
      <c r="N782" s="3">
        <v>2</v>
      </c>
      <c r="O782">
        <v>1</v>
      </c>
      <c r="P782">
        <f t="shared" si="36"/>
        <v>1</v>
      </c>
      <c r="Q782">
        <f t="shared" si="37"/>
        <v>1</v>
      </c>
      <c r="R782">
        <f t="shared" si="38"/>
        <v>1</v>
      </c>
      <c r="S782" s="10" t="str" cm="1">
        <f t="array" ref="S782">_xlfn.IFS(N782="", "", N782&gt;=9,"Promoter", N782&gt;=7,"Passive", N782&lt;=6,"Detractor")</f>
        <v>Detractor</v>
      </c>
    </row>
    <row r="783" spans="1:19" ht="14.25" customHeight="1">
      <c r="A783" s="3" t="s">
        <v>814</v>
      </c>
      <c r="B783" s="3" t="s">
        <v>26</v>
      </c>
      <c r="C783" s="3" t="s">
        <v>35</v>
      </c>
      <c r="D783" s="4">
        <v>45961</v>
      </c>
      <c r="E783" s="4">
        <v>45962</v>
      </c>
      <c r="F783" s="4">
        <v>45965</v>
      </c>
      <c r="G783" s="4">
        <v>45968</v>
      </c>
      <c r="H783" s="3" t="s">
        <v>22</v>
      </c>
      <c r="J783" s="4">
        <v>45982</v>
      </c>
      <c r="K783" s="3">
        <v>1</v>
      </c>
      <c r="L783" s="3">
        <v>3</v>
      </c>
      <c r="M783" s="3">
        <v>3</v>
      </c>
      <c r="N783" s="3">
        <v>4</v>
      </c>
      <c r="O783">
        <v>1</v>
      </c>
      <c r="P783">
        <f t="shared" si="36"/>
        <v>1</v>
      </c>
      <c r="Q783">
        <f t="shared" si="37"/>
        <v>1</v>
      </c>
      <c r="R783">
        <f t="shared" si="38"/>
        <v>1</v>
      </c>
      <c r="S783" s="10" t="str" cm="1">
        <f t="array" ref="S783">_xlfn.IFS(N783="", "", N783&gt;=9,"Promoter", N783&gt;=7,"Passive", N783&lt;=6,"Detractor")</f>
        <v>Detractor</v>
      </c>
    </row>
    <row r="784" spans="1:19" ht="14.25" customHeight="1">
      <c r="A784" s="3" t="s">
        <v>815</v>
      </c>
      <c r="B784" s="3" t="s">
        <v>26</v>
      </c>
      <c r="C784" s="3" t="s">
        <v>27</v>
      </c>
      <c r="D784" s="4">
        <v>45948</v>
      </c>
      <c r="H784" s="3" t="s">
        <v>28</v>
      </c>
      <c r="I784" s="3" t="s">
        <v>29</v>
      </c>
      <c r="O784">
        <v>1</v>
      </c>
      <c r="P784">
        <f t="shared" si="36"/>
        <v>0</v>
      </c>
      <c r="Q784">
        <f t="shared" si="37"/>
        <v>0</v>
      </c>
      <c r="R784">
        <f t="shared" si="38"/>
        <v>0</v>
      </c>
      <c r="S784" s="10" t="str" cm="1">
        <f t="array" ref="S784">_xlfn.IFS(N784="", "", N784&gt;=9,"Promoter", N784&gt;=7,"Passive", N784&lt;=6,"Detractor")</f>
        <v/>
      </c>
    </row>
    <row r="785" spans="1:19" ht="14.25" customHeight="1">
      <c r="A785" s="3" t="s">
        <v>816</v>
      </c>
      <c r="B785" s="3" t="s">
        <v>37</v>
      </c>
      <c r="C785" s="3" t="s">
        <v>21</v>
      </c>
      <c r="D785" s="4">
        <v>45941</v>
      </c>
      <c r="E785" s="4">
        <v>45946</v>
      </c>
      <c r="F785" s="4">
        <v>45951</v>
      </c>
      <c r="G785" s="4">
        <v>45957</v>
      </c>
      <c r="H785" s="3" t="s">
        <v>22</v>
      </c>
      <c r="J785" s="4">
        <v>45977</v>
      </c>
      <c r="K785" s="3">
        <v>5</v>
      </c>
      <c r="L785" s="3">
        <v>5</v>
      </c>
      <c r="M785" s="3">
        <v>6</v>
      </c>
      <c r="N785" s="3">
        <v>9</v>
      </c>
      <c r="O785">
        <v>1</v>
      </c>
      <c r="P785">
        <f t="shared" si="36"/>
        <v>1</v>
      </c>
      <c r="Q785">
        <f t="shared" si="37"/>
        <v>1</v>
      </c>
      <c r="R785">
        <f t="shared" si="38"/>
        <v>1</v>
      </c>
      <c r="S785" s="10" t="str" cm="1">
        <f t="array" ref="S785">_xlfn.IFS(N785="", "", N785&gt;=9,"Promoter", N785&gt;=7,"Passive", N785&lt;=6,"Detractor")</f>
        <v>Promoter</v>
      </c>
    </row>
    <row r="786" spans="1:19" ht="14.25" customHeight="1">
      <c r="A786" s="3" t="s">
        <v>817</v>
      </c>
      <c r="B786" s="3" t="s">
        <v>24</v>
      </c>
      <c r="C786" s="3" t="s">
        <v>27</v>
      </c>
      <c r="D786" s="4">
        <v>45960</v>
      </c>
      <c r="H786" s="3" t="s">
        <v>28</v>
      </c>
      <c r="I786" s="3" t="s">
        <v>68</v>
      </c>
      <c r="O786">
        <v>1</v>
      </c>
      <c r="P786">
        <f t="shared" si="36"/>
        <v>0</v>
      </c>
      <c r="Q786">
        <f t="shared" si="37"/>
        <v>0</v>
      </c>
      <c r="R786">
        <f t="shared" si="38"/>
        <v>0</v>
      </c>
      <c r="S786" s="10" t="str" cm="1">
        <f t="array" ref="S786">_xlfn.IFS(N786="", "", N786&gt;=9,"Promoter", N786&gt;=7,"Passive", N786&lt;=6,"Detractor")</f>
        <v/>
      </c>
    </row>
    <row r="787" spans="1:19" ht="14.25" customHeight="1">
      <c r="A787" s="3" t="s">
        <v>818</v>
      </c>
      <c r="B787" s="3" t="s">
        <v>26</v>
      </c>
      <c r="C787" s="3" t="s">
        <v>35</v>
      </c>
      <c r="D787" s="4">
        <v>45950</v>
      </c>
      <c r="E787" s="4">
        <v>45952</v>
      </c>
      <c r="F787" s="4">
        <v>45953</v>
      </c>
      <c r="G787" s="4">
        <v>45955</v>
      </c>
      <c r="H787" s="3" t="s">
        <v>22</v>
      </c>
      <c r="J787" s="4">
        <v>45980</v>
      </c>
      <c r="K787" s="3">
        <v>2</v>
      </c>
      <c r="L787" s="3">
        <v>1</v>
      </c>
      <c r="M787" s="3">
        <v>2</v>
      </c>
      <c r="N787" s="3">
        <v>7</v>
      </c>
      <c r="O787">
        <v>1</v>
      </c>
      <c r="P787">
        <f t="shared" si="36"/>
        <v>1</v>
      </c>
      <c r="Q787">
        <f t="shared" si="37"/>
        <v>1</v>
      </c>
      <c r="R787">
        <f t="shared" si="38"/>
        <v>1</v>
      </c>
      <c r="S787" s="10" t="str" cm="1">
        <f t="array" ref="S787">_xlfn.IFS(N787="", "", N787&gt;=9,"Promoter", N787&gt;=7,"Passive", N787&lt;=6,"Detractor")</f>
        <v>Passive</v>
      </c>
    </row>
    <row r="788" spans="1:19" ht="14.25" customHeight="1">
      <c r="A788" s="3" t="s">
        <v>819</v>
      </c>
      <c r="B788" s="3" t="s">
        <v>24</v>
      </c>
      <c r="C788" s="3" t="s">
        <v>27</v>
      </c>
      <c r="D788" s="4">
        <v>45938</v>
      </c>
      <c r="H788" s="3" t="s">
        <v>28</v>
      </c>
      <c r="I788" s="3" t="s">
        <v>106</v>
      </c>
      <c r="O788">
        <v>1</v>
      </c>
      <c r="P788">
        <f t="shared" si="36"/>
        <v>0</v>
      </c>
      <c r="Q788">
        <f t="shared" si="37"/>
        <v>0</v>
      </c>
      <c r="R788">
        <f t="shared" si="38"/>
        <v>0</v>
      </c>
      <c r="S788" s="10" t="str" cm="1">
        <f t="array" ref="S788">_xlfn.IFS(N788="", "", N788&gt;=9,"Promoter", N788&gt;=7,"Passive", N788&lt;=6,"Detractor")</f>
        <v/>
      </c>
    </row>
    <row r="789" spans="1:19" ht="14.25" customHeight="1">
      <c r="A789" s="3" t="s">
        <v>820</v>
      </c>
      <c r="B789" s="3" t="s">
        <v>26</v>
      </c>
      <c r="C789" s="3" t="s">
        <v>21</v>
      </c>
      <c r="D789" s="4">
        <v>45951</v>
      </c>
      <c r="E789" s="4">
        <v>45954</v>
      </c>
      <c r="F789" s="4">
        <v>45959</v>
      </c>
      <c r="G789" s="4">
        <v>45962</v>
      </c>
      <c r="H789" s="3" t="s">
        <v>22</v>
      </c>
      <c r="J789" s="4">
        <v>45983</v>
      </c>
      <c r="K789" s="3">
        <v>3</v>
      </c>
      <c r="L789" s="3">
        <v>5</v>
      </c>
      <c r="M789" s="3">
        <v>3</v>
      </c>
      <c r="N789" s="3">
        <v>3</v>
      </c>
      <c r="O789">
        <v>1</v>
      </c>
      <c r="P789">
        <f t="shared" si="36"/>
        <v>1</v>
      </c>
      <c r="Q789">
        <f t="shared" si="37"/>
        <v>1</v>
      </c>
      <c r="R789">
        <f t="shared" si="38"/>
        <v>1</v>
      </c>
      <c r="S789" s="10" t="str" cm="1">
        <f t="array" ref="S789">_xlfn.IFS(N789="", "", N789&gt;=9,"Promoter", N789&gt;=7,"Passive", N789&lt;=6,"Detractor")</f>
        <v>Detractor</v>
      </c>
    </row>
    <row r="790" spans="1:19" ht="14.25" customHeight="1">
      <c r="A790" s="3" t="s">
        <v>821</v>
      </c>
      <c r="B790" s="3" t="s">
        <v>20</v>
      </c>
      <c r="C790" s="3" t="s">
        <v>35</v>
      </c>
      <c r="D790" s="4">
        <v>45933</v>
      </c>
      <c r="E790" s="4">
        <v>45935</v>
      </c>
      <c r="F790" s="4">
        <v>45940</v>
      </c>
      <c r="G790" s="4">
        <v>45942</v>
      </c>
      <c r="H790" s="3" t="s">
        <v>22</v>
      </c>
      <c r="J790" s="4">
        <v>45958</v>
      </c>
      <c r="K790" s="3">
        <v>2</v>
      </c>
      <c r="L790" s="3">
        <v>5</v>
      </c>
      <c r="M790" s="3">
        <v>2</v>
      </c>
      <c r="N790" s="3">
        <v>3</v>
      </c>
      <c r="O790">
        <v>1</v>
      </c>
      <c r="P790">
        <f t="shared" si="36"/>
        <v>1</v>
      </c>
      <c r="Q790">
        <f t="shared" si="37"/>
        <v>1</v>
      </c>
      <c r="R790">
        <f t="shared" si="38"/>
        <v>1</v>
      </c>
      <c r="S790" s="10" t="str" cm="1">
        <f t="array" ref="S790">_xlfn.IFS(N790="", "", N790&gt;=9,"Promoter", N790&gt;=7,"Passive", N790&lt;=6,"Detractor")</f>
        <v>Detractor</v>
      </c>
    </row>
    <row r="791" spans="1:19" ht="14.25" customHeight="1">
      <c r="A791" s="3" t="s">
        <v>822</v>
      </c>
      <c r="B791" s="3" t="s">
        <v>26</v>
      </c>
      <c r="C791" s="3" t="s">
        <v>35</v>
      </c>
      <c r="D791" s="4">
        <v>45951</v>
      </c>
      <c r="E791" s="4">
        <v>45953</v>
      </c>
      <c r="F791" s="4">
        <v>45956</v>
      </c>
      <c r="G791" s="4">
        <v>45959</v>
      </c>
      <c r="H791" s="3" t="s">
        <v>22</v>
      </c>
      <c r="J791" s="4">
        <v>45974</v>
      </c>
      <c r="K791" s="3">
        <v>2</v>
      </c>
      <c r="L791" s="3">
        <v>3</v>
      </c>
      <c r="M791" s="3">
        <v>3</v>
      </c>
      <c r="N791" s="3">
        <v>3</v>
      </c>
      <c r="O791">
        <v>1</v>
      </c>
      <c r="P791">
        <f t="shared" si="36"/>
        <v>1</v>
      </c>
      <c r="Q791">
        <f t="shared" si="37"/>
        <v>1</v>
      </c>
      <c r="R791">
        <f t="shared" si="38"/>
        <v>1</v>
      </c>
      <c r="S791" s="10" t="str" cm="1">
        <f t="array" ref="S791">_xlfn.IFS(N791="", "", N791&gt;=9,"Promoter", N791&gt;=7,"Passive", N791&lt;=6,"Detractor")</f>
        <v>Detractor</v>
      </c>
    </row>
    <row r="792" spans="1:19" ht="14.25" customHeight="1">
      <c r="A792" s="3" t="s">
        <v>823</v>
      </c>
      <c r="B792" s="3" t="s">
        <v>20</v>
      </c>
      <c r="C792" s="3" t="s">
        <v>21</v>
      </c>
      <c r="D792" s="4">
        <v>45957</v>
      </c>
      <c r="E792" s="4">
        <v>45960</v>
      </c>
      <c r="F792" s="4">
        <v>45964</v>
      </c>
      <c r="G792" s="4">
        <v>45969</v>
      </c>
      <c r="H792" s="3" t="s">
        <v>22</v>
      </c>
      <c r="J792" s="4">
        <v>45991</v>
      </c>
      <c r="K792" s="3">
        <v>3</v>
      </c>
      <c r="L792" s="3">
        <v>4</v>
      </c>
      <c r="M792" s="3">
        <v>5</v>
      </c>
      <c r="N792" s="3">
        <v>5</v>
      </c>
      <c r="O792">
        <v>1</v>
      </c>
      <c r="P792">
        <f t="shared" si="36"/>
        <v>1</v>
      </c>
      <c r="Q792">
        <f t="shared" si="37"/>
        <v>1</v>
      </c>
      <c r="R792">
        <f t="shared" si="38"/>
        <v>1</v>
      </c>
      <c r="S792" s="10" t="str" cm="1">
        <f t="array" ref="S792">_xlfn.IFS(N792="", "", N792&gt;=9,"Promoter", N792&gt;=7,"Passive", N792&lt;=6,"Detractor")</f>
        <v>Detractor</v>
      </c>
    </row>
    <row r="793" spans="1:19" ht="14.25" customHeight="1">
      <c r="A793" s="3" t="s">
        <v>824</v>
      </c>
      <c r="B793" s="3" t="s">
        <v>26</v>
      </c>
      <c r="C793" s="3" t="s">
        <v>21</v>
      </c>
      <c r="D793" s="4">
        <v>45945</v>
      </c>
      <c r="E793" s="4">
        <v>45947</v>
      </c>
      <c r="F793" s="4">
        <v>45948</v>
      </c>
      <c r="G793" s="4">
        <v>45953</v>
      </c>
      <c r="H793" s="3" t="s">
        <v>22</v>
      </c>
      <c r="J793" s="4">
        <v>45963</v>
      </c>
      <c r="K793" s="3">
        <v>2</v>
      </c>
      <c r="L793" s="3">
        <v>1</v>
      </c>
      <c r="M793" s="3">
        <v>5</v>
      </c>
      <c r="N793" s="3">
        <v>8</v>
      </c>
      <c r="O793">
        <v>1</v>
      </c>
      <c r="P793">
        <f t="shared" si="36"/>
        <v>1</v>
      </c>
      <c r="Q793">
        <f t="shared" si="37"/>
        <v>1</v>
      </c>
      <c r="R793">
        <f t="shared" si="38"/>
        <v>1</v>
      </c>
      <c r="S793" s="10" t="str" cm="1">
        <f t="array" ref="S793">_xlfn.IFS(N793="", "", N793&gt;=9,"Promoter", N793&gt;=7,"Passive", N793&lt;=6,"Detractor")</f>
        <v>Passive</v>
      </c>
    </row>
    <row r="794" spans="1:19" ht="14.25" customHeight="1">
      <c r="A794" s="3" t="s">
        <v>825</v>
      </c>
      <c r="B794" s="3" t="s">
        <v>37</v>
      </c>
      <c r="C794" s="3" t="s">
        <v>27</v>
      </c>
      <c r="D794" s="4">
        <v>45960</v>
      </c>
      <c r="H794" s="3" t="s">
        <v>28</v>
      </c>
      <c r="I794" s="3" t="s">
        <v>106</v>
      </c>
      <c r="O794">
        <v>1</v>
      </c>
      <c r="P794">
        <f t="shared" si="36"/>
        <v>0</v>
      </c>
      <c r="Q794">
        <f t="shared" si="37"/>
        <v>0</v>
      </c>
      <c r="R794">
        <f t="shared" si="38"/>
        <v>0</v>
      </c>
      <c r="S794" s="10" t="str" cm="1">
        <f t="array" ref="S794">_xlfn.IFS(N794="", "", N794&gt;=9,"Promoter", N794&gt;=7,"Passive", N794&lt;=6,"Detractor")</f>
        <v/>
      </c>
    </row>
    <row r="795" spans="1:19" ht="14.25" customHeight="1">
      <c r="A795" s="3" t="s">
        <v>826</v>
      </c>
      <c r="B795" s="3" t="s">
        <v>20</v>
      </c>
      <c r="C795" s="3" t="s">
        <v>35</v>
      </c>
      <c r="D795" s="4">
        <v>45953</v>
      </c>
      <c r="E795" s="4">
        <v>45956</v>
      </c>
      <c r="F795" s="4">
        <v>45959</v>
      </c>
      <c r="G795" s="4">
        <v>45963</v>
      </c>
      <c r="H795" s="3" t="s">
        <v>22</v>
      </c>
      <c r="J795" s="4">
        <v>45980</v>
      </c>
      <c r="K795" s="3">
        <v>3</v>
      </c>
      <c r="L795" s="3">
        <v>3</v>
      </c>
      <c r="M795" s="3">
        <v>4</v>
      </c>
      <c r="N795" s="3">
        <v>1</v>
      </c>
      <c r="O795">
        <v>1</v>
      </c>
      <c r="P795">
        <f t="shared" si="36"/>
        <v>1</v>
      </c>
      <c r="Q795">
        <f t="shared" si="37"/>
        <v>1</v>
      </c>
      <c r="R795">
        <f t="shared" si="38"/>
        <v>1</v>
      </c>
      <c r="S795" s="10" t="str" cm="1">
        <f t="array" ref="S795">_xlfn.IFS(N795="", "", N795&gt;=9,"Promoter", N795&gt;=7,"Passive", N795&lt;=6,"Detractor")</f>
        <v>Detractor</v>
      </c>
    </row>
    <row r="796" spans="1:19" ht="14.25" customHeight="1">
      <c r="A796" s="3" t="s">
        <v>827</v>
      </c>
      <c r="B796" s="3" t="s">
        <v>26</v>
      </c>
      <c r="C796" s="3" t="s">
        <v>35</v>
      </c>
      <c r="D796" s="4">
        <v>45940</v>
      </c>
      <c r="E796" s="4">
        <v>45945</v>
      </c>
      <c r="F796" s="4">
        <v>45949</v>
      </c>
      <c r="G796" s="4">
        <v>45954</v>
      </c>
      <c r="H796" s="3" t="s">
        <v>22</v>
      </c>
      <c r="J796" s="4">
        <v>45971</v>
      </c>
      <c r="K796" s="3">
        <v>5</v>
      </c>
      <c r="L796" s="3">
        <v>4</v>
      </c>
      <c r="M796" s="3">
        <v>5</v>
      </c>
      <c r="N796" s="3">
        <v>10</v>
      </c>
      <c r="O796">
        <v>1</v>
      </c>
      <c r="P796">
        <f t="shared" si="36"/>
        <v>1</v>
      </c>
      <c r="Q796">
        <f t="shared" si="37"/>
        <v>1</v>
      </c>
      <c r="R796">
        <f t="shared" si="38"/>
        <v>1</v>
      </c>
      <c r="S796" s="10" t="str" cm="1">
        <f t="array" ref="S796">_xlfn.IFS(N796="", "", N796&gt;=9,"Promoter", N796&gt;=7,"Passive", N796&lt;=6,"Detractor")</f>
        <v>Promoter</v>
      </c>
    </row>
    <row r="797" spans="1:19" ht="14.25" customHeight="1">
      <c r="A797" s="3" t="s">
        <v>828</v>
      </c>
      <c r="B797" s="3" t="s">
        <v>37</v>
      </c>
      <c r="C797" s="3" t="s">
        <v>21</v>
      </c>
      <c r="D797" s="4">
        <v>45951</v>
      </c>
      <c r="E797" s="4">
        <v>45954</v>
      </c>
      <c r="F797" s="4">
        <v>45958</v>
      </c>
      <c r="G797" s="4">
        <v>45960</v>
      </c>
      <c r="H797" s="3" t="s">
        <v>22</v>
      </c>
      <c r="J797" s="4">
        <v>45974</v>
      </c>
      <c r="K797" s="3">
        <v>3</v>
      </c>
      <c r="L797" s="3">
        <v>4</v>
      </c>
      <c r="M797" s="3">
        <v>2</v>
      </c>
      <c r="N797" s="3">
        <v>4</v>
      </c>
      <c r="O797">
        <v>1</v>
      </c>
      <c r="P797">
        <f t="shared" si="36"/>
        <v>1</v>
      </c>
      <c r="Q797">
        <f t="shared" si="37"/>
        <v>1</v>
      </c>
      <c r="R797">
        <f t="shared" si="38"/>
        <v>1</v>
      </c>
      <c r="S797" s="10" t="str" cm="1">
        <f t="array" ref="S797">_xlfn.IFS(N797="", "", N797&gt;=9,"Promoter", N797&gt;=7,"Passive", N797&lt;=6,"Detractor")</f>
        <v>Detractor</v>
      </c>
    </row>
    <row r="798" spans="1:19" ht="14.25" customHeight="1">
      <c r="A798" s="3" t="s">
        <v>829</v>
      </c>
      <c r="B798" s="3" t="s">
        <v>20</v>
      </c>
      <c r="C798" s="3" t="s">
        <v>21</v>
      </c>
      <c r="D798" s="4">
        <v>45944</v>
      </c>
      <c r="E798" s="4">
        <v>45945</v>
      </c>
      <c r="F798" s="4">
        <v>45946</v>
      </c>
      <c r="G798" s="4">
        <v>45952</v>
      </c>
      <c r="H798" s="3" t="s">
        <v>22</v>
      </c>
      <c r="J798" s="4">
        <v>45968</v>
      </c>
      <c r="K798" s="3">
        <v>1</v>
      </c>
      <c r="L798" s="3">
        <v>1</v>
      </c>
      <c r="M798" s="3">
        <v>6</v>
      </c>
      <c r="N798" s="3">
        <v>8</v>
      </c>
      <c r="O798">
        <v>1</v>
      </c>
      <c r="P798">
        <f t="shared" si="36"/>
        <v>1</v>
      </c>
      <c r="Q798">
        <f t="shared" si="37"/>
        <v>1</v>
      </c>
      <c r="R798">
        <f t="shared" si="38"/>
        <v>1</v>
      </c>
      <c r="S798" s="10" t="str" cm="1">
        <f t="array" ref="S798">_xlfn.IFS(N798="", "", N798&gt;=9,"Promoter", N798&gt;=7,"Passive", N798&lt;=6,"Detractor")</f>
        <v>Passive</v>
      </c>
    </row>
    <row r="799" spans="1:19" ht="14.25" customHeight="1">
      <c r="A799" s="3" t="s">
        <v>830</v>
      </c>
      <c r="B799" s="3" t="s">
        <v>37</v>
      </c>
      <c r="C799" s="3" t="s">
        <v>21</v>
      </c>
      <c r="D799" s="4">
        <v>45934</v>
      </c>
      <c r="E799" s="4">
        <v>45937</v>
      </c>
      <c r="F799" s="4">
        <v>45942</v>
      </c>
      <c r="G799" s="4">
        <v>45946</v>
      </c>
      <c r="H799" s="3" t="s">
        <v>22</v>
      </c>
      <c r="J799" s="4">
        <v>45956</v>
      </c>
      <c r="K799" s="3">
        <v>3</v>
      </c>
      <c r="L799" s="3">
        <v>5</v>
      </c>
      <c r="M799" s="3">
        <v>4</v>
      </c>
      <c r="N799" s="3">
        <v>7</v>
      </c>
      <c r="O799">
        <v>1</v>
      </c>
      <c r="P799">
        <f t="shared" si="36"/>
        <v>1</v>
      </c>
      <c r="Q799">
        <f t="shared" si="37"/>
        <v>1</v>
      </c>
      <c r="R799">
        <f t="shared" si="38"/>
        <v>1</v>
      </c>
      <c r="S799" s="10" t="str" cm="1">
        <f t="array" ref="S799">_xlfn.IFS(N799="", "", N799&gt;=9,"Promoter", N799&gt;=7,"Passive", N799&lt;=6,"Detractor")</f>
        <v>Passive</v>
      </c>
    </row>
    <row r="800" spans="1:19" ht="14.25" customHeight="1">
      <c r="A800" s="3" t="s">
        <v>831</v>
      </c>
      <c r="B800" s="3" t="s">
        <v>24</v>
      </c>
      <c r="C800" s="3" t="s">
        <v>27</v>
      </c>
      <c r="D800" s="4">
        <v>45935</v>
      </c>
      <c r="H800" s="3" t="s">
        <v>28</v>
      </c>
      <c r="I800" s="3" t="s">
        <v>106</v>
      </c>
      <c r="O800">
        <v>1</v>
      </c>
      <c r="P800">
        <f t="shared" si="36"/>
        <v>0</v>
      </c>
      <c r="Q800">
        <f t="shared" si="37"/>
        <v>0</v>
      </c>
      <c r="R800">
        <f t="shared" si="38"/>
        <v>0</v>
      </c>
      <c r="S800" s="10" t="str" cm="1">
        <f t="array" ref="S800">_xlfn.IFS(N800="", "", N800&gt;=9,"Promoter", N800&gt;=7,"Passive", N800&lt;=6,"Detractor")</f>
        <v/>
      </c>
    </row>
    <row r="801" spans="1:19" ht="14.25" customHeight="1">
      <c r="A801" s="3" t="s">
        <v>832</v>
      </c>
      <c r="B801" s="3" t="s">
        <v>24</v>
      </c>
      <c r="C801" s="3" t="s">
        <v>27</v>
      </c>
      <c r="D801" s="4">
        <v>45932</v>
      </c>
      <c r="H801" s="3" t="s">
        <v>28</v>
      </c>
      <c r="I801" s="3" t="s">
        <v>68</v>
      </c>
      <c r="O801">
        <v>1</v>
      </c>
      <c r="P801">
        <f t="shared" si="36"/>
        <v>0</v>
      </c>
      <c r="Q801">
        <f t="shared" si="37"/>
        <v>0</v>
      </c>
      <c r="R801">
        <f t="shared" si="38"/>
        <v>0</v>
      </c>
      <c r="S801" s="10" t="str" cm="1">
        <f t="array" ref="S801">_xlfn.IFS(N801="", "", N801&gt;=9,"Promoter", N801&gt;=7,"Passive", N801&lt;=6,"Detractor")</f>
        <v/>
      </c>
    </row>
    <row r="802" spans="1:19" ht="14.25" customHeight="1">
      <c r="A802" s="3" t="s">
        <v>833</v>
      </c>
      <c r="B802" s="3" t="s">
        <v>20</v>
      </c>
      <c r="C802" s="3" t="s">
        <v>27</v>
      </c>
      <c r="D802" s="4">
        <v>45961</v>
      </c>
      <c r="H802" s="3" t="s">
        <v>28</v>
      </c>
      <c r="I802" s="3" t="s">
        <v>29</v>
      </c>
      <c r="O802">
        <v>1</v>
      </c>
      <c r="P802">
        <f t="shared" si="36"/>
        <v>0</v>
      </c>
      <c r="Q802">
        <f t="shared" si="37"/>
        <v>0</v>
      </c>
      <c r="R802">
        <f t="shared" si="38"/>
        <v>0</v>
      </c>
      <c r="S802" s="10" t="str" cm="1">
        <f t="array" ref="S802">_xlfn.IFS(N802="", "", N802&gt;=9,"Promoter", N802&gt;=7,"Passive", N802&lt;=6,"Detractor")</f>
        <v/>
      </c>
    </row>
    <row r="803" spans="1:19" ht="14.25" customHeight="1">
      <c r="A803" s="3" t="s">
        <v>834</v>
      </c>
      <c r="B803" s="3" t="s">
        <v>26</v>
      </c>
      <c r="C803" s="3" t="s">
        <v>21</v>
      </c>
      <c r="D803" s="4">
        <v>45932</v>
      </c>
      <c r="E803" s="4">
        <v>45934</v>
      </c>
      <c r="F803" s="4">
        <v>45936</v>
      </c>
      <c r="G803" s="4">
        <v>45939</v>
      </c>
      <c r="H803" s="3" t="s">
        <v>28</v>
      </c>
      <c r="I803" s="3" t="s">
        <v>106</v>
      </c>
      <c r="K803" s="3">
        <v>2</v>
      </c>
      <c r="L803" s="3">
        <v>2</v>
      </c>
      <c r="M803" s="3">
        <v>3</v>
      </c>
      <c r="O803">
        <v>1</v>
      </c>
      <c r="P803">
        <f t="shared" si="36"/>
        <v>1</v>
      </c>
      <c r="Q803">
        <f t="shared" si="37"/>
        <v>1</v>
      </c>
      <c r="R803">
        <f t="shared" si="38"/>
        <v>0</v>
      </c>
      <c r="S803" s="10" t="str" cm="1">
        <f t="array" ref="S803">_xlfn.IFS(N803="", "", N803&gt;=9,"Promoter", N803&gt;=7,"Passive", N803&lt;=6,"Detractor")</f>
        <v/>
      </c>
    </row>
    <row r="804" spans="1:19" ht="14.25" customHeight="1">
      <c r="A804" s="3" t="s">
        <v>835</v>
      </c>
      <c r="B804" s="3" t="s">
        <v>20</v>
      </c>
      <c r="C804" s="3" t="s">
        <v>21</v>
      </c>
      <c r="D804" s="4">
        <v>45940</v>
      </c>
      <c r="E804" s="4">
        <v>45945</v>
      </c>
      <c r="F804" s="4">
        <v>45950</v>
      </c>
      <c r="G804" s="4">
        <v>45955</v>
      </c>
      <c r="H804" s="3" t="s">
        <v>22</v>
      </c>
      <c r="J804" s="4">
        <v>45983</v>
      </c>
      <c r="K804" s="3">
        <v>5</v>
      </c>
      <c r="L804" s="3">
        <v>5</v>
      </c>
      <c r="M804" s="3">
        <v>5</v>
      </c>
      <c r="N804" s="3">
        <v>10</v>
      </c>
      <c r="O804">
        <v>1</v>
      </c>
      <c r="P804">
        <f t="shared" si="36"/>
        <v>1</v>
      </c>
      <c r="Q804">
        <f t="shared" si="37"/>
        <v>1</v>
      </c>
      <c r="R804">
        <f t="shared" si="38"/>
        <v>1</v>
      </c>
      <c r="S804" s="10" t="str" cm="1">
        <f t="array" ref="S804">_xlfn.IFS(N804="", "", N804&gt;=9,"Promoter", N804&gt;=7,"Passive", N804&lt;=6,"Detractor")</f>
        <v>Promoter</v>
      </c>
    </row>
    <row r="805" spans="1:19" ht="14.25" customHeight="1">
      <c r="A805" s="3" t="s">
        <v>836</v>
      </c>
      <c r="B805" s="3" t="s">
        <v>37</v>
      </c>
      <c r="C805" s="3" t="s">
        <v>21</v>
      </c>
      <c r="D805" s="4">
        <v>45946</v>
      </c>
      <c r="E805" s="4">
        <v>45949</v>
      </c>
      <c r="F805" s="4">
        <v>45954</v>
      </c>
      <c r="G805" s="4">
        <v>45958</v>
      </c>
      <c r="H805" s="3" t="s">
        <v>22</v>
      </c>
      <c r="J805" s="4">
        <v>45984</v>
      </c>
      <c r="K805" s="3">
        <v>3</v>
      </c>
      <c r="L805" s="3">
        <v>5</v>
      </c>
      <c r="M805" s="3">
        <v>4</v>
      </c>
      <c r="N805" s="3">
        <v>1</v>
      </c>
      <c r="O805">
        <v>1</v>
      </c>
      <c r="P805">
        <f t="shared" si="36"/>
        <v>1</v>
      </c>
      <c r="Q805">
        <f t="shared" si="37"/>
        <v>1</v>
      </c>
      <c r="R805">
        <f t="shared" si="38"/>
        <v>1</v>
      </c>
      <c r="S805" s="10" t="str" cm="1">
        <f t="array" ref="S805">_xlfn.IFS(N805="", "", N805&gt;=9,"Promoter", N805&gt;=7,"Passive", N805&lt;=6,"Detractor")</f>
        <v>Detractor</v>
      </c>
    </row>
    <row r="806" spans="1:19" ht="14.25" customHeight="1">
      <c r="A806" s="3" t="s">
        <v>837</v>
      </c>
      <c r="B806" s="3" t="s">
        <v>26</v>
      </c>
      <c r="C806" s="3" t="s">
        <v>21</v>
      </c>
      <c r="D806" s="4">
        <v>45934</v>
      </c>
      <c r="E806" s="4">
        <v>45936</v>
      </c>
      <c r="F806" s="4">
        <v>45938</v>
      </c>
      <c r="G806" s="4">
        <v>45943</v>
      </c>
      <c r="H806" s="3" t="s">
        <v>22</v>
      </c>
      <c r="J806" s="4">
        <v>45958</v>
      </c>
      <c r="K806" s="3">
        <v>2</v>
      </c>
      <c r="L806" s="3">
        <v>2</v>
      </c>
      <c r="M806" s="3">
        <v>5</v>
      </c>
      <c r="N806" s="3">
        <v>9</v>
      </c>
      <c r="O806">
        <v>1</v>
      </c>
      <c r="P806">
        <f t="shared" si="36"/>
        <v>1</v>
      </c>
      <c r="Q806">
        <f t="shared" si="37"/>
        <v>1</v>
      </c>
      <c r="R806">
        <f t="shared" si="38"/>
        <v>1</v>
      </c>
      <c r="S806" s="10" t="str" cm="1">
        <f t="array" ref="S806">_xlfn.IFS(N806="", "", N806&gt;=9,"Promoter", N806&gt;=7,"Passive", N806&lt;=6,"Detractor")</f>
        <v>Promoter</v>
      </c>
    </row>
    <row r="807" spans="1:19" ht="14.25" customHeight="1">
      <c r="A807" s="3" t="s">
        <v>838</v>
      </c>
      <c r="B807" s="3" t="s">
        <v>24</v>
      </c>
      <c r="C807" s="3" t="s">
        <v>27</v>
      </c>
      <c r="D807" s="4">
        <v>45934</v>
      </c>
      <c r="H807" s="3" t="s">
        <v>28</v>
      </c>
      <c r="I807" s="3" t="s">
        <v>29</v>
      </c>
      <c r="O807">
        <v>1</v>
      </c>
      <c r="P807">
        <f t="shared" si="36"/>
        <v>0</v>
      </c>
      <c r="Q807">
        <f t="shared" si="37"/>
        <v>0</v>
      </c>
      <c r="R807">
        <f t="shared" si="38"/>
        <v>0</v>
      </c>
      <c r="S807" s="10" t="str" cm="1">
        <f t="array" ref="S807">_xlfn.IFS(N807="", "", N807&gt;=9,"Promoter", N807&gt;=7,"Passive", N807&lt;=6,"Detractor")</f>
        <v/>
      </c>
    </row>
    <row r="808" spans="1:19" ht="14.25" customHeight="1">
      <c r="A808" s="3" t="s">
        <v>839</v>
      </c>
      <c r="B808" s="3" t="s">
        <v>26</v>
      </c>
      <c r="C808" s="3" t="s">
        <v>35</v>
      </c>
      <c r="D808" s="4">
        <v>45938</v>
      </c>
      <c r="E808" s="4">
        <v>45941</v>
      </c>
      <c r="F808" s="4">
        <v>45945</v>
      </c>
      <c r="G808" s="4">
        <v>45949</v>
      </c>
      <c r="H808" s="3" t="s">
        <v>22</v>
      </c>
      <c r="J808" s="4">
        <v>45962</v>
      </c>
      <c r="K808" s="3">
        <v>3</v>
      </c>
      <c r="L808" s="3">
        <v>4</v>
      </c>
      <c r="M808" s="3">
        <v>4</v>
      </c>
      <c r="N808" s="3">
        <v>3</v>
      </c>
      <c r="O808">
        <v>1</v>
      </c>
      <c r="P808">
        <f t="shared" si="36"/>
        <v>1</v>
      </c>
      <c r="Q808">
        <f t="shared" si="37"/>
        <v>1</v>
      </c>
      <c r="R808">
        <f t="shared" si="38"/>
        <v>1</v>
      </c>
      <c r="S808" s="10" t="str" cm="1">
        <f t="array" ref="S808">_xlfn.IFS(N808="", "", N808&gt;=9,"Promoter", N808&gt;=7,"Passive", N808&lt;=6,"Detractor")</f>
        <v>Detractor</v>
      </c>
    </row>
    <row r="809" spans="1:19" ht="14.25" customHeight="1">
      <c r="A809" s="3" t="s">
        <v>840</v>
      </c>
      <c r="B809" s="3" t="s">
        <v>24</v>
      </c>
      <c r="C809" s="3" t="s">
        <v>21</v>
      </c>
      <c r="D809" s="4">
        <v>45959</v>
      </c>
      <c r="E809" s="4">
        <v>45964</v>
      </c>
      <c r="F809" s="4">
        <v>45966</v>
      </c>
      <c r="G809" s="4">
        <v>45968</v>
      </c>
      <c r="H809" s="3" t="s">
        <v>22</v>
      </c>
      <c r="J809" s="4">
        <v>45989</v>
      </c>
      <c r="K809" s="3">
        <v>5</v>
      </c>
      <c r="L809" s="3">
        <v>2</v>
      </c>
      <c r="M809" s="3">
        <v>2</v>
      </c>
      <c r="N809" s="3">
        <v>2</v>
      </c>
      <c r="O809">
        <v>1</v>
      </c>
      <c r="P809">
        <f t="shared" si="36"/>
        <v>1</v>
      </c>
      <c r="Q809">
        <f t="shared" si="37"/>
        <v>1</v>
      </c>
      <c r="R809">
        <f t="shared" si="38"/>
        <v>1</v>
      </c>
      <c r="S809" s="10" t="str" cm="1">
        <f t="array" ref="S809">_xlfn.IFS(N809="", "", N809&gt;=9,"Promoter", N809&gt;=7,"Passive", N809&lt;=6,"Detractor")</f>
        <v>Detractor</v>
      </c>
    </row>
    <row r="810" spans="1:19" ht="14.25" customHeight="1">
      <c r="A810" s="3" t="s">
        <v>841</v>
      </c>
      <c r="B810" s="3" t="s">
        <v>26</v>
      </c>
      <c r="C810" s="3" t="s">
        <v>35</v>
      </c>
      <c r="D810" s="4">
        <v>45948</v>
      </c>
      <c r="E810" s="4">
        <v>45953</v>
      </c>
      <c r="F810" s="4">
        <v>45955</v>
      </c>
      <c r="G810" s="4">
        <v>45957</v>
      </c>
      <c r="H810" s="3" t="s">
        <v>22</v>
      </c>
      <c r="J810" s="4">
        <v>45987</v>
      </c>
      <c r="K810" s="3">
        <v>5</v>
      </c>
      <c r="L810" s="3">
        <v>2</v>
      </c>
      <c r="M810" s="3">
        <v>2</v>
      </c>
      <c r="N810" s="3">
        <v>5</v>
      </c>
      <c r="O810">
        <v>1</v>
      </c>
      <c r="P810">
        <f t="shared" si="36"/>
        <v>1</v>
      </c>
      <c r="Q810">
        <f t="shared" si="37"/>
        <v>1</v>
      </c>
      <c r="R810">
        <f t="shared" si="38"/>
        <v>1</v>
      </c>
      <c r="S810" s="10" t="str" cm="1">
        <f t="array" ref="S810">_xlfn.IFS(N810="", "", N810&gt;=9,"Promoter", N810&gt;=7,"Passive", N810&lt;=6,"Detractor")</f>
        <v>Detractor</v>
      </c>
    </row>
    <row r="811" spans="1:19" ht="14.25" customHeight="1">
      <c r="A811" s="3" t="s">
        <v>842</v>
      </c>
      <c r="B811" s="3" t="s">
        <v>26</v>
      </c>
      <c r="C811" s="3" t="s">
        <v>21</v>
      </c>
      <c r="D811" s="4">
        <v>45935</v>
      </c>
      <c r="E811" s="4">
        <v>45936</v>
      </c>
      <c r="F811" s="4">
        <v>45939</v>
      </c>
      <c r="G811" s="4">
        <v>45942</v>
      </c>
      <c r="H811" s="3" t="s">
        <v>22</v>
      </c>
      <c r="J811" s="4">
        <v>45953</v>
      </c>
      <c r="K811" s="3">
        <v>1</v>
      </c>
      <c r="L811" s="3">
        <v>3</v>
      </c>
      <c r="M811" s="3">
        <v>3</v>
      </c>
      <c r="N811" s="3">
        <v>1</v>
      </c>
      <c r="O811">
        <v>1</v>
      </c>
      <c r="P811">
        <f t="shared" si="36"/>
        <v>1</v>
      </c>
      <c r="Q811">
        <f t="shared" si="37"/>
        <v>1</v>
      </c>
      <c r="R811">
        <f t="shared" si="38"/>
        <v>1</v>
      </c>
      <c r="S811" s="10" t="str" cm="1">
        <f t="array" ref="S811">_xlfn.IFS(N811="", "", N811&gt;=9,"Promoter", N811&gt;=7,"Passive", N811&lt;=6,"Detractor")</f>
        <v>Detractor</v>
      </c>
    </row>
    <row r="812" spans="1:19" ht="14.25" customHeight="1">
      <c r="A812" s="3" t="s">
        <v>843</v>
      </c>
      <c r="B812" s="3" t="s">
        <v>26</v>
      </c>
      <c r="C812" s="3" t="s">
        <v>27</v>
      </c>
      <c r="D812" s="4">
        <v>45943</v>
      </c>
      <c r="H812" s="3" t="s">
        <v>28</v>
      </c>
      <c r="I812" s="3" t="s">
        <v>68</v>
      </c>
      <c r="O812">
        <v>1</v>
      </c>
      <c r="P812">
        <f t="shared" si="36"/>
        <v>0</v>
      </c>
      <c r="Q812">
        <f t="shared" si="37"/>
        <v>0</v>
      </c>
      <c r="R812">
        <f t="shared" si="38"/>
        <v>0</v>
      </c>
      <c r="S812" s="10" t="str" cm="1">
        <f t="array" ref="S812">_xlfn.IFS(N812="", "", N812&gt;=9,"Promoter", N812&gt;=7,"Passive", N812&lt;=6,"Detractor")</f>
        <v/>
      </c>
    </row>
    <row r="813" spans="1:19" ht="14.25" customHeight="1">
      <c r="A813" s="3" t="s">
        <v>844</v>
      </c>
      <c r="B813" s="3" t="s">
        <v>37</v>
      </c>
      <c r="C813" s="3" t="s">
        <v>21</v>
      </c>
      <c r="D813" s="4">
        <v>45945</v>
      </c>
      <c r="E813" s="4">
        <v>45950</v>
      </c>
      <c r="F813" s="4">
        <v>45953</v>
      </c>
      <c r="G813" s="4">
        <v>45960</v>
      </c>
      <c r="H813" s="3" t="s">
        <v>22</v>
      </c>
      <c r="J813" s="4">
        <v>45982</v>
      </c>
      <c r="K813" s="3">
        <v>5</v>
      </c>
      <c r="L813" s="3">
        <v>3</v>
      </c>
      <c r="M813" s="3">
        <v>7</v>
      </c>
      <c r="N813" s="3">
        <v>7</v>
      </c>
      <c r="O813">
        <v>1</v>
      </c>
      <c r="P813">
        <f t="shared" si="36"/>
        <v>1</v>
      </c>
      <c r="Q813">
        <f t="shared" si="37"/>
        <v>1</v>
      </c>
      <c r="R813">
        <f t="shared" si="38"/>
        <v>1</v>
      </c>
      <c r="S813" s="10" t="str" cm="1">
        <f t="array" ref="S813">_xlfn.IFS(N813="", "", N813&gt;=9,"Promoter", N813&gt;=7,"Passive", N813&lt;=6,"Detractor")</f>
        <v>Passive</v>
      </c>
    </row>
    <row r="814" spans="1:19" ht="14.25" customHeight="1">
      <c r="A814" s="3" t="s">
        <v>845</v>
      </c>
      <c r="B814" s="3" t="s">
        <v>37</v>
      </c>
      <c r="C814" s="3" t="s">
        <v>35</v>
      </c>
      <c r="D814" s="4">
        <v>45942</v>
      </c>
      <c r="E814" s="4">
        <v>45944</v>
      </c>
      <c r="F814" s="4">
        <v>45947</v>
      </c>
      <c r="G814" s="4">
        <v>45951</v>
      </c>
      <c r="H814" s="3" t="s">
        <v>22</v>
      </c>
      <c r="J814" s="4">
        <v>45981</v>
      </c>
      <c r="K814" s="3">
        <v>2</v>
      </c>
      <c r="L814" s="3">
        <v>3</v>
      </c>
      <c r="M814" s="3">
        <v>4</v>
      </c>
      <c r="N814" s="3">
        <v>3</v>
      </c>
      <c r="O814">
        <v>1</v>
      </c>
      <c r="P814">
        <f t="shared" si="36"/>
        <v>1</v>
      </c>
      <c r="Q814">
        <f t="shared" si="37"/>
        <v>1</v>
      </c>
      <c r="R814">
        <f t="shared" si="38"/>
        <v>1</v>
      </c>
      <c r="S814" s="10" t="str" cm="1">
        <f t="array" ref="S814">_xlfn.IFS(N814="", "", N814&gt;=9,"Promoter", N814&gt;=7,"Passive", N814&lt;=6,"Detractor")</f>
        <v>Detractor</v>
      </c>
    </row>
    <row r="815" spans="1:19" ht="14.25" customHeight="1">
      <c r="A815" s="3" t="s">
        <v>846</v>
      </c>
      <c r="B815" s="3" t="s">
        <v>20</v>
      </c>
      <c r="C815" s="3" t="s">
        <v>27</v>
      </c>
      <c r="D815" s="4">
        <v>45952</v>
      </c>
      <c r="H815" s="3" t="s">
        <v>28</v>
      </c>
      <c r="I815" s="3" t="s">
        <v>29</v>
      </c>
      <c r="O815">
        <v>1</v>
      </c>
      <c r="P815">
        <f t="shared" si="36"/>
        <v>0</v>
      </c>
      <c r="Q815">
        <f t="shared" si="37"/>
        <v>0</v>
      </c>
      <c r="R815">
        <f t="shared" si="38"/>
        <v>0</v>
      </c>
      <c r="S815" s="10" t="str" cm="1">
        <f t="array" ref="S815">_xlfn.IFS(N815="", "", N815&gt;=9,"Promoter", N815&gt;=7,"Passive", N815&lt;=6,"Detractor")</f>
        <v/>
      </c>
    </row>
    <row r="816" spans="1:19" ht="14.25" customHeight="1">
      <c r="A816" s="3" t="s">
        <v>847</v>
      </c>
      <c r="B816" s="3" t="s">
        <v>20</v>
      </c>
      <c r="C816" s="3" t="s">
        <v>21</v>
      </c>
      <c r="D816" s="4">
        <v>45961</v>
      </c>
      <c r="E816" s="4">
        <v>45966</v>
      </c>
      <c r="F816" s="4">
        <v>45970</v>
      </c>
      <c r="G816" s="4">
        <v>45977</v>
      </c>
      <c r="H816" s="3" t="s">
        <v>22</v>
      </c>
      <c r="J816" s="4">
        <v>45995</v>
      </c>
      <c r="K816" s="3">
        <v>5</v>
      </c>
      <c r="L816" s="3">
        <v>4</v>
      </c>
      <c r="M816" s="3">
        <v>7</v>
      </c>
      <c r="N816" s="3">
        <v>2</v>
      </c>
      <c r="O816">
        <v>1</v>
      </c>
      <c r="P816">
        <f t="shared" si="36"/>
        <v>1</v>
      </c>
      <c r="Q816">
        <f t="shared" si="37"/>
        <v>1</v>
      </c>
      <c r="R816">
        <f t="shared" si="38"/>
        <v>1</v>
      </c>
      <c r="S816" s="10" t="str" cm="1">
        <f t="array" ref="S816">_xlfn.IFS(N816="", "", N816&gt;=9,"Promoter", N816&gt;=7,"Passive", N816&lt;=6,"Detractor")</f>
        <v>Detractor</v>
      </c>
    </row>
    <row r="817" spans="1:19" ht="14.25" customHeight="1">
      <c r="A817" s="3" t="s">
        <v>848</v>
      </c>
      <c r="B817" s="3" t="s">
        <v>24</v>
      </c>
      <c r="C817" s="3" t="s">
        <v>35</v>
      </c>
      <c r="D817" s="4">
        <v>45954</v>
      </c>
      <c r="E817" s="4">
        <v>45959</v>
      </c>
      <c r="F817" s="4">
        <v>45961</v>
      </c>
      <c r="G817" s="4">
        <v>45968</v>
      </c>
      <c r="H817" s="3" t="s">
        <v>22</v>
      </c>
      <c r="J817" s="4">
        <v>45995</v>
      </c>
      <c r="K817" s="3">
        <v>5</v>
      </c>
      <c r="L817" s="3">
        <v>2</v>
      </c>
      <c r="M817" s="3">
        <v>7</v>
      </c>
      <c r="N817" s="3">
        <v>5</v>
      </c>
      <c r="O817">
        <v>1</v>
      </c>
      <c r="P817">
        <f t="shared" si="36"/>
        <v>1</v>
      </c>
      <c r="Q817">
        <f t="shared" si="37"/>
        <v>1</v>
      </c>
      <c r="R817">
        <f t="shared" si="38"/>
        <v>1</v>
      </c>
      <c r="S817" s="10" t="str" cm="1">
        <f t="array" ref="S817">_xlfn.IFS(N817="", "", N817&gt;=9,"Promoter", N817&gt;=7,"Passive", N817&lt;=6,"Detractor")</f>
        <v>Detractor</v>
      </c>
    </row>
    <row r="818" spans="1:19" ht="14.25" customHeight="1">
      <c r="A818" s="3" t="s">
        <v>849</v>
      </c>
      <c r="B818" s="3" t="s">
        <v>37</v>
      </c>
      <c r="C818" s="3" t="s">
        <v>35</v>
      </c>
      <c r="D818" s="4">
        <v>45953</v>
      </c>
      <c r="E818" s="4">
        <v>45955</v>
      </c>
      <c r="F818" s="4">
        <v>45956</v>
      </c>
      <c r="G818" s="4">
        <v>45962</v>
      </c>
      <c r="H818" s="3" t="s">
        <v>28</v>
      </c>
      <c r="I818" s="3" t="s">
        <v>68</v>
      </c>
      <c r="K818" s="3">
        <v>2</v>
      </c>
      <c r="L818" s="3">
        <v>1</v>
      </c>
      <c r="M818" s="3">
        <v>6</v>
      </c>
      <c r="O818">
        <v>1</v>
      </c>
      <c r="P818">
        <f t="shared" si="36"/>
        <v>1</v>
      </c>
      <c r="Q818">
        <f t="shared" si="37"/>
        <v>1</v>
      </c>
      <c r="R818">
        <f t="shared" si="38"/>
        <v>0</v>
      </c>
      <c r="S818" s="10" t="str" cm="1">
        <f t="array" ref="S818">_xlfn.IFS(N818="", "", N818&gt;=9,"Promoter", N818&gt;=7,"Passive", N818&lt;=6,"Detractor")</f>
        <v/>
      </c>
    </row>
    <row r="819" spans="1:19" ht="14.25" customHeight="1">
      <c r="A819" s="3" t="s">
        <v>850</v>
      </c>
      <c r="B819" s="3" t="s">
        <v>24</v>
      </c>
      <c r="C819" s="3" t="s">
        <v>35</v>
      </c>
      <c r="D819" s="4">
        <v>45961</v>
      </c>
      <c r="E819" s="4">
        <v>45963</v>
      </c>
      <c r="F819" s="4">
        <v>45965</v>
      </c>
      <c r="G819" s="4">
        <v>45967</v>
      </c>
      <c r="H819" s="3" t="s">
        <v>22</v>
      </c>
      <c r="J819" s="4">
        <v>45996</v>
      </c>
      <c r="K819" s="3">
        <v>2</v>
      </c>
      <c r="L819" s="3">
        <v>2</v>
      </c>
      <c r="M819" s="3">
        <v>2</v>
      </c>
      <c r="N819" s="3">
        <v>8</v>
      </c>
      <c r="O819">
        <v>1</v>
      </c>
      <c r="P819">
        <f t="shared" si="36"/>
        <v>1</v>
      </c>
      <c r="Q819">
        <f t="shared" si="37"/>
        <v>1</v>
      </c>
      <c r="R819">
        <f t="shared" si="38"/>
        <v>1</v>
      </c>
      <c r="S819" s="10" t="str" cm="1">
        <f t="array" ref="S819">_xlfn.IFS(N819="", "", N819&gt;=9,"Promoter", N819&gt;=7,"Passive", N819&lt;=6,"Detractor")</f>
        <v>Passive</v>
      </c>
    </row>
    <row r="820" spans="1:19" ht="14.25" customHeight="1">
      <c r="A820" s="3" t="s">
        <v>851</v>
      </c>
      <c r="B820" s="3" t="s">
        <v>20</v>
      </c>
      <c r="C820" s="3" t="s">
        <v>35</v>
      </c>
      <c r="D820" s="4">
        <v>45948</v>
      </c>
      <c r="E820" s="4">
        <v>45953</v>
      </c>
      <c r="F820" s="4">
        <v>45957</v>
      </c>
      <c r="G820" s="4">
        <v>45960</v>
      </c>
      <c r="H820" s="3" t="s">
        <v>22</v>
      </c>
      <c r="J820" s="4">
        <v>45971</v>
      </c>
      <c r="K820" s="3">
        <v>5</v>
      </c>
      <c r="L820" s="3">
        <v>4</v>
      </c>
      <c r="M820" s="3">
        <v>3</v>
      </c>
      <c r="N820" s="3">
        <v>8</v>
      </c>
      <c r="O820">
        <v>1</v>
      </c>
      <c r="P820">
        <f t="shared" si="36"/>
        <v>1</v>
      </c>
      <c r="Q820">
        <f t="shared" si="37"/>
        <v>1</v>
      </c>
      <c r="R820">
        <f t="shared" si="38"/>
        <v>1</v>
      </c>
      <c r="S820" s="10" t="str" cm="1">
        <f t="array" ref="S820">_xlfn.IFS(N820="", "", N820&gt;=9,"Promoter", N820&gt;=7,"Passive", N820&lt;=6,"Detractor")</f>
        <v>Passive</v>
      </c>
    </row>
    <row r="821" spans="1:19" ht="14.25" customHeight="1">
      <c r="A821" s="3" t="s">
        <v>852</v>
      </c>
      <c r="B821" s="3" t="s">
        <v>24</v>
      </c>
      <c r="C821" s="3" t="s">
        <v>27</v>
      </c>
      <c r="D821" s="4">
        <v>45944</v>
      </c>
      <c r="H821" s="3" t="s">
        <v>28</v>
      </c>
      <c r="I821" s="3" t="s">
        <v>68</v>
      </c>
      <c r="O821">
        <v>1</v>
      </c>
      <c r="P821">
        <f t="shared" si="36"/>
        <v>0</v>
      </c>
      <c r="Q821">
        <f t="shared" si="37"/>
        <v>0</v>
      </c>
      <c r="R821">
        <f t="shared" si="38"/>
        <v>0</v>
      </c>
      <c r="S821" s="10" t="str" cm="1">
        <f t="array" ref="S821">_xlfn.IFS(N821="", "", N821&gt;=9,"Promoter", N821&gt;=7,"Passive", N821&lt;=6,"Detractor")</f>
        <v/>
      </c>
    </row>
    <row r="822" spans="1:19" ht="14.25" customHeight="1">
      <c r="A822" s="3" t="s">
        <v>853</v>
      </c>
      <c r="B822" s="3" t="s">
        <v>20</v>
      </c>
      <c r="C822" s="3" t="s">
        <v>21</v>
      </c>
      <c r="D822" s="4">
        <v>45949</v>
      </c>
      <c r="E822" s="4">
        <v>45954</v>
      </c>
      <c r="F822" s="4">
        <v>45957</v>
      </c>
      <c r="G822" s="4">
        <v>45961</v>
      </c>
      <c r="H822" s="3" t="s">
        <v>22</v>
      </c>
      <c r="J822" s="4">
        <v>45990</v>
      </c>
      <c r="K822" s="3">
        <v>5</v>
      </c>
      <c r="L822" s="3">
        <v>3</v>
      </c>
      <c r="M822" s="3">
        <v>4</v>
      </c>
      <c r="N822" s="3">
        <v>2</v>
      </c>
      <c r="O822">
        <v>1</v>
      </c>
      <c r="P822">
        <f t="shared" si="36"/>
        <v>1</v>
      </c>
      <c r="Q822">
        <f t="shared" si="37"/>
        <v>1</v>
      </c>
      <c r="R822">
        <f t="shared" si="38"/>
        <v>1</v>
      </c>
      <c r="S822" s="10" t="str" cm="1">
        <f t="array" ref="S822">_xlfn.IFS(N822="", "", N822&gt;=9,"Promoter", N822&gt;=7,"Passive", N822&lt;=6,"Detractor")</f>
        <v>Detractor</v>
      </c>
    </row>
    <row r="823" spans="1:19" ht="14.25" customHeight="1">
      <c r="A823" s="3" t="s">
        <v>854</v>
      </c>
      <c r="B823" s="3" t="s">
        <v>37</v>
      </c>
      <c r="C823" s="3" t="s">
        <v>27</v>
      </c>
      <c r="D823" s="4">
        <v>45954</v>
      </c>
      <c r="H823" s="3" t="s">
        <v>28</v>
      </c>
      <c r="I823" s="3" t="s">
        <v>38</v>
      </c>
      <c r="O823">
        <v>1</v>
      </c>
      <c r="P823">
        <f t="shared" si="36"/>
        <v>0</v>
      </c>
      <c r="Q823">
        <f t="shared" si="37"/>
        <v>0</v>
      </c>
      <c r="R823">
        <f t="shared" si="38"/>
        <v>0</v>
      </c>
      <c r="S823" s="10" t="str" cm="1">
        <f t="array" ref="S823">_xlfn.IFS(N823="", "", N823&gt;=9,"Promoter", N823&gt;=7,"Passive", N823&lt;=6,"Detractor")</f>
        <v/>
      </c>
    </row>
    <row r="824" spans="1:19" ht="14.25" customHeight="1">
      <c r="A824" s="3" t="s">
        <v>855</v>
      </c>
      <c r="B824" s="3" t="s">
        <v>26</v>
      </c>
      <c r="C824" s="3" t="s">
        <v>21</v>
      </c>
      <c r="D824" s="4">
        <v>45954</v>
      </c>
      <c r="E824" s="4">
        <v>45957</v>
      </c>
      <c r="F824" s="4">
        <v>45961</v>
      </c>
      <c r="G824" s="4">
        <v>45964</v>
      </c>
      <c r="H824" s="3" t="s">
        <v>22</v>
      </c>
      <c r="J824" s="4">
        <v>45975</v>
      </c>
      <c r="K824" s="3">
        <v>3</v>
      </c>
      <c r="L824" s="3">
        <v>4</v>
      </c>
      <c r="M824" s="3">
        <v>3</v>
      </c>
      <c r="N824" s="3">
        <v>3</v>
      </c>
      <c r="O824">
        <v>1</v>
      </c>
      <c r="P824">
        <f t="shared" si="36"/>
        <v>1</v>
      </c>
      <c r="Q824">
        <f t="shared" si="37"/>
        <v>1</v>
      </c>
      <c r="R824">
        <f t="shared" si="38"/>
        <v>1</v>
      </c>
      <c r="S824" s="10" t="str" cm="1">
        <f t="array" ref="S824">_xlfn.IFS(N824="", "", N824&gt;=9,"Promoter", N824&gt;=7,"Passive", N824&lt;=6,"Detractor")</f>
        <v>Detractor</v>
      </c>
    </row>
    <row r="825" spans="1:19" ht="14.25" customHeight="1">
      <c r="A825" s="3" t="s">
        <v>856</v>
      </c>
      <c r="B825" s="3" t="s">
        <v>37</v>
      </c>
      <c r="C825" s="3" t="s">
        <v>35</v>
      </c>
      <c r="D825" s="4">
        <v>45935</v>
      </c>
      <c r="E825" s="4">
        <v>45940</v>
      </c>
      <c r="F825" s="4">
        <v>45943</v>
      </c>
      <c r="G825" s="4">
        <v>45945</v>
      </c>
      <c r="H825" s="3" t="s">
        <v>22</v>
      </c>
      <c r="J825" s="4">
        <v>45958</v>
      </c>
      <c r="K825" s="3">
        <v>5</v>
      </c>
      <c r="L825" s="3">
        <v>3</v>
      </c>
      <c r="M825" s="3">
        <v>2</v>
      </c>
      <c r="N825" s="3">
        <v>4</v>
      </c>
      <c r="O825">
        <v>1</v>
      </c>
      <c r="P825">
        <f t="shared" si="36"/>
        <v>1</v>
      </c>
      <c r="Q825">
        <f t="shared" si="37"/>
        <v>1</v>
      </c>
      <c r="R825">
        <f t="shared" si="38"/>
        <v>1</v>
      </c>
      <c r="S825" s="10" t="str" cm="1">
        <f t="array" ref="S825">_xlfn.IFS(N825="", "", N825&gt;=9,"Promoter", N825&gt;=7,"Passive", N825&lt;=6,"Detractor")</f>
        <v>Detractor</v>
      </c>
    </row>
    <row r="826" spans="1:19" ht="14.25" customHeight="1">
      <c r="A826" s="3" t="s">
        <v>857</v>
      </c>
      <c r="B826" s="3" t="s">
        <v>24</v>
      </c>
      <c r="C826" s="3" t="s">
        <v>21</v>
      </c>
      <c r="D826" s="4">
        <v>45959</v>
      </c>
      <c r="E826" s="4">
        <v>45960</v>
      </c>
      <c r="F826" s="4">
        <v>45964</v>
      </c>
      <c r="G826" s="4">
        <v>45971</v>
      </c>
      <c r="H826" s="3" t="s">
        <v>28</v>
      </c>
      <c r="I826" s="3" t="s">
        <v>68</v>
      </c>
      <c r="K826" s="3">
        <v>1</v>
      </c>
      <c r="L826" s="3">
        <v>4</v>
      </c>
      <c r="M826" s="3">
        <v>7</v>
      </c>
      <c r="O826">
        <v>1</v>
      </c>
      <c r="P826">
        <f t="shared" si="36"/>
        <v>1</v>
      </c>
      <c r="Q826">
        <f t="shared" si="37"/>
        <v>1</v>
      </c>
      <c r="R826">
        <f t="shared" si="38"/>
        <v>0</v>
      </c>
      <c r="S826" s="10" t="str" cm="1">
        <f t="array" ref="S826">_xlfn.IFS(N826="", "", N826&gt;=9,"Promoter", N826&gt;=7,"Passive", N826&lt;=6,"Detractor")</f>
        <v/>
      </c>
    </row>
    <row r="827" spans="1:19" ht="14.25" customHeight="1">
      <c r="A827" s="3" t="s">
        <v>858</v>
      </c>
      <c r="B827" s="3" t="s">
        <v>24</v>
      </c>
      <c r="C827" s="3" t="s">
        <v>35</v>
      </c>
      <c r="D827" s="4">
        <v>45944</v>
      </c>
      <c r="E827" s="4">
        <v>45945</v>
      </c>
      <c r="F827" s="4">
        <v>45946</v>
      </c>
      <c r="G827" s="4">
        <v>45949</v>
      </c>
      <c r="H827" s="3" t="s">
        <v>22</v>
      </c>
      <c r="J827" s="4">
        <v>45979</v>
      </c>
      <c r="K827" s="3">
        <v>1</v>
      </c>
      <c r="L827" s="3">
        <v>1</v>
      </c>
      <c r="M827" s="3">
        <v>3</v>
      </c>
      <c r="N827" s="3">
        <v>3</v>
      </c>
      <c r="O827">
        <v>1</v>
      </c>
      <c r="P827">
        <f t="shared" si="36"/>
        <v>1</v>
      </c>
      <c r="Q827">
        <f t="shared" si="37"/>
        <v>1</v>
      </c>
      <c r="R827">
        <f t="shared" si="38"/>
        <v>1</v>
      </c>
      <c r="S827" s="10" t="str" cm="1">
        <f t="array" ref="S827">_xlfn.IFS(N827="", "", N827&gt;=9,"Promoter", N827&gt;=7,"Passive", N827&lt;=6,"Detractor")</f>
        <v>Detractor</v>
      </c>
    </row>
    <row r="828" spans="1:19" ht="14.25" customHeight="1">
      <c r="A828" s="3" t="s">
        <v>859</v>
      </c>
      <c r="B828" s="3" t="s">
        <v>37</v>
      </c>
      <c r="C828" s="3" t="s">
        <v>21</v>
      </c>
      <c r="D828" s="4">
        <v>45951</v>
      </c>
      <c r="E828" s="4">
        <v>45952</v>
      </c>
      <c r="F828" s="4">
        <v>45955</v>
      </c>
      <c r="G828" s="4">
        <v>45959</v>
      </c>
      <c r="H828" s="3" t="s">
        <v>22</v>
      </c>
      <c r="J828" s="4">
        <v>45969</v>
      </c>
      <c r="K828" s="3">
        <v>1</v>
      </c>
      <c r="L828" s="3">
        <v>3</v>
      </c>
      <c r="M828" s="3">
        <v>4</v>
      </c>
      <c r="N828" s="3">
        <v>6</v>
      </c>
      <c r="O828">
        <v>1</v>
      </c>
      <c r="P828">
        <f t="shared" si="36"/>
        <v>1</v>
      </c>
      <c r="Q828">
        <f t="shared" si="37"/>
        <v>1</v>
      </c>
      <c r="R828">
        <f t="shared" si="38"/>
        <v>1</v>
      </c>
      <c r="S828" s="10" t="str" cm="1">
        <f t="array" ref="S828">_xlfn.IFS(N828="", "", N828&gt;=9,"Promoter", N828&gt;=7,"Passive", N828&lt;=6,"Detractor")</f>
        <v>Detractor</v>
      </c>
    </row>
    <row r="829" spans="1:19" ht="14.25" customHeight="1">
      <c r="A829" s="3" t="s">
        <v>860</v>
      </c>
      <c r="B829" s="3" t="s">
        <v>37</v>
      </c>
      <c r="C829" s="3" t="s">
        <v>27</v>
      </c>
      <c r="D829" s="4">
        <v>45934</v>
      </c>
      <c r="H829" s="3" t="s">
        <v>28</v>
      </c>
      <c r="I829" s="3" t="s">
        <v>68</v>
      </c>
      <c r="O829">
        <v>1</v>
      </c>
      <c r="P829">
        <f t="shared" si="36"/>
        <v>0</v>
      </c>
      <c r="Q829">
        <f t="shared" si="37"/>
        <v>0</v>
      </c>
      <c r="R829">
        <f t="shared" si="38"/>
        <v>0</v>
      </c>
      <c r="S829" s="10" t="str" cm="1">
        <f t="array" ref="S829">_xlfn.IFS(N829="", "", N829&gt;=9,"Promoter", N829&gt;=7,"Passive", N829&lt;=6,"Detractor")</f>
        <v/>
      </c>
    </row>
    <row r="830" spans="1:19" ht="14.25" customHeight="1">
      <c r="A830" s="3" t="s">
        <v>861</v>
      </c>
      <c r="B830" s="3" t="s">
        <v>20</v>
      </c>
      <c r="C830" s="3" t="s">
        <v>21</v>
      </c>
      <c r="D830" s="4">
        <v>45957</v>
      </c>
      <c r="E830" s="4">
        <v>45958</v>
      </c>
      <c r="F830" s="4">
        <v>45961</v>
      </c>
      <c r="G830" s="4">
        <v>45966</v>
      </c>
      <c r="H830" s="3" t="s">
        <v>22</v>
      </c>
      <c r="J830" s="4">
        <v>45977</v>
      </c>
      <c r="K830" s="3">
        <v>1</v>
      </c>
      <c r="L830" s="3">
        <v>3</v>
      </c>
      <c r="M830" s="3">
        <v>5</v>
      </c>
      <c r="N830" s="3">
        <v>2</v>
      </c>
      <c r="O830">
        <v>1</v>
      </c>
      <c r="P830">
        <f t="shared" si="36"/>
        <v>1</v>
      </c>
      <c r="Q830">
        <f t="shared" si="37"/>
        <v>1</v>
      </c>
      <c r="R830">
        <f t="shared" si="38"/>
        <v>1</v>
      </c>
      <c r="S830" s="10" t="str" cm="1">
        <f t="array" ref="S830">_xlfn.IFS(N830="", "", N830&gt;=9,"Promoter", N830&gt;=7,"Passive", N830&lt;=6,"Detractor")</f>
        <v>Detractor</v>
      </c>
    </row>
    <row r="831" spans="1:19" ht="14.25" customHeight="1">
      <c r="A831" s="3" t="s">
        <v>862</v>
      </c>
      <c r="B831" s="3" t="s">
        <v>24</v>
      </c>
      <c r="C831" s="3" t="s">
        <v>21</v>
      </c>
      <c r="D831" s="4">
        <v>45946</v>
      </c>
      <c r="E831" s="4">
        <v>45951</v>
      </c>
      <c r="F831" s="4">
        <v>45953</v>
      </c>
      <c r="G831" s="4">
        <v>45959</v>
      </c>
      <c r="H831" s="3" t="s">
        <v>28</v>
      </c>
      <c r="I831" s="3" t="s">
        <v>31</v>
      </c>
      <c r="K831" s="3">
        <v>5</v>
      </c>
      <c r="L831" s="3">
        <v>2</v>
      </c>
      <c r="M831" s="3">
        <v>6</v>
      </c>
      <c r="O831">
        <v>1</v>
      </c>
      <c r="P831">
        <f t="shared" si="36"/>
        <v>1</v>
      </c>
      <c r="Q831">
        <f t="shared" si="37"/>
        <v>1</v>
      </c>
      <c r="R831">
        <f t="shared" si="38"/>
        <v>0</v>
      </c>
      <c r="S831" s="10" t="str" cm="1">
        <f t="array" ref="S831">_xlfn.IFS(N831="", "", N831&gt;=9,"Promoter", N831&gt;=7,"Passive", N831&lt;=6,"Detractor")</f>
        <v/>
      </c>
    </row>
    <row r="832" spans="1:19" ht="14.25" customHeight="1">
      <c r="A832" s="3" t="s">
        <v>863</v>
      </c>
      <c r="B832" s="3" t="s">
        <v>24</v>
      </c>
      <c r="C832" s="3" t="s">
        <v>35</v>
      </c>
      <c r="D832" s="4">
        <v>45950</v>
      </c>
      <c r="E832" s="4">
        <v>45953</v>
      </c>
      <c r="F832" s="4">
        <v>45957</v>
      </c>
      <c r="G832" s="4">
        <v>45959</v>
      </c>
      <c r="H832" s="3" t="s">
        <v>28</v>
      </c>
      <c r="I832" s="3" t="s">
        <v>106</v>
      </c>
      <c r="K832" s="3">
        <v>3</v>
      </c>
      <c r="L832" s="3">
        <v>4</v>
      </c>
      <c r="M832" s="3">
        <v>2</v>
      </c>
      <c r="O832">
        <v>1</v>
      </c>
      <c r="P832">
        <f t="shared" si="36"/>
        <v>1</v>
      </c>
      <c r="Q832">
        <f t="shared" si="37"/>
        <v>1</v>
      </c>
      <c r="R832">
        <f t="shared" si="38"/>
        <v>0</v>
      </c>
      <c r="S832" s="10" t="str" cm="1">
        <f t="array" ref="S832">_xlfn.IFS(N832="", "", N832&gt;=9,"Promoter", N832&gt;=7,"Passive", N832&lt;=6,"Detractor")</f>
        <v/>
      </c>
    </row>
    <row r="833" spans="1:19" ht="14.25" customHeight="1">
      <c r="A833" s="3" t="s">
        <v>864</v>
      </c>
      <c r="B833" s="3" t="s">
        <v>37</v>
      </c>
      <c r="C833" s="3" t="s">
        <v>35</v>
      </c>
      <c r="D833" s="4">
        <v>45944</v>
      </c>
      <c r="E833" s="4">
        <v>45946</v>
      </c>
      <c r="F833" s="4">
        <v>45951</v>
      </c>
      <c r="G833" s="4">
        <v>45958</v>
      </c>
      <c r="H833" s="3" t="s">
        <v>22</v>
      </c>
      <c r="J833" s="4">
        <v>45971</v>
      </c>
      <c r="K833" s="3">
        <v>2</v>
      </c>
      <c r="L833" s="3">
        <v>5</v>
      </c>
      <c r="M833" s="3">
        <v>7</v>
      </c>
      <c r="N833" s="3">
        <v>9</v>
      </c>
      <c r="O833">
        <v>1</v>
      </c>
      <c r="P833">
        <f t="shared" si="36"/>
        <v>1</v>
      </c>
      <c r="Q833">
        <f t="shared" si="37"/>
        <v>1</v>
      </c>
      <c r="R833">
        <f t="shared" si="38"/>
        <v>1</v>
      </c>
      <c r="S833" s="10" t="str" cm="1">
        <f t="array" ref="S833">_xlfn.IFS(N833="", "", N833&gt;=9,"Promoter", N833&gt;=7,"Passive", N833&lt;=6,"Detractor")</f>
        <v>Promoter</v>
      </c>
    </row>
    <row r="834" spans="1:19" ht="14.25" customHeight="1">
      <c r="A834" s="3" t="s">
        <v>865</v>
      </c>
      <c r="B834" s="3" t="s">
        <v>26</v>
      </c>
      <c r="C834" s="3" t="s">
        <v>35</v>
      </c>
      <c r="D834" s="4">
        <v>45961</v>
      </c>
      <c r="E834" s="4">
        <v>45966</v>
      </c>
      <c r="F834" s="4">
        <v>45971</v>
      </c>
      <c r="G834" s="4">
        <v>45975</v>
      </c>
      <c r="H834" s="3" t="s">
        <v>22</v>
      </c>
      <c r="J834" s="4">
        <v>45998</v>
      </c>
      <c r="K834" s="3">
        <v>5</v>
      </c>
      <c r="L834" s="3">
        <v>5</v>
      </c>
      <c r="M834" s="3">
        <v>4</v>
      </c>
      <c r="N834" s="3">
        <v>9</v>
      </c>
      <c r="O834">
        <v>1</v>
      </c>
      <c r="P834">
        <f t="shared" si="36"/>
        <v>1</v>
      </c>
      <c r="Q834">
        <f t="shared" si="37"/>
        <v>1</v>
      </c>
      <c r="R834">
        <f t="shared" si="38"/>
        <v>1</v>
      </c>
      <c r="S834" s="10" t="str" cm="1">
        <f t="array" ref="S834">_xlfn.IFS(N834="", "", N834&gt;=9,"Promoter", N834&gt;=7,"Passive", N834&lt;=6,"Detractor")</f>
        <v>Promoter</v>
      </c>
    </row>
    <row r="835" spans="1:19" ht="14.25" customHeight="1">
      <c r="A835" s="3" t="s">
        <v>866</v>
      </c>
      <c r="B835" s="3" t="s">
        <v>24</v>
      </c>
      <c r="C835" s="3" t="s">
        <v>21</v>
      </c>
      <c r="D835" s="4">
        <v>45961</v>
      </c>
      <c r="E835" s="4">
        <v>45965</v>
      </c>
      <c r="F835" s="4">
        <v>45967</v>
      </c>
      <c r="G835" s="4">
        <v>45971</v>
      </c>
      <c r="H835" s="3" t="s">
        <v>22</v>
      </c>
      <c r="J835" s="4">
        <v>45995</v>
      </c>
      <c r="K835" s="3">
        <v>4</v>
      </c>
      <c r="L835" s="3">
        <v>2</v>
      </c>
      <c r="M835" s="3">
        <v>4</v>
      </c>
      <c r="N835" s="3">
        <v>6</v>
      </c>
      <c r="O835">
        <v>1</v>
      </c>
      <c r="P835">
        <f t="shared" ref="P835:P898" si="39">IF(E835&lt;&gt;"", 1, 0)</f>
        <v>1</v>
      </c>
      <c r="Q835">
        <f t="shared" ref="Q835:Q898" si="40">IF(G835&lt;&gt;"",1,0)</f>
        <v>1</v>
      </c>
      <c r="R835">
        <f t="shared" ref="R835:R898" si="41">IF(AND(G835&lt;&gt;"", H835="No"), 1, 0)</f>
        <v>1</v>
      </c>
      <c r="S835" s="10" t="str" cm="1">
        <f t="array" ref="S835">_xlfn.IFS(N835="", "", N835&gt;=9,"Promoter", N835&gt;=7,"Passive", N835&lt;=6,"Detractor")</f>
        <v>Detractor</v>
      </c>
    </row>
    <row r="836" spans="1:19" ht="14.25" customHeight="1">
      <c r="A836" s="3" t="s">
        <v>867</v>
      </c>
      <c r="B836" s="3" t="s">
        <v>26</v>
      </c>
      <c r="C836" s="3" t="s">
        <v>35</v>
      </c>
      <c r="D836" s="4">
        <v>45939</v>
      </c>
      <c r="E836" s="4">
        <v>45944</v>
      </c>
      <c r="F836" s="4">
        <v>45948</v>
      </c>
      <c r="G836" s="4">
        <v>45951</v>
      </c>
      <c r="H836" s="3" t="s">
        <v>22</v>
      </c>
      <c r="J836" s="4">
        <v>45973</v>
      </c>
      <c r="K836" s="3">
        <v>5</v>
      </c>
      <c r="L836" s="3">
        <v>4</v>
      </c>
      <c r="M836" s="3">
        <v>3</v>
      </c>
      <c r="N836" s="3">
        <v>8</v>
      </c>
      <c r="O836">
        <v>1</v>
      </c>
      <c r="P836">
        <f t="shared" si="39"/>
        <v>1</v>
      </c>
      <c r="Q836">
        <f t="shared" si="40"/>
        <v>1</v>
      </c>
      <c r="R836">
        <f t="shared" si="41"/>
        <v>1</v>
      </c>
      <c r="S836" s="10" t="str" cm="1">
        <f t="array" ref="S836">_xlfn.IFS(N836="", "", N836&gt;=9,"Promoter", N836&gt;=7,"Passive", N836&lt;=6,"Detractor")</f>
        <v>Passive</v>
      </c>
    </row>
    <row r="837" spans="1:19" ht="14.25" customHeight="1">
      <c r="A837" s="3" t="s">
        <v>868</v>
      </c>
      <c r="B837" s="3" t="s">
        <v>37</v>
      </c>
      <c r="C837" s="3" t="s">
        <v>21</v>
      </c>
      <c r="D837" s="4">
        <v>45932</v>
      </c>
      <c r="E837" s="4">
        <v>45933</v>
      </c>
      <c r="F837" s="4">
        <v>45934</v>
      </c>
      <c r="G837" s="4">
        <v>45936</v>
      </c>
      <c r="H837" s="3" t="s">
        <v>28</v>
      </c>
      <c r="I837" s="3" t="s">
        <v>38</v>
      </c>
      <c r="K837" s="3">
        <v>1</v>
      </c>
      <c r="L837" s="3">
        <v>1</v>
      </c>
      <c r="M837" s="3">
        <v>2</v>
      </c>
      <c r="O837">
        <v>1</v>
      </c>
      <c r="P837">
        <f t="shared" si="39"/>
        <v>1</v>
      </c>
      <c r="Q837">
        <f t="shared" si="40"/>
        <v>1</v>
      </c>
      <c r="R837">
        <f t="shared" si="41"/>
        <v>0</v>
      </c>
      <c r="S837" s="10" t="str" cm="1">
        <f t="array" ref="S837">_xlfn.IFS(N837="", "", N837&gt;=9,"Promoter", N837&gt;=7,"Passive", N837&lt;=6,"Detractor")</f>
        <v/>
      </c>
    </row>
    <row r="838" spans="1:19" ht="14.25" customHeight="1">
      <c r="A838" s="3" t="s">
        <v>869</v>
      </c>
      <c r="B838" s="3" t="s">
        <v>37</v>
      </c>
      <c r="C838" s="3" t="s">
        <v>21</v>
      </c>
      <c r="D838" s="4">
        <v>45953</v>
      </c>
      <c r="E838" s="4">
        <v>45957</v>
      </c>
      <c r="F838" s="4">
        <v>45959</v>
      </c>
      <c r="G838" s="4">
        <v>45964</v>
      </c>
      <c r="H838" s="3" t="s">
        <v>22</v>
      </c>
      <c r="J838" s="4">
        <v>45977</v>
      </c>
      <c r="K838" s="3">
        <v>4</v>
      </c>
      <c r="L838" s="3">
        <v>2</v>
      </c>
      <c r="M838" s="3">
        <v>5</v>
      </c>
      <c r="N838" s="3">
        <v>2</v>
      </c>
      <c r="O838">
        <v>1</v>
      </c>
      <c r="P838">
        <f t="shared" si="39"/>
        <v>1</v>
      </c>
      <c r="Q838">
        <f t="shared" si="40"/>
        <v>1</v>
      </c>
      <c r="R838">
        <f t="shared" si="41"/>
        <v>1</v>
      </c>
      <c r="S838" s="10" t="str" cm="1">
        <f t="array" ref="S838">_xlfn.IFS(N838="", "", N838&gt;=9,"Promoter", N838&gt;=7,"Passive", N838&lt;=6,"Detractor")</f>
        <v>Detractor</v>
      </c>
    </row>
    <row r="839" spans="1:19" ht="14.25" customHeight="1">
      <c r="A839" s="3" t="s">
        <v>870</v>
      </c>
      <c r="B839" s="3" t="s">
        <v>20</v>
      </c>
      <c r="C839" s="3" t="s">
        <v>21</v>
      </c>
      <c r="D839" s="4">
        <v>45942</v>
      </c>
      <c r="E839" s="4">
        <v>45947</v>
      </c>
      <c r="F839" s="4">
        <v>45950</v>
      </c>
      <c r="G839" s="4">
        <v>45955</v>
      </c>
      <c r="H839" s="3" t="s">
        <v>22</v>
      </c>
      <c r="J839" s="4">
        <v>45982</v>
      </c>
      <c r="K839" s="3">
        <v>5</v>
      </c>
      <c r="L839" s="3">
        <v>3</v>
      </c>
      <c r="M839" s="3">
        <v>5</v>
      </c>
      <c r="N839" s="3">
        <v>6</v>
      </c>
      <c r="O839">
        <v>1</v>
      </c>
      <c r="P839">
        <f t="shared" si="39"/>
        <v>1</v>
      </c>
      <c r="Q839">
        <f t="shared" si="40"/>
        <v>1</v>
      </c>
      <c r="R839">
        <f t="shared" si="41"/>
        <v>1</v>
      </c>
      <c r="S839" s="10" t="str" cm="1">
        <f t="array" ref="S839">_xlfn.IFS(N839="", "", N839&gt;=9,"Promoter", N839&gt;=7,"Passive", N839&lt;=6,"Detractor")</f>
        <v>Detractor</v>
      </c>
    </row>
    <row r="840" spans="1:19" ht="14.25" customHeight="1">
      <c r="A840" s="3" t="s">
        <v>871</v>
      </c>
      <c r="B840" s="3" t="s">
        <v>24</v>
      </c>
      <c r="C840" s="3" t="s">
        <v>35</v>
      </c>
      <c r="D840" s="4">
        <v>45937</v>
      </c>
      <c r="E840" s="4">
        <v>45940</v>
      </c>
      <c r="F840" s="4">
        <v>45941</v>
      </c>
      <c r="G840" s="4">
        <v>45947</v>
      </c>
      <c r="H840" s="3" t="s">
        <v>22</v>
      </c>
      <c r="J840" s="4">
        <v>45965</v>
      </c>
      <c r="K840" s="3">
        <v>3</v>
      </c>
      <c r="L840" s="3">
        <v>1</v>
      </c>
      <c r="M840" s="3">
        <v>6</v>
      </c>
      <c r="N840" s="3">
        <v>6</v>
      </c>
      <c r="O840">
        <v>1</v>
      </c>
      <c r="P840">
        <f t="shared" si="39"/>
        <v>1</v>
      </c>
      <c r="Q840">
        <f t="shared" si="40"/>
        <v>1</v>
      </c>
      <c r="R840">
        <f t="shared" si="41"/>
        <v>1</v>
      </c>
      <c r="S840" s="10" t="str" cm="1">
        <f t="array" ref="S840">_xlfn.IFS(N840="", "", N840&gt;=9,"Promoter", N840&gt;=7,"Passive", N840&lt;=6,"Detractor")</f>
        <v>Detractor</v>
      </c>
    </row>
    <row r="841" spans="1:19" ht="14.25" customHeight="1">
      <c r="A841" s="3" t="s">
        <v>872</v>
      </c>
      <c r="B841" s="3" t="s">
        <v>26</v>
      </c>
      <c r="C841" s="3" t="s">
        <v>35</v>
      </c>
      <c r="D841" s="4">
        <v>45945</v>
      </c>
      <c r="E841" s="4">
        <v>45948</v>
      </c>
      <c r="F841" s="4">
        <v>45952</v>
      </c>
      <c r="G841" s="4">
        <v>45959</v>
      </c>
      <c r="H841" s="3" t="s">
        <v>22</v>
      </c>
      <c r="J841" s="4">
        <v>45984</v>
      </c>
      <c r="K841" s="3">
        <v>3</v>
      </c>
      <c r="L841" s="3">
        <v>4</v>
      </c>
      <c r="M841" s="3">
        <v>7</v>
      </c>
      <c r="N841" s="3">
        <v>9</v>
      </c>
      <c r="O841">
        <v>1</v>
      </c>
      <c r="P841">
        <f t="shared" si="39"/>
        <v>1</v>
      </c>
      <c r="Q841">
        <f t="shared" si="40"/>
        <v>1</v>
      </c>
      <c r="R841">
        <f t="shared" si="41"/>
        <v>1</v>
      </c>
      <c r="S841" s="10" t="str" cm="1">
        <f t="array" ref="S841">_xlfn.IFS(N841="", "", N841&gt;=9,"Promoter", N841&gt;=7,"Passive", N841&lt;=6,"Detractor")</f>
        <v>Promoter</v>
      </c>
    </row>
    <row r="842" spans="1:19" ht="14.25" customHeight="1">
      <c r="A842" s="3" t="s">
        <v>873</v>
      </c>
      <c r="B842" s="3" t="s">
        <v>20</v>
      </c>
      <c r="C842" s="3" t="s">
        <v>27</v>
      </c>
      <c r="D842" s="4">
        <v>45945</v>
      </c>
      <c r="H842" s="3" t="s">
        <v>28</v>
      </c>
      <c r="I842" s="3" t="s">
        <v>38</v>
      </c>
      <c r="O842">
        <v>1</v>
      </c>
      <c r="P842">
        <f t="shared" si="39"/>
        <v>0</v>
      </c>
      <c r="Q842">
        <f t="shared" si="40"/>
        <v>0</v>
      </c>
      <c r="R842">
        <f t="shared" si="41"/>
        <v>0</v>
      </c>
      <c r="S842" s="10" t="str" cm="1">
        <f t="array" ref="S842">_xlfn.IFS(N842="", "", N842&gt;=9,"Promoter", N842&gt;=7,"Passive", N842&lt;=6,"Detractor")</f>
        <v/>
      </c>
    </row>
    <row r="843" spans="1:19" ht="14.25" customHeight="1">
      <c r="A843" s="3" t="s">
        <v>874</v>
      </c>
      <c r="B843" s="3" t="s">
        <v>24</v>
      </c>
      <c r="C843" s="3" t="s">
        <v>21</v>
      </c>
      <c r="D843" s="4">
        <v>45961</v>
      </c>
      <c r="E843" s="4">
        <v>45965</v>
      </c>
      <c r="F843" s="4">
        <v>45968</v>
      </c>
      <c r="G843" s="4">
        <v>45974</v>
      </c>
      <c r="H843" s="3" t="s">
        <v>22</v>
      </c>
      <c r="J843" s="4">
        <v>45988</v>
      </c>
      <c r="K843" s="3">
        <v>4</v>
      </c>
      <c r="L843" s="3">
        <v>3</v>
      </c>
      <c r="M843" s="3">
        <v>6</v>
      </c>
      <c r="N843" s="3">
        <v>9</v>
      </c>
      <c r="O843">
        <v>1</v>
      </c>
      <c r="P843">
        <f t="shared" si="39"/>
        <v>1</v>
      </c>
      <c r="Q843">
        <f t="shared" si="40"/>
        <v>1</v>
      </c>
      <c r="R843">
        <f t="shared" si="41"/>
        <v>1</v>
      </c>
      <c r="S843" s="10" t="str" cm="1">
        <f t="array" ref="S843">_xlfn.IFS(N843="", "", N843&gt;=9,"Promoter", N843&gt;=7,"Passive", N843&lt;=6,"Detractor")</f>
        <v>Promoter</v>
      </c>
    </row>
    <row r="844" spans="1:19" ht="14.25" customHeight="1">
      <c r="A844" s="3" t="s">
        <v>875</v>
      </c>
      <c r="B844" s="3" t="s">
        <v>20</v>
      </c>
      <c r="C844" s="3" t="s">
        <v>21</v>
      </c>
      <c r="D844" s="4">
        <v>45938</v>
      </c>
      <c r="E844" s="4">
        <v>45940</v>
      </c>
      <c r="F844" s="4">
        <v>45945</v>
      </c>
      <c r="G844" s="4">
        <v>45948</v>
      </c>
      <c r="H844" s="3" t="s">
        <v>22</v>
      </c>
      <c r="J844" s="4">
        <v>45964</v>
      </c>
      <c r="K844" s="3">
        <v>2</v>
      </c>
      <c r="L844" s="3">
        <v>5</v>
      </c>
      <c r="M844" s="3">
        <v>3</v>
      </c>
      <c r="N844" s="3">
        <v>0</v>
      </c>
      <c r="O844">
        <v>1</v>
      </c>
      <c r="P844">
        <f t="shared" si="39"/>
        <v>1</v>
      </c>
      <c r="Q844">
        <f t="shared" si="40"/>
        <v>1</v>
      </c>
      <c r="R844">
        <f t="shared" si="41"/>
        <v>1</v>
      </c>
      <c r="S844" s="10" t="str" cm="1">
        <f t="array" ref="S844">_xlfn.IFS(N844="", "", N844&gt;=9,"Promoter", N844&gt;=7,"Passive", N844&lt;=6,"Detractor")</f>
        <v>Detractor</v>
      </c>
    </row>
    <row r="845" spans="1:19" ht="14.25" customHeight="1">
      <c r="A845" s="3" t="s">
        <v>876</v>
      </c>
      <c r="B845" s="3" t="s">
        <v>37</v>
      </c>
      <c r="C845" s="3" t="s">
        <v>35</v>
      </c>
      <c r="D845" s="4">
        <v>45958</v>
      </c>
      <c r="E845" s="4">
        <v>45962</v>
      </c>
      <c r="F845" s="4">
        <v>45966</v>
      </c>
      <c r="G845" s="4">
        <v>45968</v>
      </c>
      <c r="H845" s="3" t="s">
        <v>28</v>
      </c>
      <c r="I845" s="3" t="s">
        <v>38</v>
      </c>
      <c r="K845" s="3">
        <v>4</v>
      </c>
      <c r="L845" s="3">
        <v>4</v>
      </c>
      <c r="M845" s="3">
        <v>2</v>
      </c>
      <c r="O845">
        <v>1</v>
      </c>
      <c r="P845">
        <f t="shared" si="39"/>
        <v>1</v>
      </c>
      <c r="Q845">
        <f t="shared" si="40"/>
        <v>1</v>
      </c>
      <c r="R845">
        <f t="shared" si="41"/>
        <v>0</v>
      </c>
      <c r="S845" s="10" t="str" cm="1">
        <f t="array" ref="S845">_xlfn.IFS(N845="", "", N845&gt;=9,"Promoter", N845&gt;=7,"Passive", N845&lt;=6,"Detractor")</f>
        <v/>
      </c>
    </row>
    <row r="846" spans="1:19" ht="14.25" customHeight="1">
      <c r="A846" s="3" t="s">
        <v>877</v>
      </c>
      <c r="B846" s="3" t="s">
        <v>24</v>
      </c>
      <c r="C846" s="3" t="s">
        <v>27</v>
      </c>
      <c r="D846" s="4">
        <v>45942</v>
      </c>
      <c r="H846" s="3" t="s">
        <v>28</v>
      </c>
      <c r="I846" s="3" t="s">
        <v>31</v>
      </c>
      <c r="O846">
        <v>1</v>
      </c>
      <c r="P846">
        <f t="shared" si="39"/>
        <v>0</v>
      </c>
      <c r="Q846">
        <f t="shared" si="40"/>
        <v>0</v>
      </c>
      <c r="R846">
        <f t="shared" si="41"/>
        <v>0</v>
      </c>
      <c r="S846" s="10" t="str" cm="1">
        <f t="array" ref="S846">_xlfn.IFS(N846="", "", N846&gt;=9,"Promoter", N846&gt;=7,"Passive", N846&lt;=6,"Detractor")</f>
        <v/>
      </c>
    </row>
    <row r="847" spans="1:19" ht="14.25" customHeight="1">
      <c r="A847" s="3" t="s">
        <v>878</v>
      </c>
      <c r="B847" s="3" t="s">
        <v>20</v>
      </c>
      <c r="C847" s="3" t="s">
        <v>21</v>
      </c>
      <c r="D847" s="4">
        <v>45934</v>
      </c>
      <c r="E847" s="4">
        <v>45937</v>
      </c>
      <c r="F847" s="4">
        <v>45940</v>
      </c>
      <c r="G847" s="4">
        <v>45945</v>
      </c>
      <c r="H847" s="3" t="s">
        <v>22</v>
      </c>
      <c r="J847" s="4">
        <v>45975</v>
      </c>
      <c r="K847" s="3">
        <v>3</v>
      </c>
      <c r="L847" s="3">
        <v>3</v>
      </c>
      <c r="M847" s="3">
        <v>5</v>
      </c>
      <c r="N847" s="3">
        <v>7</v>
      </c>
      <c r="O847">
        <v>1</v>
      </c>
      <c r="P847">
        <f t="shared" si="39"/>
        <v>1</v>
      </c>
      <c r="Q847">
        <f t="shared" si="40"/>
        <v>1</v>
      </c>
      <c r="R847">
        <f t="shared" si="41"/>
        <v>1</v>
      </c>
      <c r="S847" s="10" t="str" cm="1">
        <f t="array" ref="S847">_xlfn.IFS(N847="", "", N847&gt;=9,"Promoter", N847&gt;=7,"Passive", N847&lt;=6,"Detractor")</f>
        <v>Passive</v>
      </c>
    </row>
    <row r="848" spans="1:19" ht="14.25" customHeight="1">
      <c r="A848" s="3" t="s">
        <v>879</v>
      </c>
      <c r="B848" s="3" t="s">
        <v>20</v>
      </c>
      <c r="C848" s="3" t="s">
        <v>21</v>
      </c>
      <c r="D848" s="4">
        <v>45952</v>
      </c>
      <c r="E848" s="4">
        <v>45956</v>
      </c>
      <c r="F848" s="4">
        <v>45960</v>
      </c>
      <c r="G848" s="4">
        <v>45962</v>
      </c>
      <c r="H848" s="3" t="s">
        <v>22</v>
      </c>
      <c r="J848" s="4">
        <v>45972</v>
      </c>
      <c r="K848" s="3">
        <v>4</v>
      </c>
      <c r="L848" s="3">
        <v>4</v>
      </c>
      <c r="M848" s="3">
        <v>2</v>
      </c>
      <c r="N848" s="3">
        <v>3</v>
      </c>
      <c r="O848">
        <v>1</v>
      </c>
      <c r="P848">
        <f t="shared" si="39"/>
        <v>1</v>
      </c>
      <c r="Q848">
        <f t="shared" si="40"/>
        <v>1</v>
      </c>
      <c r="R848">
        <f t="shared" si="41"/>
        <v>1</v>
      </c>
      <c r="S848" s="10" t="str" cm="1">
        <f t="array" ref="S848">_xlfn.IFS(N848="", "", N848&gt;=9,"Promoter", N848&gt;=7,"Passive", N848&lt;=6,"Detractor")</f>
        <v>Detractor</v>
      </c>
    </row>
    <row r="849" spans="1:19" ht="14.25" customHeight="1">
      <c r="A849" s="3" t="s">
        <v>880</v>
      </c>
      <c r="B849" s="3" t="s">
        <v>26</v>
      </c>
      <c r="C849" s="3" t="s">
        <v>27</v>
      </c>
      <c r="D849" s="4">
        <v>45942</v>
      </c>
      <c r="H849" s="3" t="s">
        <v>28</v>
      </c>
      <c r="I849" s="3" t="s">
        <v>68</v>
      </c>
      <c r="O849">
        <v>1</v>
      </c>
      <c r="P849">
        <f t="shared" si="39"/>
        <v>0</v>
      </c>
      <c r="Q849">
        <f t="shared" si="40"/>
        <v>0</v>
      </c>
      <c r="R849">
        <f t="shared" si="41"/>
        <v>0</v>
      </c>
      <c r="S849" s="10" t="str" cm="1">
        <f t="array" ref="S849">_xlfn.IFS(N849="", "", N849&gt;=9,"Promoter", N849&gt;=7,"Passive", N849&lt;=6,"Detractor")</f>
        <v/>
      </c>
    </row>
    <row r="850" spans="1:19" ht="14.25" customHeight="1">
      <c r="A850" s="3" t="s">
        <v>881</v>
      </c>
      <c r="B850" s="3" t="s">
        <v>20</v>
      </c>
      <c r="C850" s="3" t="s">
        <v>35</v>
      </c>
      <c r="D850" s="4">
        <v>45948</v>
      </c>
      <c r="E850" s="4">
        <v>45949</v>
      </c>
      <c r="F850" s="4">
        <v>45952</v>
      </c>
      <c r="G850" s="4">
        <v>45955</v>
      </c>
      <c r="H850" s="3" t="s">
        <v>22</v>
      </c>
      <c r="J850" s="4">
        <v>45974</v>
      </c>
      <c r="K850" s="3">
        <v>1</v>
      </c>
      <c r="L850" s="3">
        <v>3</v>
      </c>
      <c r="M850" s="3">
        <v>3</v>
      </c>
      <c r="N850" s="3">
        <v>5</v>
      </c>
      <c r="O850">
        <v>1</v>
      </c>
      <c r="P850">
        <f t="shared" si="39"/>
        <v>1</v>
      </c>
      <c r="Q850">
        <f t="shared" si="40"/>
        <v>1</v>
      </c>
      <c r="R850">
        <f t="shared" si="41"/>
        <v>1</v>
      </c>
      <c r="S850" s="10" t="str" cm="1">
        <f t="array" ref="S850">_xlfn.IFS(N850="", "", N850&gt;=9,"Promoter", N850&gt;=7,"Passive", N850&lt;=6,"Detractor")</f>
        <v>Detractor</v>
      </c>
    </row>
    <row r="851" spans="1:19" ht="14.25" customHeight="1">
      <c r="A851" s="3" t="s">
        <v>882</v>
      </c>
      <c r="B851" s="3" t="s">
        <v>24</v>
      </c>
      <c r="C851" s="3" t="s">
        <v>21</v>
      </c>
      <c r="D851" s="4">
        <v>45959</v>
      </c>
      <c r="E851" s="4">
        <v>45960</v>
      </c>
      <c r="F851" s="4">
        <v>45964</v>
      </c>
      <c r="G851" s="4">
        <v>45966</v>
      </c>
      <c r="H851" s="3" t="s">
        <v>22</v>
      </c>
      <c r="J851" s="4">
        <v>45989</v>
      </c>
      <c r="K851" s="3">
        <v>1</v>
      </c>
      <c r="L851" s="3">
        <v>4</v>
      </c>
      <c r="M851" s="3">
        <v>2</v>
      </c>
      <c r="N851" s="3">
        <v>6</v>
      </c>
      <c r="O851">
        <v>1</v>
      </c>
      <c r="P851">
        <f t="shared" si="39"/>
        <v>1</v>
      </c>
      <c r="Q851">
        <f t="shared" si="40"/>
        <v>1</v>
      </c>
      <c r="R851">
        <f t="shared" si="41"/>
        <v>1</v>
      </c>
      <c r="S851" s="10" t="str" cm="1">
        <f t="array" ref="S851">_xlfn.IFS(N851="", "", N851&gt;=9,"Promoter", N851&gt;=7,"Passive", N851&lt;=6,"Detractor")</f>
        <v>Detractor</v>
      </c>
    </row>
    <row r="852" spans="1:19" ht="14.25" customHeight="1">
      <c r="A852" s="3" t="s">
        <v>883</v>
      </c>
      <c r="B852" s="3" t="s">
        <v>24</v>
      </c>
      <c r="C852" s="3" t="s">
        <v>21</v>
      </c>
      <c r="D852" s="4">
        <v>45951</v>
      </c>
      <c r="E852" s="4">
        <v>45953</v>
      </c>
      <c r="F852" s="4">
        <v>45958</v>
      </c>
      <c r="G852" s="4">
        <v>45960</v>
      </c>
      <c r="H852" s="3" t="s">
        <v>22</v>
      </c>
      <c r="J852" s="4">
        <v>45973</v>
      </c>
      <c r="K852" s="3">
        <v>2</v>
      </c>
      <c r="L852" s="3">
        <v>5</v>
      </c>
      <c r="M852" s="3">
        <v>2</v>
      </c>
      <c r="N852" s="3">
        <v>4</v>
      </c>
      <c r="O852">
        <v>1</v>
      </c>
      <c r="P852">
        <f t="shared" si="39"/>
        <v>1</v>
      </c>
      <c r="Q852">
        <f t="shared" si="40"/>
        <v>1</v>
      </c>
      <c r="R852">
        <f t="shared" si="41"/>
        <v>1</v>
      </c>
      <c r="S852" s="10" t="str" cm="1">
        <f t="array" ref="S852">_xlfn.IFS(N852="", "", N852&gt;=9,"Promoter", N852&gt;=7,"Passive", N852&lt;=6,"Detractor")</f>
        <v>Detractor</v>
      </c>
    </row>
    <row r="853" spans="1:19" ht="14.25" customHeight="1">
      <c r="A853" s="3" t="s">
        <v>884</v>
      </c>
      <c r="B853" s="3" t="s">
        <v>26</v>
      </c>
      <c r="C853" s="3" t="s">
        <v>35</v>
      </c>
      <c r="D853" s="4">
        <v>45942</v>
      </c>
      <c r="E853" s="4">
        <v>45946</v>
      </c>
      <c r="F853" s="4">
        <v>45948</v>
      </c>
      <c r="G853" s="4">
        <v>45950</v>
      </c>
      <c r="H853" s="3" t="s">
        <v>22</v>
      </c>
      <c r="J853" s="4">
        <v>45976</v>
      </c>
      <c r="K853" s="3">
        <v>4</v>
      </c>
      <c r="L853" s="3">
        <v>2</v>
      </c>
      <c r="M853" s="3">
        <v>2</v>
      </c>
      <c r="N853" s="3">
        <v>9</v>
      </c>
      <c r="O853">
        <v>1</v>
      </c>
      <c r="P853">
        <f t="shared" si="39"/>
        <v>1</v>
      </c>
      <c r="Q853">
        <f t="shared" si="40"/>
        <v>1</v>
      </c>
      <c r="R853">
        <f t="shared" si="41"/>
        <v>1</v>
      </c>
      <c r="S853" s="10" t="str" cm="1">
        <f t="array" ref="S853">_xlfn.IFS(N853="", "", N853&gt;=9,"Promoter", N853&gt;=7,"Passive", N853&lt;=6,"Detractor")</f>
        <v>Promoter</v>
      </c>
    </row>
    <row r="854" spans="1:19" ht="14.25" customHeight="1">
      <c r="A854" s="3" t="s">
        <v>885</v>
      </c>
      <c r="B854" s="3" t="s">
        <v>24</v>
      </c>
      <c r="C854" s="3" t="s">
        <v>27</v>
      </c>
      <c r="D854" s="4">
        <v>45932</v>
      </c>
      <c r="H854" s="3" t="s">
        <v>28</v>
      </c>
      <c r="I854" s="3" t="s">
        <v>106</v>
      </c>
      <c r="O854">
        <v>1</v>
      </c>
      <c r="P854">
        <f t="shared" si="39"/>
        <v>0</v>
      </c>
      <c r="Q854">
        <f t="shared" si="40"/>
        <v>0</v>
      </c>
      <c r="R854">
        <f t="shared" si="41"/>
        <v>0</v>
      </c>
      <c r="S854" s="10" t="str" cm="1">
        <f t="array" ref="S854">_xlfn.IFS(N854="", "", N854&gt;=9,"Promoter", N854&gt;=7,"Passive", N854&lt;=6,"Detractor")</f>
        <v/>
      </c>
    </row>
    <row r="855" spans="1:19" ht="14.25" customHeight="1">
      <c r="A855" s="3" t="s">
        <v>886</v>
      </c>
      <c r="B855" s="3" t="s">
        <v>37</v>
      </c>
      <c r="C855" s="3" t="s">
        <v>21</v>
      </c>
      <c r="D855" s="4">
        <v>45943</v>
      </c>
      <c r="E855" s="4">
        <v>45947</v>
      </c>
      <c r="F855" s="4">
        <v>45950</v>
      </c>
      <c r="G855" s="4">
        <v>45953</v>
      </c>
      <c r="H855" s="3" t="s">
        <v>28</v>
      </c>
      <c r="I855" s="3" t="s">
        <v>29</v>
      </c>
      <c r="K855" s="3">
        <v>4</v>
      </c>
      <c r="L855" s="3">
        <v>3</v>
      </c>
      <c r="M855" s="3">
        <v>3</v>
      </c>
      <c r="O855">
        <v>1</v>
      </c>
      <c r="P855">
        <f t="shared" si="39"/>
        <v>1</v>
      </c>
      <c r="Q855">
        <f t="shared" si="40"/>
        <v>1</v>
      </c>
      <c r="R855">
        <f t="shared" si="41"/>
        <v>0</v>
      </c>
      <c r="S855" s="10" t="str" cm="1">
        <f t="array" ref="S855">_xlfn.IFS(N855="", "", N855&gt;=9,"Promoter", N855&gt;=7,"Passive", N855&lt;=6,"Detractor")</f>
        <v/>
      </c>
    </row>
    <row r="856" spans="1:19" ht="14.25" customHeight="1">
      <c r="A856" s="3" t="s">
        <v>887</v>
      </c>
      <c r="B856" s="3" t="s">
        <v>24</v>
      </c>
      <c r="C856" s="3" t="s">
        <v>21</v>
      </c>
      <c r="D856" s="4">
        <v>45939</v>
      </c>
      <c r="E856" s="4">
        <v>45943</v>
      </c>
      <c r="F856" s="4">
        <v>45946</v>
      </c>
      <c r="G856" s="4">
        <v>45949</v>
      </c>
      <c r="H856" s="3" t="s">
        <v>22</v>
      </c>
      <c r="J856" s="4">
        <v>45967</v>
      </c>
      <c r="K856" s="3">
        <v>4</v>
      </c>
      <c r="L856" s="3">
        <v>3</v>
      </c>
      <c r="M856" s="3">
        <v>3</v>
      </c>
      <c r="N856" s="3">
        <v>2</v>
      </c>
      <c r="O856">
        <v>1</v>
      </c>
      <c r="P856">
        <f t="shared" si="39"/>
        <v>1</v>
      </c>
      <c r="Q856">
        <f t="shared" si="40"/>
        <v>1</v>
      </c>
      <c r="R856">
        <f t="shared" si="41"/>
        <v>1</v>
      </c>
      <c r="S856" s="10" t="str" cm="1">
        <f t="array" ref="S856">_xlfn.IFS(N856="", "", N856&gt;=9,"Promoter", N856&gt;=7,"Passive", N856&lt;=6,"Detractor")</f>
        <v>Detractor</v>
      </c>
    </row>
    <row r="857" spans="1:19" ht="14.25" customHeight="1">
      <c r="A857" s="3" t="s">
        <v>888</v>
      </c>
      <c r="B857" s="3" t="s">
        <v>24</v>
      </c>
      <c r="C857" s="3" t="s">
        <v>35</v>
      </c>
      <c r="D857" s="4">
        <v>45937</v>
      </c>
      <c r="E857" s="4">
        <v>45941</v>
      </c>
      <c r="F857" s="4">
        <v>45946</v>
      </c>
      <c r="G857" s="4">
        <v>45949</v>
      </c>
      <c r="H857" s="3" t="s">
        <v>22</v>
      </c>
      <c r="J857" s="4">
        <v>45978</v>
      </c>
      <c r="K857" s="3">
        <v>4</v>
      </c>
      <c r="L857" s="3">
        <v>5</v>
      </c>
      <c r="M857" s="3">
        <v>3</v>
      </c>
      <c r="N857" s="3">
        <v>7</v>
      </c>
      <c r="O857">
        <v>1</v>
      </c>
      <c r="P857">
        <f t="shared" si="39"/>
        <v>1</v>
      </c>
      <c r="Q857">
        <f t="shared" si="40"/>
        <v>1</v>
      </c>
      <c r="R857">
        <f t="shared" si="41"/>
        <v>1</v>
      </c>
      <c r="S857" s="10" t="str" cm="1">
        <f t="array" ref="S857">_xlfn.IFS(N857="", "", N857&gt;=9,"Promoter", N857&gt;=7,"Passive", N857&lt;=6,"Detractor")</f>
        <v>Passive</v>
      </c>
    </row>
    <row r="858" spans="1:19" ht="14.25" customHeight="1">
      <c r="A858" s="3" t="s">
        <v>889</v>
      </c>
      <c r="B858" s="3" t="s">
        <v>20</v>
      </c>
      <c r="C858" s="3" t="s">
        <v>35</v>
      </c>
      <c r="D858" s="4">
        <v>45961</v>
      </c>
      <c r="E858" s="4">
        <v>45963</v>
      </c>
      <c r="F858" s="4">
        <v>45965</v>
      </c>
      <c r="G858" s="4">
        <v>45970</v>
      </c>
      <c r="H858" s="3" t="s">
        <v>22</v>
      </c>
      <c r="J858" s="4">
        <v>45999</v>
      </c>
      <c r="K858" s="3">
        <v>2</v>
      </c>
      <c r="L858" s="3">
        <v>2</v>
      </c>
      <c r="M858" s="3">
        <v>5</v>
      </c>
      <c r="N858" s="3">
        <v>1</v>
      </c>
      <c r="O858">
        <v>1</v>
      </c>
      <c r="P858">
        <f t="shared" si="39"/>
        <v>1</v>
      </c>
      <c r="Q858">
        <f t="shared" si="40"/>
        <v>1</v>
      </c>
      <c r="R858">
        <f t="shared" si="41"/>
        <v>1</v>
      </c>
      <c r="S858" s="10" t="str" cm="1">
        <f t="array" ref="S858">_xlfn.IFS(N858="", "", N858&gt;=9,"Promoter", N858&gt;=7,"Passive", N858&lt;=6,"Detractor")</f>
        <v>Detractor</v>
      </c>
    </row>
    <row r="859" spans="1:19" ht="14.25" customHeight="1">
      <c r="A859" s="3" t="s">
        <v>890</v>
      </c>
      <c r="B859" s="3" t="s">
        <v>20</v>
      </c>
      <c r="C859" s="3" t="s">
        <v>21</v>
      </c>
      <c r="D859" s="4">
        <v>45934</v>
      </c>
      <c r="E859" s="4">
        <v>45937</v>
      </c>
      <c r="F859" s="4">
        <v>45941</v>
      </c>
      <c r="G859" s="4">
        <v>45945</v>
      </c>
      <c r="H859" s="3" t="s">
        <v>22</v>
      </c>
      <c r="J859" s="4">
        <v>45959</v>
      </c>
      <c r="K859" s="3">
        <v>3</v>
      </c>
      <c r="L859" s="3">
        <v>4</v>
      </c>
      <c r="M859" s="3">
        <v>4</v>
      </c>
      <c r="N859" s="3">
        <v>3</v>
      </c>
      <c r="O859">
        <v>1</v>
      </c>
      <c r="P859">
        <f t="shared" si="39"/>
        <v>1</v>
      </c>
      <c r="Q859">
        <f t="shared" si="40"/>
        <v>1</v>
      </c>
      <c r="R859">
        <f t="shared" si="41"/>
        <v>1</v>
      </c>
      <c r="S859" s="10" t="str" cm="1">
        <f t="array" ref="S859">_xlfn.IFS(N859="", "", N859&gt;=9,"Promoter", N859&gt;=7,"Passive", N859&lt;=6,"Detractor")</f>
        <v>Detractor</v>
      </c>
    </row>
    <row r="860" spans="1:19" ht="14.25" customHeight="1">
      <c r="A860" s="3" t="s">
        <v>891</v>
      </c>
      <c r="B860" s="3" t="s">
        <v>24</v>
      </c>
      <c r="C860" s="3" t="s">
        <v>21</v>
      </c>
      <c r="D860" s="4">
        <v>45961</v>
      </c>
      <c r="E860" s="4">
        <v>45966</v>
      </c>
      <c r="F860" s="4">
        <v>45969</v>
      </c>
      <c r="G860" s="4">
        <v>45976</v>
      </c>
      <c r="H860" s="3" t="s">
        <v>22</v>
      </c>
      <c r="J860" s="4">
        <v>45999</v>
      </c>
      <c r="K860" s="3">
        <v>5</v>
      </c>
      <c r="L860" s="3">
        <v>3</v>
      </c>
      <c r="M860" s="3">
        <v>7</v>
      </c>
      <c r="N860" s="3">
        <v>7</v>
      </c>
      <c r="O860">
        <v>1</v>
      </c>
      <c r="P860">
        <f t="shared" si="39"/>
        <v>1</v>
      </c>
      <c r="Q860">
        <f t="shared" si="40"/>
        <v>1</v>
      </c>
      <c r="R860">
        <f t="shared" si="41"/>
        <v>1</v>
      </c>
      <c r="S860" s="10" t="str" cm="1">
        <f t="array" ref="S860">_xlfn.IFS(N860="", "", N860&gt;=9,"Promoter", N860&gt;=7,"Passive", N860&lt;=6,"Detractor")</f>
        <v>Passive</v>
      </c>
    </row>
    <row r="861" spans="1:19" ht="14.25" customHeight="1">
      <c r="A861" s="3" t="s">
        <v>892</v>
      </c>
      <c r="B861" s="3" t="s">
        <v>26</v>
      </c>
      <c r="C861" s="3" t="s">
        <v>35</v>
      </c>
      <c r="D861" s="4">
        <v>45958</v>
      </c>
      <c r="E861" s="4">
        <v>45960</v>
      </c>
      <c r="F861" s="4">
        <v>45962</v>
      </c>
      <c r="G861" s="4">
        <v>45969</v>
      </c>
      <c r="H861" s="3" t="s">
        <v>22</v>
      </c>
      <c r="J861" s="4">
        <v>45982</v>
      </c>
      <c r="K861" s="3">
        <v>2</v>
      </c>
      <c r="L861" s="3">
        <v>2</v>
      </c>
      <c r="M861" s="3">
        <v>7</v>
      </c>
      <c r="N861" s="3">
        <v>4</v>
      </c>
      <c r="O861">
        <v>1</v>
      </c>
      <c r="P861">
        <f t="shared" si="39"/>
        <v>1</v>
      </c>
      <c r="Q861">
        <f t="shared" si="40"/>
        <v>1</v>
      </c>
      <c r="R861">
        <f t="shared" si="41"/>
        <v>1</v>
      </c>
      <c r="S861" s="10" t="str" cm="1">
        <f t="array" ref="S861">_xlfn.IFS(N861="", "", N861&gt;=9,"Promoter", N861&gt;=7,"Passive", N861&lt;=6,"Detractor")</f>
        <v>Detractor</v>
      </c>
    </row>
    <row r="862" spans="1:19" ht="14.25" customHeight="1">
      <c r="A862" s="3" t="s">
        <v>893</v>
      </c>
      <c r="B862" s="3" t="s">
        <v>20</v>
      </c>
      <c r="C862" s="3" t="s">
        <v>21</v>
      </c>
      <c r="D862" s="4">
        <v>45957</v>
      </c>
      <c r="E862" s="4">
        <v>45960</v>
      </c>
      <c r="F862" s="4">
        <v>45964</v>
      </c>
      <c r="G862" s="4">
        <v>45971</v>
      </c>
      <c r="H862" s="3" t="s">
        <v>22</v>
      </c>
      <c r="J862" s="4">
        <v>45997</v>
      </c>
      <c r="K862" s="3">
        <v>3</v>
      </c>
      <c r="L862" s="3">
        <v>4</v>
      </c>
      <c r="M862" s="3">
        <v>7</v>
      </c>
      <c r="N862" s="3">
        <v>2</v>
      </c>
      <c r="O862">
        <v>1</v>
      </c>
      <c r="P862">
        <f t="shared" si="39"/>
        <v>1</v>
      </c>
      <c r="Q862">
        <f t="shared" si="40"/>
        <v>1</v>
      </c>
      <c r="R862">
        <f t="shared" si="41"/>
        <v>1</v>
      </c>
      <c r="S862" s="10" t="str" cm="1">
        <f t="array" ref="S862">_xlfn.IFS(N862="", "", N862&gt;=9,"Promoter", N862&gt;=7,"Passive", N862&lt;=6,"Detractor")</f>
        <v>Detractor</v>
      </c>
    </row>
    <row r="863" spans="1:19" ht="14.25" customHeight="1">
      <c r="A863" s="3" t="s">
        <v>894</v>
      </c>
      <c r="B863" s="3" t="s">
        <v>26</v>
      </c>
      <c r="C863" s="3" t="s">
        <v>21</v>
      </c>
      <c r="D863" s="4">
        <v>45945</v>
      </c>
      <c r="E863" s="4">
        <v>45948</v>
      </c>
      <c r="F863" s="4">
        <v>45951</v>
      </c>
      <c r="G863" s="4">
        <v>45953</v>
      </c>
      <c r="H863" s="3" t="s">
        <v>22</v>
      </c>
      <c r="J863" s="4">
        <v>45982</v>
      </c>
      <c r="K863" s="3">
        <v>3</v>
      </c>
      <c r="L863" s="3">
        <v>3</v>
      </c>
      <c r="M863" s="3">
        <v>2</v>
      </c>
      <c r="N863" s="3">
        <v>5</v>
      </c>
      <c r="O863">
        <v>1</v>
      </c>
      <c r="P863">
        <f t="shared" si="39"/>
        <v>1</v>
      </c>
      <c r="Q863">
        <f t="shared" si="40"/>
        <v>1</v>
      </c>
      <c r="R863">
        <f t="shared" si="41"/>
        <v>1</v>
      </c>
      <c r="S863" s="10" t="str" cm="1">
        <f t="array" ref="S863">_xlfn.IFS(N863="", "", N863&gt;=9,"Promoter", N863&gt;=7,"Passive", N863&lt;=6,"Detractor")</f>
        <v>Detractor</v>
      </c>
    </row>
    <row r="864" spans="1:19" ht="14.25" customHeight="1">
      <c r="A864" s="3" t="s">
        <v>895</v>
      </c>
      <c r="B864" s="3" t="s">
        <v>24</v>
      </c>
      <c r="C864" s="3" t="s">
        <v>35</v>
      </c>
      <c r="D864" s="4">
        <v>45933</v>
      </c>
      <c r="E864" s="4">
        <v>45936</v>
      </c>
      <c r="F864" s="4">
        <v>45939</v>
      </c>
      <c r="G864" s="4">
        <v>45945</v>
      </c>
      <c r="H864" s="3" t="s">
        <v>28</v>
      </c>
      <c r="I864" s="3" t="s">
        <v>68</v>
      </c>
      <c r="K864" s="3">
        <v>3</v>
      </c>
      <c r="L864" s="3">
        <v>3</v>
      </c>
      <c r="M864" s="3">
        <v>6</v>
      </c>
      <c r="O864">
        <v>1</v>
      </c>
      <c r="P864">
        <f t="shared" si="39"/>
        <v>1</v>
      </c>
      <c r="Q864">
        <f t="shared" si="40"/>
        <v>1</v>
      </c>
      <c r="R864">
        <f t="shared" si="41"/>
        <v>0</v>
      </c>
      <c r="S864" s="10" t="str" cm="1">
        <f t="array" ref="S864">_xlfn.IFS(N864="", "", N864&gt;=9,"Promoter", N864&gt;=7,"Passive", N864&lt;=6,"Detractor")</f>
        <v/>
      </c>
    </row>
    <row r="865" spans="1:19" ht="14.25" customHeight="1">
      <c r="A865" s="3" t="s">
        <v>896</v>
      </c>
      <c r="B865" s="3" t="s">
        <v>24</v>
      </c>
      <c r="C865" s="3" t="s">
        <v>21</v>
      </c>
      <c r="D865" s="4">
        <v>45952</v>
      </c>
      <c r="E865" s="4">
        <v>45956</v>
      </c>
      <c r="F865" s="4">
        <v>45960</v>
      </c>
      <c r="G865" s="4">
        <v>45966</v>
      </c>
      <c r="H865" s="3" t="s">
        <v>22</v>
      </c>
      <c r="J865" s="4">
        <v>45979</v>
      </c>
      <c r="K865" s="3">
        <v>4</v>
      </c>
      <c r="L865" s="3">
        <v>4</v>
      </c>
      <c r="M865" s="3">
        <v>6</v>
      </c>
      <c r="N865" s="3">
        <v>9</v>
      </c>
      <c r="O865">
        <v>1</v>
      </c>
      <c r="P865">
        <f t="shared" si="39"/>
        <v>1</v>
      </c>
      <c r="Q865">
        <f t="shared" si="40"/>
        <v>1</v>
      </c>
      <c r="R865">
        <f t="shared" si="41"/>
        <v>1</v>
      </c>
      <c r="S865" s="10" t="str" cm="1">
        <f t="array" ref="S865">_xlfn.IFS(N865="", "", N865&gt;=9,"Promoter", N865&gt;=7,"Passive", N865&lt;=6,"Detractor")</f>
        <v>Promoter</v>
      </c>
    </row>
    <row r="866" spans="1:19" ht="14.25" customHeight="1">
      <c r="A866" s="3" t="s">
        <v>897</v>
      </c>
      <c r="B866" s="3" t="s">
        <v>37</v>
      </c>
      <c r="C866" s="3" t="s">
        <v>35</v>
      </c>
      <c r="D866" s="4">
        <v>45937</v>
      </c>
      <c r="E866" s="4">
        <v>45939</v>
      </c>
      <c r="F866" s="4">
        <v>45944</v>
      </c>
      <c r="G866" s="4">
        <v>45948</v>
      </c>
      <c r="H866" s="3" t="s">
        <v>22</v>
      </c>
      <c r="J866" s="4">
        <v>45967</v>
      </c>
      <c r="K866" s="3">
        <v>2</v>
      </c>
      <c r="L866" s="3">
        <v>5</v>
      </c>
      <c r="M866" s="3">
        <v>4</v>
      </c>
      <c r="N866" s="3">
        <v>4</v>
      </c>
      <c r="O866">
        <v>1</v>
      </c>
      <c r="P866">
        <f t="shared" si="39"/>
        <v>1</v>
      </c>
      <c r="Q866">
        <f t="shared" si="40"/>
        <v>1</v>
      </c>
      <c r="R866">
        <f t="shared" si="41"/>
        <v>1</v>
      </c>
      <c r="S866" s="10" t="str" cm="1">
        <f t="array" ref="S866">_xlfn.IFS(N866="", "", N866&gt;=9,"Promoter", N866&gt;=7,"Passive", N866&lt;=6,"Detractor")</f>
        <v>Detractor</v>
      </c>
    </row>
    <row r="867" spans="1:19" ht="14.25" customHeight="1">
      <c r="A867" s="3" t="s">
        <v>898</v>
      </c>
      <c r="B867" s="3" t="s">
        <v>20</v>
      </c>
      <c r="C867" s="3" t="s">
        <v>27</v>
      </c>
      <c r="D867" s="4">
        <v>45951</v>
      </c>
      <c r="H867" s="3" t="s">
        <v>28</v>
      </c>
      <c r="I867" s="3" t="s">
        <v>31</v>
      </c>
      <c r="O867">
        <v>1</v>
      </c>
      <c r="P867">
        <f t="shared" si="39"/>
        <v>0</v>
      </c>
      <c r="Q867">
        <f t="shared" si="40"/>
        <v>0</v>
      </c>
      <c r="R867">
        <f t="shared" si="41"/>
        <v>0</v>
      </c>
      <c r="S867" s="10" t="str" cm="1">
        <f t="array" ref="S867">_xlfn.IFS(N867="", "", N867&gt;=9,"Promoter", N867&gt;=7,"Passive", N867&lt;=6,"Detractor")</f>
        <v/>
      </c>
    </row>
    <row r="868" spans="1:19" ht="14.25" customHeight="1">
      <c r="A868" s="3" t="s">
        <v>899</v>
      </c>
      <c r="B868" s="3" t="s">
        <v>24</v>
      </c>
      <c r="C868" s="3" t="s">
        <v>21</v>
      </c>
      <c r="D868" s="4">
        <v>45951</v>
      </c>
      <c r="E868" s="4">
        <v>45954</v>
      </c>
      <c r="F868" s="4">
        <v>45956</v>
      </c>
      <c r="G868" s="4">
        <v>45958</v>
      </c>
      <c r="H868" s="3" t="s">
        <v>22</v>
      </c>
      <c r="J868" s="4">
        <v>45971</v>
      </c>
      <c r="K868" s="3">
        <v>3</v>
      </c>
      <c r="L868" s="3">
        <v>2</v>
      </c>
      <c r="M868" s="3">
        <v>2</v>
      </c>
      <c r="N868" s="3">
        <v>9</v>
      </c>
      <c r="O868">
        <v>1</v>
      </c>
      <c r="P868">
        <f t="shared" si="39"/>
        <v>1</v>
      </c>
      <c r="Q868">
        <f t="shared" si="40"/>
        <v>1</v>
      </c>
      <c r="R868">
        <f t="shared" si="41"/>
        <v>1</v>
      </c>
      <c r="S868" s="10" t="str" cm="1">
        <f t="array" ref="S868">_xlfn.IFS(N868="", "", N868&gt;=9,"Promoter", N868&gt;=7,"Passive", N868&lt;=6,"Detractor")</f>
        <v>Promoter</v>
      </c>
    </row>
    <row r="869" spans="1:19" ht="14.25" customHeight="1">
      <c r="A869" s="3" t="s">
        <v>900</v>
      </c>
      <c r="B869" s="3" t="s">
        <v>37</v>
      </c>
      <c r="C869" s="3" t="s">
        <v>35</v>
      </c>
      <c r="D869" s="4">
        <v>45950</v>
      </c>
      <c r="E869" s="4">
        <v>45955</v>
      </c>
      <c r="F869" s="4">
        <v>45958</v>
      </c>
      <c r="G869" s="4">
        <v>45960</v>
      </c>
      <c r="H869" s="3" t="s">
        <v>22</v>
      </c>
      <c r="J869" s="4">
        <v>45973</v>
      </c>
      <c r="K869" s="3">
        <v>5</v>
      </c>
      <c r="L869" s="3">
        <v>3</v>
      </c>
      <c r="M869" s="3">
        <v>2</v>
      </c>
      <c r="N869" s="3">
        <v>9</v>
      </c>
      <c r="O869">
        <v>1</v>
      </c>
      <c r="P869">
        <f t="shared" si="39"/>
        <v>1</v>
      </c>
      <c r="Q869">
        <f t="shared" si="40"/>
        <v>1</v>
      </c>
      <c r="R869">
        <f t="shared" si="41"/>
        <v>1</v>
      </c>
      <c r="S869" s="10" t="str" cm="1">
        <f t="array" ref="S869">_xlfn.IFS(N869="", "", N869&gt;=9,"Promoter", N869&gt;=7,"Passive", N869&lt;=6,"Detractor")</f>
        <v>Promoter</v>
      </c>
    </row>
    <row r="870" spans="1:19" ht="14.25" customHeight="1">
      <c r="A870" s="3" t="s">
        <v>901</v>
      </c>
      <c r="B870" s="3" t="s">
        <v>20</v>
      </c>
      <c r="C870" s="3" t="s">
        <v>21</v>
      </c>
      <c r="D870" s="4">
        <v>45931</v>
      </c>
      <c r="E870" s="4">
        <v>45936</v>
      </c>
      <c r="F870" s="4">
        <v>45940</v>
      </c>
      <c r="G870" s="4">
        <v>45942</v>
      </c>
      <c r="H870" s="3" t="s">
        <v>22</v>
      </c>
      <c r="J870" s="4">
        <v>45967</v>
      </c>
      <c r="K870" s="3">
        <v>5</v>
      </c>
      <c r="L870" s="3">
        <v>4</v>
      </c>
      <c r="M870" s="3">
        <v>2</v>
      </c>
      <c r="N870" s="3">
        <v>5</v>
      </c>
      <c r="O870">
        <v>1</v>
      </c>
      <c r="P870">
        <f t="shared" si="39"/>
        <v>1</v>
      </c>
      <c r="Q870">
        <f t="shared" si="40"/>
        <v>1</v>
      </c>
      <c r="R870">
        <f t="shared" si="41"/>
        <v>1</v>
      </c>
      <c r="S870" s="10" t="str" cm="1">
        <f t="array" ref="S870">_xlfn.IFS(N870="", "", N870&gt;=9,"Promoter", N870&gt;=7,"Passive", N870&lt;=6,"Detractor")</f>
        <v>Detractor</v>
      </c>
    </row>
    <row r="871" spans="1:19" ht="14.25" customHeight="1">
      <c r="A871" s="3" t="s">
        <v>902</v>
      </c>
      <c r="B871" s="3" t="s">
        <v>24</v>
      </c>
      <c r="C871" s="3" t="s">
        <v>21</v>
      </c>
      <c r="D871" s="4">
        <v>45932</v>
      </c>
      <c r="E871" s="4">
        <v>45933</v>
      </c>
      <c r="F871" s="4">
        <v>45936</v>
      </c>
      <c r="G871" s="4">
        <v>45939</v>
      </c>
      <c r="H871" s="3" t="s">
        <v>22</v>
      </c>
      <c r="J871" s="4">
        <v>45955</v>
      </c>
      <c r="K871" s="3">
        <v>1</v>
      </c>
      <c r="L871" s="3">
        <v>3</v>
      </c>
      <c r="M871" s="3">
        <v>3</v>
      </c>
      <c r="N871" s="3">
        <v>1</v>
      </c>
      <c r="O871">
        <v>1</v>
      </c>
      <c r="P871">
        <f t="shared" si="39"/>
        <v>1</v>
      </c>
      <c r="Q871">
        <f t="shared" si="40"/>
        <v>1</v>
      </c>
      <c r="R871">
        <f t="shared" si="41"/>
        <v>1</v>
      </c>
      <c r="S871" s="10" t="str" cm="1">
        <f t="array" ref="S871">_xlfn.IFS(N871="", "", N871&gt;=9,"Promoter", N871&gt;=7,"Passive", N871&lt;=6,"Detractor")</f>
        <v>Detractor</v>
      </c>
    </row>
    <row r="872" spans="1:19" ht="14.25" customHeight="1">
      <c r="A872" s="3" t="s">
        <v>903</v>
      </c>
      <c r="B872" s="3" t="s">
        <v>24</v>
      </c>
      <c r="C872" s="3" t="s">
        <v>21</v>
      </c>
      <c r="D872" s="4">
        <v>45956</v>
      </c>
      <c r="E872" s="4">
        <v>45959</v>
      </c>
      <c r="F872" s="4">
        <v>45963</v>
      </c>
      <c r="G872" s="4">
        <v>45970</v>
      </c>
      <c r="H872" s="3" t="s">
        <v>22</v>
      </c>
      <c r="J872" s="4">
        <v>45999</v>
      </c>
      <c r="K872" s="3">
        <v>3</v>
      </c>
      <c r="L872" s="3">
        <v>4</v>
      </c>
      <c r="M872" s="3">
        <v>7</v>
      </c>
      <c r="N872" s="3">
        <v>8</v>
      </c>
      <c r="O872">
        <v>1</v>
      </c>
      <c r="P872">
        <f t="shared" si="39"/>
        <v>1</v>
      </c>
      <c r="Q872">
        <f t="shared" si="40"/>
        <v>1</v>
      </c>
      <c r="R872">
        <f t="shared" si="41"/>
        <v>1</v>
      </c>
      <c r="S872" s="10" t="str" cm="1">
        <f t="array" ref="S872">_xlfn.IFS(N872="", "", N872&gt;=9,"Promoter", N872&gt;=7,"Passive", N872&lt;=6,"Detractor")</f>
        <v>Passive</v>
      </c>
    </row>
    <row r="873" spans="1:19" ht="14.25" customHeight="1">
      <c r="A873" s="3" t="s">
        <v>904</v>
      </c>
      <c r="B873" s="3" t="s">
        <v>20</v>
      </c>
      <c r="C873" s="3" t="s">
        <v>21</v>
      </c>
      <c r="D873" s="4">
        <v>45941</v>
      </c>
      <c r="E873" s="4">
        <v>45943</v>
      </c>
      <c r="F873" s="4">
        <v>45946</v>
      </c>
      <c r="G873" s="4">
        <v>45951</v>
      </c>
      <c r="H873" s="3" t="s">
        <v>22</v>
      </c>
      <c r="J873" s="4">
        <v>45967</v>
      </c>
      <c r="K873" s="3">
        <v>2</v>
      </c>
      <c r="L873" s="3">
        <v>3</v>
      </c>
      <c r="M873" s="3">
        <v>5</v>
      </c>
      <c r="N873" s="3">
        <v>7</v>
      </c>
      <c r="O873">
        <v>1</v>
      </c>
      <c r="P873">
        <f t="shared" si="39"/>
        <v>1</v>
      </c>
      <c r="Q873">
        <f t="shared" si="40"/>
        <v>1</v>
      </c>
      <c r="R873">
        <f t="shared" si="41"/>
        <v>1</v>
      </c>
      <c r="S873" s="10" t="str" cm="1">
        <f t="array" ref="S873">_xlfn.IFS(N873="", "", N873&gt;=9,"Promoter", N873&gt;=7,"Passive", N873&lt;=6,"Detractor")</f>
        <v>Passive</v>
      </c>
    </row>
    <row r="874" spans="1:19" ht="14.25" customHeight="1">
      <c r="A874" s="3" t="s">
        <v>905</v>
      </c>
      <c r="B874" s="3" t="s">
        <v>20</v>
      </c>
      <c r="C874" s="3" t="s">
        <v>21</v>
      </c>
      <c r="D874" s="4">
        <v>45938</v>
      </c>
      <c r="E874" s="4">
        <v>45942</v>
      </c>
      <c r="F874" s="4">
        <v>45943</v>
      </c>
      <c r="G874" s="4">
        <v>45946</v>
      </c>
      <c r="H874" s="3" t="s">
        <v>22</v>
      </c>
      <c r="J874" s="4">
        <v>45964</v>
      </c>
      <c r="K874" s="3">
        <v>4</v>
      </c>
      <c r="L874" s="3">
        <v>1</v>
      </c>
      <c r="M874" s="3">
        <v>3</v>
      </c>
      <c r="N874" s="3">
        <v>5</v>
      </c>
      <c r="O874">
        <v>1</v>
      </c>
      <c r="P874">
        <f t="shared" si="39"/>
        <v>1</v>
      </c>
      <c r="Q874">
        <f t="shared" si="40"/>
        <v>1</v>
      </c>
      <c r="R874">
        <f t="shared" si="41"/>
        <v>1</v>
      </c>
      <c r="S874" s="10" t="str" cm="1">
        <f t="array" ref="S874">_xlfn.IFS(N874="", "", N874&gt;=9,"Promoter", N874&gt;=7,"Passive", N874&lt;=6,"Detractor")</f>
        <v>Detractor</v>
      </c>
    </row>
    <row r="875" spans="1:19" ht="14.25" customHeight="1">
      <c r="A875" s="3" t="s">
        <v>906</v>
      </c>
      <c r="B875" s="3" t="s">
        <v>20</v>
      </c>
      <c r="C875" s="3" t="s">
        <v>35</v>
      </c>
      <c r="D875" s="4">
        <v>45935</v>
      </c>
      <c r="E875" s="4">
        <v>45936</v>
      </c>
      <c r="F875" s="4">
        <v>45941</v>
      </c>
      <c r="G875" s="4">
        <v>45943</v>
      </c>
      <c r="H875" s="3" t="s">
        <v>22</v>
      </c>
      <c r="J875" s="4">
        <v>45969</v>
      </c>
      <c r="K875" s="3">
        <v>1</v>
      </c>
      <c r="L875" s="3">
        <v>5</v>
      </c>
      <c r="M875" s="3">
        <v>2</v>
      </c>
      <c r="N875" s="3">
        <v>4</v>
      </c>
      <c r="O875">
        <v>1</v>
      </c>
      <c r="P875">
        <f t="shared" si="39"/>
        <v>1</v>
      </c>
      <c r="Q875">
        <f t="shared" si="40"/>
        <v>1</v>
      </c>
      <c r="R875">
        <f t="shared" si="41"/>
        <v>1</v>
      </c>
      <c r="S875" s="10" t="str" cm="1">
        <f t="array" ref="S875">_xlfn.IFS(N875="", "", N875&gt;=9,"Promoter", N875&gt;=7,"Passive", N875&lt;=6,"Detractor")</f>
        <v>Detractor</v>
      </c>
    </row>
    <row r="876" spans="1:19" ht="14.25" customHeight="1">
      <c r="A876" s="3" t="s">
        <v>907</v>
      </c>
      <c r="B876" s="3" t="s">
        <v>24</v>
      </c>
      <c r="C876" s="3" t="s">
        <v>35</v>
      </c>
      <c r="D876" s="4">
        <v>45956</v>
      </c>
      <c r="E876" s="4">
        <v>45959</v>
      </c>
      <c r="F876" s="4">
        <v>45961</v>
      </c>
      <c r="G876" s="4">
        <v>45965</v>
      </c>
      <c r="H876" s="3" t="s">
        <v>22</v>
      </c>
      <c r="J876" s="4">
        <v>45981</v>
      </c>
      <c r="K876" s="3">
        <v>3</v>
      </c>
      <c r="L876" s="3">
        <v>2</v>
      </c>
      <c r="M876" s="3">
        <v>4</v>
      </c>
      <c r="N876" s="3">
        <v>3</v>
      </c>
      <c r="O876">
        <v>1</v>
      </c>
      <c r="P876">
        <f t="shared" si="39"/>
        <v>1</v>
      </c>
      <c r="Q876">
        <f t="shared" si="40"/>
        <v>1</v>
      </c>
      <c r="R876">
        <f t="shared" si="41"/>
        <v>1</v>
      </c>
      <c r="S876" s="10" t="str" cm="1">
        <f t="array" ref="S876">_xlfn.IFS(N876="", "", N876&gt;=9,"Promoter", N876&gt;=7,"Passive", N876&lt;=6,"Detractor")</f>
        <v>Detractor</v>
      </c>
    </row>
    <row r="877" spans="1:19" ht="14.25" customHeight="1">
      <c r="A877" s="3" t="s">
        <v>908</v>
      </c>
      <c r="B877" s="3" t="s">
        <v>24</v>
      </c>
      <c r="C877" s="3" t="s">
        <v>35</v>
      </c>
      <c r="D877" s="4">
        <v>45949</v>
      </c>
      <c r="E877" s="4">
        <v>45953</v>
      </c>
      <c r="F877" s="4">
        <v>45958</v>
      </c>
      <c r="G877" s="4">
        <v>45960</v>
      </c>
      <c r="H877" s="3" t="s">
        <v>22</v>
      </c>
      <c r="J877" s="4">
        <v>45981</v>
      </c>
      <c r="K877" s="3">
        <v>4</v>
      </c>
      <c r="L877" s="3">
        <v>5</v>
      </c>
      <c r="M877" s="3">
        <v>2</v>
      </c>
      <c r="N877" s="3">
        <v>6</v>
      </c>
      <c r="O877">
        <v>1</v>
      </c>
      <c r="P877">
        <f t="shared" si="39"/>
        <v>1</v>
      </c>
      <c r="Q877">
        <f t="shared" si="40"/>
        <v>1</v>
      </c>
      <c r="R877">
        <f t="shared" si="41"/>
        <v>1</v>
      </c>
      <c r="S877" s="10" t="str" cm="1">
        <f t="array" ref="S877">_xlfn.IFS(N877="", "", N877&gt;=9,"Promoter", N877&gt;=7,"Passive", N877&lt;=6,"Detractor")</f>
        <v>Detractor</v>
      </c>
    </row>
    <row r="878" spans="1:19" ht="14.25" customHeight="1">
      <c r="A878" s="3" t="s">
        <v>909</v>
      </c>
      <c r="B878" s="3" t="s">
        <v>37</v>
      </c>
      <c r="C878" s="3" t="s">
        <v>21</v>
      </c>
      <c r="D878" s="4">
        <v>45937</v>
      </c>
      <c r="E878" s="4">
        <v>45939</v>
      </c>
      <c r="F878" s="4">
        <v>45944</v>
      </c>
      <c r="G878" s="4">
        <v>45946</v>
      </c>
      <c r="H878" s="3" t="s">
        <v>22</v>
      </c>
      <c r="J878" s="4">
        <v>45969</v>
      </c>
      <c r="K878" s="3">
        <v>2</v>
      </c>
      <c r="L878" s="3">
        <v>5</v>
      </c>
      <c r="M878" s="3">
        <v>2</v>
      </c>
      <c r="N878" s="3">
        <v>2</v>
      </c>
      <c r="O878">
        <v>1</v>
      </c>
      <c r="P878">
        <f t="shared" si="39"/>
        <v>1</v>
      </c>
      <c r="Q878">
        <f t="shared" si="40"/>
        <v>1</v>
      </c>
      <c r="R878">
        <f t="shared" si="41"/>
        <v>1</v>
      </c>
      <c r="S878" s="10" t="str" cm="1">
        <f t="array" ref="S878">_xlfn.IFS(N878="", "", N878&gt;=9,"Promoter", N878&gt;=7,"Passive", N878&lt;=6,"Detractor")</f>
        <v>Detractor</v>
      </c>
    </row>
    <row r="879" spans="1:19" ht="14.25" customHeight="1">
      <c r="A879" s="3" t="s">
        <v>910</v>
      </c>
      <c r="B879" s="3" t="s">
        <v>26</v>
      </c>
      <c r="C879" s="3" t="s">
        <v>27</v>
      </c>
      <c r="D879" s="4">
        <v>45933</v>
      </c>
      <c r="H879" s="3" t="s">
        <v>28</v>
      </c>
      <c r="I879" s="3" t="s">
        <v>68</v>
      </c>
      <c r="O879">
        <v>1</v>
      </c>
      <c r="P879">
        <f t="shared" si="39"/>
        <v>0</v>
      </c>
      <c r="Q879">
        <f t="shared" si="40"/>
        <v>0</v>
      </c>
      <c r="R879">
        <f t="shared" si="41"/>
        <v>0</v>
      </c>
      <c r="S879" s="10" t="str" cm="1">
        <f t="array" ref="S879">_xlfn.IFS(N879="", "", N879&gt;=9,"Promoter", N879&gt;=7,"Passive", N879&lt;=6,"Detractor")</f>
        <v/>
      </c>
    </row>
    <row r="880" spans="1:19" ht="14.25" customHeight="1">
      <c r="A880" s="3" t="s">
        <v>911</v>
      </c>
      <c r="B880" s="3" t="s">
        <v>20</v>
      </c>
      <c r="C880" s="3" t="s">
        <v>21</v>
      </c>
      <c r="D880" s="4">
        <v>45957</v>
      </c>
      <c r="E880" s="4">
        <v>45959</v>
      </c>
      <c r="F880" s="4">
        <v>45961</v>
      </c>
      <c r="G880" s="4">
        <v>45966</v>
      </c>
      <c r="H880" s="3" t="s">
        <v>22</v>
      </c>
      <c r="J880" s="4">
        <v>45985</v>
      </c>
      <c r="K880" s="3">
        <v>2</v>
      </c>
      <c r="L880" s="3">
        <v>2</v>
      </c>
      <c r="M880" s="3">
        <v>5</v>
      </c>
      <c r="N880" s="3">
        <v>4</v>
      </c>
      <c r="O880">
        <v>1</v>
      </c>
      <c r="P880">
        <f t="shared" si="39"/>
        <v>1</v>
      </c>
      <c r="Q880">
        <f t="shared" si="40"/>
        <v>1</v>
      </c>
      <c r="R880">
        <f t="shared" si="41"/>
        <v>1</v>
      </c>
      <c r="S880" s="10" t="str" cm="1">
        <f t="array" ref="S880">_xlfn.IFS(N880="", "", N880&gt;=9,"Promoter", N880&gt;=7,"Passive", N880&lt;=6,"Detractor")</f>
        <v>Detractor</v>
      </c>
    </row>
    <row r="881" spans="1:19" ht="14.25" customHeight="1">
      <c r="A881" s="3" t="s">
        <v>912</v>
      </c>
      <c r="B881" s="3" t="s">
        <v>24</v>
      </c>
      <c r="C881" s="3" t="s">
        <v>35</v>
      </c>
      <c r="D881" s="4">
        <v>45955</v>
      </c>
      <c r="E881" s="4">
        <v>45956</v>
      </c>
      <c r="F881" s="4">
        <v>45961</v>
      </c>
      <c r="G881" s="4">
        <v>45963</v>
      </c>
      <c r="H881" s="3" t="s">
        <v>22</v>
      </c>
      <c r="J881" s="4">
        <v>45978</v>
      </c>
      <c r="K881" s="3">
        <v>1</v>
      </c>
      <c r="L881" s="3">
        <v>5</v>
      </c>
      <c r="M881" s="3">
        <v>2</v>
      </c>
      <c r="N881" s="3">
        <v>4</v>
      </c>
      <c r="O881">
        <v>1</v>
      </c>
      <c r="P881">
        <f t="shared" si="39"/>
        <v>1</v>
      </c>
      <c r="Q881">
        <f t="shared" si="40"/>
        <v>1</v>
      </c>
      <c r="R881">
        <f t="shared" si="41"/>
        <v>1</v>
      </c>
      <c r="S881" s="10" t="str" cm="1">
        <f t="array" ref="S881">_xlfn.IFS(N881="", "", N881&gt;=9,"Promoter", N881&gt;=7,"Passive", N881&lt;=6,"Detractor")</f>
        <v>Detractor</v>
      </c>
    </row>
    <row r="882" spans="1:19" ht="14.25" customHeight="1">
      <c r="A882" s="3" t="s">
        <v>913</v>
      </c>
      <c r="B882" s="3" t="s">
        <v>24</v>
      </c>
      <c r="C882" s="3" t="s">
        <v>21</v>
      </c>
      <c r="D882" s="4">
        <v>45948</v>
      </c>
      <c r="E882" s="4">
        <v>45949</v>
      </c>
      <c r="F882" s="4">
        <v>45950</v>
      </c>
      <c r="G882" s="4">
        <v>45953</v>
      </c>
      <c r="H882" s="3" t="s">
        <v>22</v>
      </c>
      <c r="J882" s="4">
        <v>45964</v>
      </c>
      <c r="K882" s="3">
        <v>1</v>
      </c>
      <c r="L882" s="3">
        <v>1</v>
      </c>
      <c r="M882" s="3">
        <v>3</v>
      </c>
      <c r="N882" s="3">
        <v>2</v>
      </c>
      <c r="O882">
        <v>1</v>
      </c>
      <c r="P882">
        <f t="shared" si="39"/>
        <v>1</v>
      </c>
      <c r="Q882">
        <f t="shared" si="40"/>
        <v>1</v>
      </c>
      <c r="R882">
        <f t="shared" si="41"/>
        <v>1</v>
      </c>
      <c r="S882" s="10" t="str" cm="1">
        <f t="array" ref="S882">_xlfn.IFS(N882="", "", N882&gt;=9,"Promoter", N882&gt;=7,"Passive", N882&lt;=6,"Detractor")</f>
        <v>Detractor</v>
      </c>
    </row>
    <row r="883" spans="1:19" ht="14.25" customHeight="1">
      <c r="A883" s="3" t="s">
        <v>914</v>
      </c>
      <c r="B883" s="3" t="s">
        <v>20</v>
      </c>
      <c r="C883" s="3" t="s">
        <v>27</v>
      </c>
      <c r="D883" s="4">
        <v>45937</v>
      </c>
      <c r="H883" s="3" t="s">
        <v>28</v>
      </c>
      <c r="I883" s="3" t="s">
        <v>68</v>
      </c>
      <c r="O883">
        <v>1</v>
      </c>
      <c r="P883">
        <f t="shared" si="39"/>
        <v>0</v>
      </c>
      <c r="Q883">
        <f t="shared" si="40"/>
        <v>0</v>
      </c>
      <c r="R883">
        <f t="shared" si="41"/>
        <v>0</v>
      </c>
      <c r="S883" s="10" t="str" cm="1">
        <f t="array" ref="S883">_xlfn.IFS(N883="", "", N883&gt;=9,"Promoter", N883&gt;=7,"Passive", N883&lt;=6,"Detractor")</f>
        <v/>
      </c>
    </row>
    <row r="884" spans="1:19" ht="14.25" customHeight="1">
      <c r="A884" s="3" t="s">
        <v>915</v>
      </c>
      <c r="B884" s="3" t="s">
        <v>26</v>
      </c>
      <c r="C884" s="3" t="s">
        <v>21</v>
      </c>
      <c r="D884" s="4">
        <v>45949</v>
      </c>
      <c r="E884" s="4">
        <v>45952</v>
      </c>
      <c r="F884" s="4">
        <v>45956</v>
      </c>
      <c r="G884" s="4">
        <v>45962</v>
      </c>
      <c r="H884" s="3" t="s">
        <v>22</v>
      </c>
      <c r="J884" s="4">
        <v>45989</v>
      </c>
      <c r="K884" s="3">
        <v>3</v>
      </c>
      <c r="L884" s="3">
        <v>4</v>
      </c>
      <c r="M884" s="3">
        <v>6</v>
      </c>
      <c r="N884" s="3">
        <v>4</v>
      </c>
      <c r="O884">
        <v>1</v>
      </c>
      <c r="P884">
        <f t="shared" si="39"/>
        <v>1</v>
      </c>
      <c r="Q884">
        <f t="shared" si="40"/>
        <v>1</v>
      </c>
      <c r="R884">
        <f t="shared" si="41"/>
        <v>1</v>
      </c>
      <c r="S884" s="10" t="str" cm="1">
        <f t="array" ref="S884">_xlfn.IFS(N884="", "", N884&gt;=9,"Promoter", N884&gt;=7,"Passive", N884&lt;=6,"Detractor")</f>
        <v>Detractor</v>
      </c>
    </row>
    <row r="885" spans="1:19" ht="14.25" customHeight="1">
      <c r="A885" s="3" t="s">
        <v>916</v>
      </c>
      <c r="B885" s="3" t="s">
        <v>20</v>
      </c>
      <c r="C885" s="3" t="s">
        <v>27</v>
      </c>
      <c r="D885" s="4">
        <v>45937</v>
      </c>
      <c r="H885" s="3" t="s">
        <v>28</v>
      </c>
      <c r="I885" s="3" t="s">
        <v>31</v>
      </c>
      <c r="O885">
        <v>1</v>
      </c>
      <c r="P885">
        <f t="shared" si="39"/>
        <v>0</v>
      </c>
      <c r="Q885">
        <f t="shared" si="40"/>
        <v>0</v>
      </c>
      <c r="R885">
        <f t="shared" si="41"/>
        <v>0</v>
      </c>
      <c r="S885" s="10" t="str" cm="1">
        <f t="array" ref="S885">_xlfn.IFS(N885="", "", N885&gt;=9,"Promoter", N885&gt;=7,"Passive", N885&lt;=6,"Detractor")</f>
        <v/>
      </c>
    </row>
    <row r="886" spans="1:19" ht="14.25" customHeight="1">
      <c r="A886" s="3" t="s">
        <v>917</v>
      </c>
      <c r="B886" s="3" t="s">
        <v>26</v>
      </c>
      <c r="C886" s="3" t="s">
        <v>35</v>
      </c>
      <c r="D886" s="4">
        <v>45957</v>
      </c>
      <c r="E886" s="4">
        <v>45961</v>
      </c>
      <c r="F886" s="4">
        <v>45963</v>
      </c>
      <c r="G886" s="4">
        <v>45968</v>
      </c>
      <c r="H886" s="3" t="s">
        <v>22</v>
      </c>
      <c r="J886" s="4">
        <v>45993</v>
      </c>
      <c r="K886" s="3">
        <v>4</v>
      </c>
      <c r="L886" s="3">
        <v>2</v>
      </c>
      <c r="M886" s="3">
        <v>5</v>
      </c>
      <c r="N886" s="3">
        <v>7</v>
      </c>
      <c r="O886">
        <v>1</v>
      </c>
      <c r="P886">
        <f t="shared" si="39"/>
        <v>1</v>
      </c>
      <c r="Q886">
        <f t="shared" si="40"/>
        <v>1</v>
      </c>
      <c r="R886">
        <f t="shared" si="41"/>
        <v>1</v>
      </c>
      <c r="S886" s="10" t="str" cm="1">
        <f t="array" ref="S886">_xlfn.IFS(N886="", "", N886&gt;=9,"Promoter", N886&gt;=7,"Passive", N886&lt;=6,"Detractor")</f>
        <v>Passive</v>
      </c>
    </row>
    <row r="887" spans="1:19" ht="14.25" customHeight="1">
      <c r="A887" s="3" t="s">
        <v>918</v>
      </c>
      <c r="B887" s="3" t="s">
        <v>24</v>
      </c>
      <c r="C887" s="3" t="s">
        <v>35</v>
      </c>
      <c r="D887" s="4">
        <v>45958</v>
      </c>
      <c r="E887" s="4">
        <v>45963</v>
      </c>
      <c r="F887" s="4">
        <v>45967</v>
      </c>
      <c r="G887" s="4">
        <v>45974</v>
      </c>
      <c r="H887" s="3" t="s">
        <v>22</v>
      </c>
      <c r="J887" s="4">
        <v>45990</v>
      </c>
      <c r="K887" s="3">
        <v>5</v>
      </c>
      <c r="L887" s="3">
        <v>4</v>
      </c>
      <c r="M887" s="3">
        <v>7</v>
      </c>
      <c r="N887" s="3">
        <v>3</v>
      </c>
      <c r="O887">
        <v>1</v>
      </c>
      <c r="P887">
        <f t="shared" si="39"/>
        <v>1</v>
      </c>
      <c r="Q887">
        <f t="shared" si="40"/>
        <v>1</v>
      </c>
      <c r="R887">
        <f t="shared" si="41"/>
        <v>1</v>
      </c>
      <c r="S887" s="10" t="str" cm="1">
        <f t="array" ref="S887">_xlfn.IFS(N887="", "", N887&gt;=9,"Promoter", N887&gt;=7,"Passive", N887&lt;=6,"Detractor")</f>
        <v>Detractor</v>
      </c>
    </row>
    <row r="888" spans="1:19" ht="14.25" customHeight="1">
      <c r="A888" s="3" t="s">
        <v>919</v>
      </c>
      <c r="B888" s="3" t="s">
        <v>26</v>
      </c>
      <c r="C888" s="3" t="s">
        <v>27</v>
      </c>
      <c r="D888" s="4">
        <v>45938</v>
      </c>
      <c r="H888" s="3" t="s">
        <v>28</v>
      </c>
      <c r="I888" s="3" t="s">
        <v>38</v>
      </c>
      <c r="O888">
        <v>1</v>
      </c>
      <c r="P888">
        <f t="shared" si="39"/>
        <v>0</v>
      </c>
      <c r="Q888">
        <f t="shared" si="40"/>
        <v>0</v>
      </c>
      <c r="R888">
        <f t="shared" si="41"/>
        <v>0</v>
      </c>
      <c r="S888" s="10" t="str" cm="1">
        <f t="array" ref="S888">_xlfn.IFS(N888="", "", N888&gt;=9,"Promoter", N888&gt;=7,"Passive", N888&lt;=6,"Detractor")</f>
        <v/>
      </c>
    </row>
    <row r="889" spans="1:19" ht="14.25" customHeight="1">
      <c r="A889" s="3" t="s">
        <v>920</v>
      </c>
      <c r="B889" s="3" t="s">
        <v>37</v>
      </c>
      <c r="C889" s="3" t="s">
        <v>21</v>
      </c>
      <c r="D889" s="4">
        <v>45941</v>
      </c>
      <c r="E889" s="4">
        <v>45945</v>
      </c>
      <c r="F889" s="4">
        <v>45948</v>
      </c>
      <c r="G889" s="4">
        <v>45953</v>
      </c>
      <c r="H889" s="3" t="s">
        <v>22</v>
      </c>
      <c r="J889" s="4">
        <v>45978</v>
      </c>
      <c r="K889" s="3">
        <v>4</v>
      </c>
      <c r="L889" s="3">
        <v>3</v>
      </c>
      <c r="M889" s="3">
        <v>5</v>
      </c>
      <c r="N889" s="3">
        <v>7</v>
      </c>
      <c r="O889">
        <v>1</v>
      </c>
      <c r="P889">
        <f t="shared" si="39"/>
        <v>1</v>
      </c>
      <c r="Q889">
        <f t="shared" si="40"/>
        <v>1</v>
      </c>
      <c r="R889">
        <f t="shared" si="41"/>
        <v>1</v>
      </c>
      <c r="S889" s="10" t="str" cm="1">
        <f t="array" ref="S889">_xlfn.IFS(N889="", "", N889&gt;=9,"Promoter", N889&gt;=7,"Passive", N889&lt;=6,"Detractor")</f>
        <v>Passive</v>
      </c>
    </row>
    <row r="890" spans="1:19" ht="14.25" customHeight="1">
      <c r="A890" s="3" t="s">
        <v>921</v>
      </c>
      <c r="B890" s="3" t="s">
        <v>24</v>
      </c>
      <c r="C890" s="3" t="s">
        <v>21</v>
      </c>
      <c r="D890" s="4">
        <v>45955</v>
      </c>
      <c r="E890" s="4">
        <v>45957</v>
      </c>
      <c r="F890" s="4">
        <v>45958</v>
      </c>
      <c r="G890" s="4">
        <v>45963</v>
      </c>
      <c r="H890" s="3" t="s">
        <v>22</v>
      </c>
      <c r="J890" s="4">
        <v>45983</v>
      </c>
      <c r="K890" s="3">
        <v>2</v>
      </c>
      <c r="L890" s="3">
        <v>1</v>
      </c>
      <c r="M890" s="3">
        <v>5</v>
      </c>
      <c r="N890" s="3">
        <v>9</v>
      </c>
      <c r="O890">
        <v>1</v>
      </c>
      <c r="P890">
        <f t="shared" si="39"/>
        <v>1</v>
      </c>
      <c r="Q890">
        <f t="shared" si="40"/>
        <v>1</v>
      </c>
      <c r="R890">
        <f t="shared" si="41"/>
        <v>1</v>
      </c>
      <c r="S890" s="10" t="str" cm="1">
        <f t="array" ref="S890">_xlfn.IFS(N890="", "", N890&gt;=9,"Promoter", N890&gt;=7,"Passive", N890&lt;=6,"Detractor")</f>
        <v>Promoter</v>
      </c>
    </row>
    <row r="891" spans="1:19" ht="14.25" customHeight="1">
      <c r="A891" s="3" t="s">
        <v>922</v>
      </c>
      <c r="B891" s="3" t="s">
        <v>37</v>
      </c>
      <c r="C891" s="3" t="s">
        <v>21</v>
      </c>
      <c r="D891" s="4">
        <v>45935</v>
      </c>
      <c r="E891" s="4">
        <v>45937</v>
      </c>
      <c r="F891" s="4">
        <v>45941</v>
      </c>
      <c r="G891" s="4">
        <v>45943</v>
      </c>
      <c r="H891" s="3" t="s">
        <v>22</v>
      </c>
      <c r="J891" s="4">
        <v>45960</v>
      </c>
      <c r="K891" s="3">
        <v>2</v>
      </c>
      <c r="L891" s="3">
        <v>4</v>
      </c>
      <c r="M891" s="3">
        <v>2</v>
      </c>
      <c r="N891" s="3">
        <v>4</v>
      </c>
      <c r="O891">
        <v>1</v>
      </c>
      <c r="P891">
        <f t="shared" si="39"/>
        <v>1</v>
      </c>
      <c r="Q891">
        <f t="shared" si="40"/>
        <v>1</v>
      </c>
      <c r="R891">
        <f t="shared" si="41"/>
        <v>1</v>
      </c>
      <c r="S891" s="10" t="str" cm="1">
        <f t="array" ref="S891">_xlfn.IFS(N891="", "", N891&gt;=9,"Promoter", N891&gt;=7,"Passive", N891&lt;=6,"Detractor")</f>
        <v>Detractor</v>
      </c>
    </row>
    <row r="892" spans="1:19" ht="14.25" customHeight="1">
      <c r="A892" s="3" t="s">
        <v>923</v>
      </c>
      <c r="B892" s="3" t="s">
        <v>20</v>
      </c>
      <c r="C892" s="3" t="s">
        <v>27</v>
      </c>
      <c r="D892" s="4">
        <v>45956</v>
      </c>
      <c r="H892" s="3" t="s">
        <v>28</v>
      </c>
      <c r="I892" s="3" t="s">
        <v>38</v>
      </c>
      <c r="O892">
        <v>1</v>
      </c>
      <c r="P892">
        <f t="shared" si="39"/>
        <v>0</v>
      </c>
      <c r="Q892">
        <f t="shared" si="40"/>
        <v>0</v>
      </c>
      <c r="R892">
        <f t="shared" si="41"/>
        <v>0</v>
      </c>
      <c r="S892" s="10" t="str" cm="1">
        <f t="array" ref="S892">_xlfn.IFS(N892="", "", N892&gt;=9,"Promoter", N892&gt;=7,"Passive", N892&lt;=6,"Detractor")</f>
        <v/>
      </c>
    </row>
    <row r="893" spans="1:19" ht="14.25" customHeight="1">
      <c r="A893" s="3" t="s">
        <v>924</v>
      </c>
      <c r="B893" s="3" t="s">
        <v>20</v>
      </c>
      <c r="C893" s="3" t="s">
        <v>21</v>
      </c>
      <c r="D893" s="4">
        <v>45959</v>
      </c>
      <c r="E893" s="4">
        <v>45962</v>
      </c>
      <c r="F893" s="4">
        <v>45966</v>
      </c>
      <c r="G893" s="4">
        <v>45971</v>
      </c>
      <c r="H893" s="3" t="s">
        <v>22</v>
      </c>
      <c r="J893" s="4">
        <v>45981</v>
      </c>
      <c r="K893" s="3">
        <v>3</v>
      </c>
      <c r="L893" s="3">
        <v>4</v>
      </c>
      <c r="M893" s="3">
        <v>5</v>
      </c>
      <c r="N893" s="3">
        <v>7</v>
      </c>
      <c r="O893">
        <v>1</v>
      </c>
      <c r="P893">
        <f t="shared" si="39"/>
        <v>1</v>
      </c>
      <c r="Q893">
        <f t="shared" si="40"/>
        <v>1</v>
      </c>
      <c r="R893">
        <f t="shared" si="41"/>
        <v>1</v>
      </c>
      <c r="S893" s="10" t="str" cm="1">
        <f t="array" ref="S893">_xlfn.IFS(N893="", "", N893&gt;=9,"Promoter", N893&gt;=7,"Passive", N893&lt;=6,"Detractor")</f>
        <v>Passive</v>
      </c>
    </row>
    <row r="894" spans="1:19" ht="14.25" customHeight="1">
      <c r="A894" s="3" t="s">
        <v>925</v>
      </c>
      <c r="B894" s="3" t="s">
        <v>20</v>
      </c>
      <c r="C894" s="3" t="s">
        <v>21</v>
      </c>
      <c r="D894" s="4">
        <v>45950</v>
      </c>
      <c r="E894" s="4">
        <v>45955</v>
      </c>
      <c r="F894" s="4">
        <v>45957</v>
      </c>
      <c r="G894" s="4">
        <v>45964</v>
      </c>
      <c r="H894" s="3" t="s">
        <v>22</v>
      </c>
      <c r="J894" s="4">
        <v>45974</v>
      </c>
      <c r="K894" s="3">
        <v>5</v>
      </c>
      <c r="L894" s="3">
        <v>2</v>
      </c>
      <c r="M894" s="3">
        <v>7</v>
      </c>
      <c r="N894" s="3">
        <v>7</v>
      </c>
      <c r="O894">
        <v>1</v>
      </c>
      <c r="P894">
        <f t="shared" si="39"/>
        <v>1</v>
      </c>
      <c r="Q894">
        <f t="shared" si="40"/>
        <v>1</v>
      </c>
      <c r="R894">
        <f t="shared" si="41"/>
        <v>1</v>
      </c>
      <c r="S894" s="10" t="str" cm="1">
        <f t="array" ref="S894">_xlfn.IFS(N894="", "", N894&gt;=9,"Promoter", N894&gt;=7,"Passive", N894&lt;=6,"Detractor")</f>
        <v>Passive</v>
      </c>
    </row>
    <row r="895" spans="1:19" ht="14.25" customHeight="1">
      <c r="A895" s="3" t="s">
        <v>926</v>
      </c>
      <c r="B895" s="3" t="s">
        <v>26</v>
      </c>
      <c r="C895" s="3" t="s">
        <v>21</v>
      </c>
      <c r="D895" s="4">
        <v>45931</v>
      </c>
      <c r="E895" s="4">
        <v>45934</v>
      </c>
      <c r="F895" s="4">
        <v>45937</v>
      </c>
      <c r="G895" s="4">
        <v>45942</v>
      </c>
      <c r="H895" s="3" t="s">
        <v>22</v>
      </c>
      <c r="J895" s="4">
        <v>45954</v>
      </c>
      <c r="K895" s="3">
        <v>3</v>
      </c>
      <c r="L895" s="3">
        <v>3</v>
      </c>
      <c r="M895" s="3">
        <v>5</v>
      </c>
      <c r="N895" s="3">
        <v>7</v>
      </c>
      <c r="O895">
        <v>1</v>
      </c>
      <c r="P895">
        <f t="shared" si="39"/>
        <v>1</v>
      </c>
      <c r="Q895">
        <f t="shared" si="40"/>
        <v>1</v>
      </c>
      <c r="R895">
        <f t="shared" si="41"/>
        <v>1</v>
      </c>
      <c r="S895" s="10" t="str" cm="1">
        <f t="array" ref="S895">_xlfn.IFS(N895="", "", N895&gt;=9,"Promoter", N895&gt;=7,"Passive", N895&lt;=6,"Detractor")</f>
        <v>Passive</v>
      </c>
    </row>
    <row r="896" spans="1:19" ht="14.25" customHeight="1">
      <c r="A896" s="3" t="s">
        <v>927</v>
      </c>
      <c r="B896" s="3" t="s">
        <v>24</v>
      </c>
      <c r="C896" s="3" t="s">
        <v>21</v>
      </c>
      <c r="D896" s="4">
        <v>45939</v>
      </c>
      <c r="E896" s="4">
        <v>45941</v>
      </c>
      <c r="F896" s="4">
        <v>45943</v>
      </c>
      <c r="G896" s="4">
        <v>45946</v>
      </c>
      <c r="H896" s="3" t="s">
        <v>22</v>
      </c>
      <c r="J896" s="4">
        <v>45959</v>
      </c>
      <c r="K896" s="3">
        <v>2</v>
      </c>
      <c r="L896" s="3">
        <v>2</v>
      </c>
      <c r="M896" s="3">
        <v>3</v>
      </c>
      <c r="N896" s="3">
        <v>1</v>
      </c>
      <c r="O896">
        <v>1</v>
      </c>
      <c r="P896">
        <f t="shared" si="39"/>
        <v>1</v>
      </c>
      <c r="Q896">
        <f t="shared" si="40"/>
        <v>1</v>
      </c>
      <c r="R896">
        <f t="shared" si="41"/>
        <v>1</v>
      </c>
      <c r="S896" s="10" t="str" cm="1">
        <f t="array" ref="S896">_xlfn.IFS(N896="", "", N896&gt;=9,"Promoter", N896&gt;=7,"Passive", N896&lt;=6,"Detractor")</f>
        <v>Detractor</v>
      </c>
    </row>
    <row r="897" spans="1:19" ht="14.25" customHeight="1">
      <c r="A897" s="3" t="s">
        <v>928</v>
      </c>
      <c r="B897" s="3" t="s">
        <v>20</v>
      </c>
      <c r="C897" s="3" t="s">
        <v>21</v>
      </c>
      <c r="D897" s="4">
        <v>45958</v>
      </c>
      <c r="E897" s="4">
        <v>45960</v>
      </c>
      <c r="F897" s="4">
        <v>45963</v>
      </c>
      <c r="G897" s="4">
        <v>45967</v>
      </c>
      <c r="H897" s="3" t="s">
        <v>28</v>
      </c>
      <c r="I897" s="3" t="s">
        <v>106</v>
      </c>
      <c r="K897" s="3">
        <v>2</v>
      </c>
      <c r="L897" s="3">
        <v>3</v>
      </c>
      <c r="M897" s="3">
        <v>4</v>
      </c>
      <c r="O897">
        <v>1</v>
      </c>
      <c r="P897">
        <f t="shared" si="39"/>
        <v>1</v>
      </c>
      <c r="Q897">
        <f t="shared" si="40"/>
        <v>1</v>
      </c>
      <c r="R897">
        <f t="shared" si="41"/>
        <v>0</v>
      </c>
      <c r="S897" s="10" t="str" cm="1">
        <f t="array" ref="S897">_xlfn.IFS(N897="", "", N897&gt;=9,"Promoter", N897&gt;=7,"Passive", N897&lt;=6,"Detractor")</f>
        <v/>
      </c>
    </row>
    <row r="898" spans="1:19" ht="14.25" customHeight="1">
      <c r="A898" s="3" t="s">
        <v>929</v>
      </c>
      <c r="B898" s="3" t="s">
        <v>20</v>
      </c>
      <c r="C898" s="3" t="s">
        <v>27</v>
      </c>
      <c r="D898" s="4">
        <v>45935</v>
      </c>
      <c r="H898" s="3" t="s">
        <v>28</v>
      </c>
      <c r="I898" s="3" t="s">
        <v>106</v>
      </c>
      <c r="O898">
        <v>1</v>
      </c>
      <c r="P898">
        <f t="shared" si="39"/>
        <v>0</v>
      </c>
      <c r="Q898">
        <f t="shared" si="40"/>
        <v>0</v>
      </c>
      <c r="R898">
        <f t="shared" si="41"/>
        <v>0</v>
      </c>
      <c r="S898" s="10" t="str" cm="1">
        <f t="array" ref="S898">_xlfn.IFS(N898="", "", N898&gt;=9,"Promoter", N898&gt;=7,"Passive", N898&lt;=6,"Detractor")</f>
        <v/>
      </c>
    </row>
    <row r="899" spans="1:19" ht="14.25" customHeight="1">
      <c r="A899" s="3" t="s">
        <v>930</v>
      </c>
      <c r="B899" s="3" t="s">
        <v>24</v>
      </c>
      <c r="C899" s="3" t="s">
        <v>27</v>
      </c>
      <c r="D899" s="4">
        <v>45935</v>
      </c>
      <c r="H899" s="3" t="s">
        <v>28</v>
      </c>
      <c r="I899" s="3" t="s">
        <v>38</v>
      </c>
      <c r="O899">
        <v>1</v>
      </c>
      <c r="P899">
        <f t="shared" ref="P899:P962" si="42">IF(E899&lt;&gt;"", 1, 0)</f>
        <v>0</v>
      </c>
      <c r="Q899">
        <f t="shared" ref="Q899:Q962" si="43">IF(G899&lt;&gt;"",1,0)</f>
        <v>0</v>
      </c>
      <c r="R899">
        <f t="shared" ref="R899:R962" si="44">IF(AND(G899&lt;&gt;"", H899="No"), 1, 0)</f>
        <v>0</v>
      </c>
      <c r="S899" s="10" t="str" cm="1">
        <f t="array" ref="S899">_xlfn.IFS(N899="", "", N899&gt;=9,"Promoter", N899&gt;=7,"Passive", N899&lt;=6,"Detractor")</f>
        <v/>
      </c>
    </row>
    <row r="900" spans="1:19" ht="14.25" customHeight="1">
      <c r="A900" s="3" t="s">
        <v>931</v>
      </c>
      <c r="B900" s="3" t="s">
        <v>20</v>
      </c>
      <c r="C900" s="3" t="s">
        <v>27</v>
      </c>
      <c r="D900" s="4">
        <v>45948</v>
      </c>
      <c r="H900" s="3" t="s">
        <v>28</v>
      </c>
      <c r="I900" s="3" t="s">
        <v>29</v>
      </c>
      <c r="O900">
        <v>1</v>
      </c>
      <c r="P900">
        <f t="shared" si="42"/>
        <v>0</v>
      </c>
      <c r="Q900">
        <f t="shared" si="43"/>
        <v>0</v>
      </c>
      <c r="R900">
        <f t="shared" si="44"/>
        <v>0</v>
      </c>
      <c r="S900" s="10" t="str" cm="1">
        <f t="array" ref="S900">_xlfn.IFS(N900="", "", N900&gt;=9,"Promoter", N900&gt;=7,"Passive", N900&lt;=6,"Detractor")</f>
        <v/>
      </c>
    </row>
    <row r="901" spans="1:19" ht="14.25" customHeight="1">
      <c r="A901" s="3" t="s">
        <v>932</v>
      </c>
      <c r="B901" s="3" t="s">
        <v>37</v>
      </c>
      <c r="C901" s="3" t="s">
        <v>35</v>
      </c>
      <c r="D901" s="4">
        <v>45939</v>
      </c>
      <c r="E901" s="4">
        <v>45943</v>
      </c>
      <c r="F901" s="4">
        <v>45945</v>
      </c>
      <c r="G901" s="4">
        <v>45948</v>
      </c>
      <c r="H901" s="3" t="s">
        <v>22</v>
      </c>
      <c r="J901" s="4">
        <v>45976</v>
      </c>
      <c r="K901" s="3">
        <v>4</v>
      </c>
      <c r="L901" s="3">
        <v>2</v>
      </c>
      <c r="M901" s="3">
        <v>3</v>
      </c>
      <c r="N901" s="3">
        <v>9</v>
      </c>
      <c r="O901">
        <v>1</v>
      </c>
      <c r="P901">
        <f t="shared" si="42"/>
        <v>1</v>
      </c>
      <c r="Q901">
        <f t="shared" si="43"/>
        <v>1</v>
      </c>
      <c r="R901">
        <f t="shared" si="44"/>
        <v>1</v>
      </c>
      <c r="S901" s="10" t="str" cm="1">
        <f t="array" ref="S901">_xlfn.IFS(N901="", "", N901&gt;=9,"Promoter", N901&gt;=7,"Passive", N901&lt;=6,"Detractor")</f>
        <v>Promoter</v>
      </c>
    </row>
    <row r="902" spans="1:19" ht="14.25" customHeight="1">
      <c r="A902" s="3" t="s">
        <v>933</v>
      </c>
      <c r="B902" s="3" t="s">
        <v>24</v>
      </c>
      <c r="C902" s="3" t="s">
        <v>21</v>
      </c>
      <c r="D902" s="4">
        <v>45956</v>
      </c>
      <c r="E902" s="4">
        <v>45961</v>
      </c>
      <c r="F902" s="4">
        <v>45965</v>
      </c>
      <c r="G902" s="4">
        <v>45968</v>
      </c>
      <c r="H902" s="3" t="s">
        <v>22</v>
      </c>
      <c r="J902" s="4">
        <v>45993</v>
      </c>
      <c r="K902" s="3">
        <v>5</v>
      </c>
      <c r="L902" s="3">
        <v>4</v>
      </c>
      <c r="M902" s="3">
        <v>3</v>
      </c>
      <c r="N902" s="3">
        <v>10</v>
      </c>
      <c r="O902">
        <v>1</v>
      </c>
      <c r="P902">
        <f t="shared" si="42"/>
        <v>1</v>
      </c>
      <c r="Q902">
        <f t="shared" si="43"/>
        <v>1</v>
      </c>
      <c r="R902">
        <f t="shared" si="44"/>
        <v>1</v>
      </c>
      <c r="S902" s="10" t="str" cm="1">
        <f t="array" ref="S902">_xlfn.IFS(N902="", "", N902&gt;=9,"Promoter", N902&gt;=7,"Passive", N902&lt;=6,"Detractor")</f>
        <v>Promoter</v>
      </c>
    </row>
    <row r="903" spans="1:19" ht="14.25" customHeight="1">
      <c r="A903" s="3" t="s">
        <v>934</v>
      </c>
      <c r="B903" s="3" t="s">
        <v>24</v>
      </c>
      <c r="C903" s="3" t="s">
        <v>21</v>
      </c>
      <c r="D903" s="4">
        <v>45936</v>
      </c>
      <c r="E903" s="4">
        <v>45940</v>
      </c>
      <c r="F903" s="4">
        <v>45944</v>
      </c>
      <c r="G903" s="4">
        <v>45948</v>
      </c>
      <c r="H903" s="3" t="s">
        <v>22</v>
      </c>
      <c r="J903" s="4">
        <v>45962</v>
      </c>
      <c r="K903" s="3">
        <v>4</v>
      </c>
      <c r="L903" s="3">
        <v>4</v>
      </c>
      <c r="M903" s="3">
        <v>4</v>
      </c>
      <c r="N903" s="3">
        <v>0</v>
      </c>
      <c r="O903">
        <v>1</v>
      </c>
      <c r="P903">
        <f t="shared" si="42"/>
        <v>1</v>
      </c>
      <c r="Q903">
        <f t="shared" si="43"/>
        <v>1</v>
      </c>
      <c r="R903">
        <f t="shared" si="44"/>
        <v>1</v>
      </c>
      <c r="S903" s="10" t="str" cm="1">
        <f t="array" ref="S903">_xlfn.IFS(N903="", "", N903&gt;=9,"Promoter", N903&gt;=7,"Passive", N903&lt;=6,"Detractor")</f>
        <v>Detractor</v>
      </c>
    </row>
    <row r="904" spans="1:19" ht="14.25" customHeight="1">
      <c r="A904" s="3" t="s">
        <v>935</v>
      </c>
      <c r="B904" s="3" t="s">
        <v>24</v>
      </c>
      <c r="C904" s="3" t="s">
        <v>21</v>
      </c>
      <c r="D904" s="4">
        <v>45934</v>
      </c>
      <c r="E904" s="4">
        <v>45938</v>
      </c>
      <c r="F904" s="4">
        <v>45939</v>
      </c>
      <c r="G904" s="4">
        <v>45943</v>
      </c>
      <c r="H904" s="3" t="s">
        <v>22</v>
      </c>
      <c r="J904" s="4">
        <v>45955</v>
      </c>
      <c r="K904" s="3">
        <v>4</v>
      </c>
      <c r="L904" s="3">
        <v>1</v>
      </c>
      <c r="M904" s="3">
        <v>4</v>
      </c>
      <c r="N904" s="3">
        <v>5</v>
      </c>
      <c r="O904">
        <v>1</v>
      </c>
      <c r="P904">
        <f t="shared" si="42"/>
        <v>1</v>
      </c>
      <c r="Q904">
        <f t="shared" si="43"/>
        <v>1</v>
      </c>
      <c r="R904">
        <f t="shared" si="44"/>
        <v>1</v>
      </c>
      <c r="S904" s="10" t="str" cm="1">
        <f t="array" ref="S904">_xlfn.IFS(N904="", "", N904&gt;=9,"Promoter", N904&gt;=7,"Passive", N904&lt;=6,"Detractor")</f>
        <v>Detractor</v>
      </c>
    </row>
    <row r="905" spans="1:19" ht="14.25" customHeight="1">
      <c r="A905" s="3" t="s">
        <v>936</v>
      </c>
      <c r="B905" s="3" t="s">
        <v>37</v>
      </c>
      <c r="C905" s="3" t="s">
        <v>21</v>
      </c>
      <c r="D905" s="4">
        <v>45952</v>
      </c>
      <c r="E905" s="4">
        <v>45955</v>
      </c>
      <c r="F905" s="4">
        <v>45959</v>
      </c>
      <c r="G905" s="4">
        <v>45964</v>
      </c>
      <c r="H905" s="3" t="s">
        <v>22</v>
      </c>
      <c r="J905" s="4">
        <v>45990</v>
      </c>
      <c r="K905" s="3">
        <v>3</v>
      </c>
      <c r="L905" s="3">
        <v>4</v>
      </c>
      <c r="M905" s="3">
        <v>5</v>
      </c>
      <c r="N905" s="3">
        <v>9</v>
      </c>
      <c r="O905">
        <v>1</v>
      </c>
      <c r="P905">
        <f t="shared" si="42"/>
        <v>1</v>
      </c>
      <c r="Q905">
        <f t="shared" si="43"/>
        <v>1</v>
      </c>
      <c r="R905">
        <f t="shared" si="44"/>
        <v>1</v>
      </c>
      <c r="S905" s="10" t="str" cm="1">
        <f t="array" ref="S905">_xlfn.IFS(N905="", "", N905&gt;=9,"Promoter", N905&gt;=7,"Passive", N905&lt;=6,"Detractor")</f>
        <v>Promoter</v>
      </c>
    </row>
    <row r="906" spans="1:19" ht="14.25" customHeight="1">
      <c r="A906" s="3" t="s">
        <v>937</v>
      </c>
      <c r="B906" s="3" t="s">
        <v>24</v>
      </c>
      <c r="C906" s="3" t="s">
        <v>27</v>
      </c>
      <c r="D906" s="4">
        <v>45958</v>
      </c>
      <c r="H906" s="3" t="s">
        <v>28</v>
      </c>
      <c r="I906" s="3" t="s">
        <v>68</v>
      </c>
      <c r="O906">
        <v>1</v>
      </c>
      <c r="P906">
        <f t="shared" si="42"/>
        <v>0</v>
      </c>
      <c r="Q906">
        <f t="shared" si="43"/>
        <v>0</v>
      </c>
      <c r="R906">
        <f t="shared" si="44"/>
        <v>0</v>
      </c>
      <c r="S906" s="10" t="str" cm="1">
        <f t="array" ref="S906">_xlfn.IFS(N906="", "", N906&gt;=9,"Promoter", N906&gt;=7,"Passive", N906&lt;=6,"Detractor")</f>
        <v/>
      </c>
    </row>
    <row r="907" spans="1:19" ht="14.25" customHeight="1">
      <c r="A907" s="3" t="s">
        <v>938</v>
      </c>
      <c r="B907" s="3" t="s">
        <v>37</v>
      </c>
      <c r="C907" s="3" t="s">
        <v>21</v>
      </c>
      <c r="D907" s="4">
        <v>45931</v>
      </c>
      <c r="E907" s="4">
        <v>45935</v>
      </c>
      <c r="F907" s="4">
        <v>45940</v>
      </c>
      <c r="G907" s="4">
        <v>45943</v>
      </c>
      <c r="H907" s="3" t="s">
        <v>22</v>
      </c>
      <c r="J907" s="4">
        <v>45955</v>
      </c>
      <c r="K907" s="3">
        <v>4</v>
      </c>
      <c r="L907" s="3">
        <v>5</v>
      </c>
      <c r="M907" s="3">
        <v>3</v>
      </c>
      <c r="N907" s="3">
        <v>7</v>
      </c>
      <c r="O907">
        <v>1</v>
      </c>
      <c r="P907">
        <f t="shared" si="42"/>
        <v>1</v>
      </c>
      <c r="Q907">
        <f t="shared" si="43"/>
        <v>1</v>
      </c>
      <c r="R907">
        <f t="shared" si="44"/>
        <v>1</v>
      </c>
      <c r="S907" s="10" t="str" cm="1">
        <f t="array" ref="S907">_xlfn.IFS(N907="", "", N907&gt;=9,"Promoter", N907&gt;=7,"Passive", N907&lt;=6,"Detractor")</f>
        <v>Passive</v>
      </c>
    </row>
    <row r="908" spans="1:19" ht="14.25" customHeight="1">
      <c r="A908" s="3" t="s">
        <v>939</v>
      </c>
      <c r="B908" s="3" t="s">
        <v>24</v>
      </c>
      <c r="C908" s="3" t="s">
        <v>21</v>
      </c>
      <c r="D908" s="4">
        <v>45935</v>
      </c>
      <c r="E908" s="4">
        <v>45936</v>
      </c>
      <c r="F908" s="4">
        <v>45940</v>
      </c>
      <c r="G908" s="4">
        <v>45942</v>
      </c>
      <c r="H908" s="3" t="s">
        <v>22</v>
      </c>
      <c r="J908" s="4">
        <v>45955</v>
      </c>
      <c r="K908" s="3">
        <v>1</v>
      </c>
      <c r="L908" s="3">
        <v>4</v>
      </c>
      <c r="M908" s="3">
        <v>2</v>
      </c>
      <c r="N908" s="3">
        <v>4</v>
      </c>
      <c r="O908">
        <v>1</v>
      </c>
      <c r="P908">
        <f t="shared" si="42"/>
        <v>1</v>
      </c>
      <c r="Q908">
        <f t="shared" si="43"/>
        <v>1</v>
      </c>
      <c r="R908">
        <f t="shared" si="44"/>
        <v>1</v>
      </c>
      <c r="S908" s="10" t="str" cm="1">
        <f t="array" ref="S908">_xlfn.IFS(N908="", "", N908&gt;=9,"Promoter", N908&gt;=7,"Passive", N908&lt;=6,"Detractor")</f>
        <v>Detractor</v>
      </c>
    </row>
    <row r="909" spans="1:19" ht="14.25" customHeight="1">
      <c r="A909" s="3" t="s">
        <v>940</v>
      </c>
      <c r="B909" s="3" t="s">
        <v>26</v>
      </c>
      <c r="C909" s="3" t="s">
        <v>35</v>
      </c>
      <c r="D909" s="4">
        <v>45931</v>
      </c>
      <c r="E909" s="4">
        <v>45932</v>
      </c>
      <c r="F909" s="4">
        <v>45937</v>
      </c>
      <c r="G909" s="4">
        <v>45943</v>
      </c>
      <c r="H909" s="3" t="s">
        <v>22</v>
      </c>
      <c r="J909" s="4">
        <v>45961</v>
      </c>
      <c r="K909" s="3">
        <v>1</v>
      </c>
      <c r="L909" s="3">
        <v>5</v>
      </c>
      <c r="M909" s="3">
        <v>6</v>
      </c>
      <c r="N909" s="3">
        <v>2</v>
      </c>
      <c r="O909">
        <v>1</v>
      </c>
      <c r="P909">
        <f t="shared" si="42"/>
        <v>1</v>
      </c>
      <c r="Q909">
        <f t="shared" si="43"/>
        <v>1</v>
      </c>
      <c r="R909">
        <f t="shared" si="44"/>
        <v>1</v>
      </c>
      <c r="S909" s="10" t="str" cm="1">
        <f t="array" ref="S909">_xlfn.IFS(N909="", "", N909&gt;=9,"Promoter", N909&gt;=7,"Passive", N909&lt;=6,"Detractor")</f>
        <v>Detractor</v>
      </c>
    </row>
    <row r="910" spans="1:19" ht="14.25" customHeight="1">
      <c r="A910" s="3" t="s">
        <v>941</v>
      </c>
      <c r="B910" s="3" t="s">
        <v>20</v>
      </c>
      <c r="C910" s="3" t="s">
        <v>21</v>
      </c>
      <c r="D910" s="4">
        <v>45942</v>
      </c>
      <c r="E910" s="4">
        <v>45946</v>
      </c>
      <c r="F910" s="4">
        <v>45950</v>
      </c>
      <c r="G910" s="4">
        <v>45956</v>
      </c>
      <c r="H910" s="3" t="s">
        <v>22</v>
      </c>
      <c r="J910" s="4">
        <v>45986</v>
      </c>
      <c r="K910" s="3">
        <v>4</v>
      </c>
      <c r="L910" s="3">
        <v>4</v>
      </c>
      <c r="M910" s="3">
        <v>6</v>
      </c>
      <c r="N910" s="3">
        <v>8</v>
      </c>
      <c r="O910">
        <v>1</v>
      </c>
      <c r="P910">
        <f t="shared" si="42"/>
        <v>1</v>
      </c>
      <c r="Q910">
        <f t="shared" si="43"/>
        <v>1</v>
      </c>
      <c r="R910">
        <f t="shared" si="44"/>
        <v>1</v>
      </c>
      <c r="S910" s="10" t="str" cm="1">
        <f t="array" ref="S910">_xlfn.IFS(N910="", "", N910&gt;=9,"Promoter", N910&gt;=7,"Passive", N910&lt;=6,"Detractor")</f>
        <v>Passive</v>
      </c>
    </row>
    <row r="911" spans="1:19" ht="14.25" customHeight="1">
      <c r="A911" s="3" t="s">
        <v>942</v>
      </c>
      <c r="B911" s="3" t="s">
        <v>26</v>
      </c>
      <c r="C911" s="3" t="s">
        <v>21</v>
      </c>
      <c r="D911" s="4">
        <v>45956</v>
      </c>
      <c r="E911" s="4">
        <v>45961</v>
      </c>
      <c r="F911" s="4">
        <v>45966</v>
      </c>
      <c r="G911" s="4">
        <v>45972</v>
      </c>
      <c r="H911" s="3" t="s">
        <v>22</v>
      </c>
      <c r="J911" s="4">
        <v>45989</v>
      </c>
      <c r="K911" s="3">
        <v>5</v>
      </c>
      <c r="L911" s="3">
        <v>5</v>
      </c>
      <c r="M911" s="3">
        <v>6</v>
      </c>
      <c r="N911" s="3">
        <v>2</v>
      </c>
      <c r="O911">
        <v>1</v>
      </c>
      <c r="P911">
        <f t="shared" si="42"/>
        <v>1</v>
      </c>
      <c r="Q911">
        <f t="shared" si="43"/>
        <v>1</v>
      </c>
      <c r="R911">
        <f t="shared" si="44"/>
        <v>1</v>
      </c>
      <c r="S911" s="10" t="str" cm="1">
        <f t="array" ref="S911">_xlfn.IFS(N911="", "", N911&gt;=9,"Promoter", N911&gt;=7,"Passive", N911&lt;=6,"Detractor")</f>
        <v>Detractor</v>
      </c>
    </row>
    <row r="912" spans="1:19" ht="14.25" customHeight="1">
      <c r="A912" s="3" t="s">
        <v>943</v>
      </c>
      <c r="B912" s="3" t="s">
        <v>20</v>
      </c>
      <c r="C912" s="3" t="s">
        <v>21</v>
      </c>
      <c r="D912" s="4">
        <v>45956</v>
      </c>
      <c r="E912" s="4">
        <v>45960</v>
      </c>
      <c r="F912" s="4">
        <v>45965</v>
      </c>
      <c r="G912" s="4">
        <v>45968</v>
      </c>
      <c r="H912" s="3" t="s">
        <v>22</v>
      </c>
      <c r="J912" s="4">
        <v>45992</v>
      </c>
      <c r="K912" s="3">
        <v>4</v>
      </c>
      <c r="L912" s="3">
        <v>5</v>
      </c>
      <c r="M912" s="3">
        <v>3</v>
      </c>
      <c r="N912" s="3">
        <v>4</v>
      </c>
      <c r="O912">
        <v>1</v>
      </c>
      <c r="P912">
        <f t="shared" si="42"/>
        <v>1</v>
      </c>
      <c r="Q912">
        <f t="shared" si="43"/>
        <v>1</v>
      </c>
      <c r="R912">
        <f t="shared" si="44"/>
        <v>1</v>
      </c>
      <c r="S912" s="10" t="str" cm="1">
        <f t="array" ref="S912">_xlfn.IFS(N912="", "", N912&gt;=9,"Promoter", N912&gt;=7,"Passive", N912&lt;=6,"Detractor")</f>
        <v>Detractor</v>
      </c>
    </row>
    <row r="913" spans="1:19" ht="14.25" customHeight="1">
      <c r="A913" s="3" t="s">
        <v>944</v>
      </c>
      <c r="B913" s="3" t="s">
        <v>37</v>
      </c>
      <c r="C913" s="3" t="s">
        <v>35</v>
      </c>
      <c r="D913" s="4">
        <v>45938</v>
      </c>
      <c r="E913" s="4">
        <v>45940</v>
      </c>
      <c r="F913" s="4">
        <v>45944</v>
      </c>
      <c r="G913" s="4">
        <v>45951</v>
      </c>
      <c r="H913" s="3" t="s">
        <v>22</v>
      </c>
      <c r="J913" s="4">
        <v>45970</v>
      </c>
      <c r="K913" s="3">
        <v>2</v>
      </c>
      <c r="L913" s="3">
        <v>4</v>
      </c>
      <c r="M913" s="3">
        <v>7</v>
      </c>
      <c r="N913" s="3">
        <v>1</v>
      </c>
      <c r="O913">
        <v>1</v>
      </c>
      <c r="P913">
        <f t="shared" si="42"/>
        <v>1</v>
      </c>
      <c r="Q913">
        <f t="shared" si="43"/>
        <v>1</v>
      </c>
      <c r="R913">
        <f t="shared" si="44"/>
        <v>1</v>
      </c>
      <c r="S913" s="10" t="str" cm="1">
        <f t="array" ref="S913">_xlfn.IFS(N913="", "", N913&gt;=9,"Promoter", N913&gt;=7,"Passive", N913&lt;=6,"Detractor")</f>
        <v>Detractor</v>
      </c>
    </row>
    <row r="914" spans="1:19" ht="14.25" customHeight="1">
      <c r="A914" s="3" t="s">
        <v>945</v>
      </c>
      <c r="B914" s="3" t="s">
        <v>26</v>
      </c>
      <c r="C914" s="3" t="s">
        <v>35</v>
      </c>
      <c r="D914" s="4">
        <v>45949</v>
      </c>
      <c r="E914" s="4">
        <v>45951</v>
      </c>
      <c r="F914" s="4">
        <v>45956</v>
      </c>
      <c r="G914" s="4">
        <v>45960</v>
      </c>
      <c r="H914" s="3" t="s">
        <v>22</v>
      </c>
      <c r="J914" s="4">
        <v>45978</v>
      </c>
      <c r="K914" s="3">
        <v>2</v>
      </c>
      <c r="L914" s="3">
        <v>5</v>
      </c>
      <c r="M914" s="3">
        <v>4</v>
      </c>
      <c r="N914" s="3">
        <v>8</v>
      </c>
      <c r="O914">
        <v>1</v>
      </c>
      <c r="P914">
        <f t="shared" si="42"/>
        <v>1</v>
      </c>
      <c r="Q914">
        <f t="shared" si="43"/>
        <v>1</v>
      </c>
      <c r="R914">
        <f t="shared" si="44"/>
        <v>1</v>
      </c>
      <c r="S914" s="10" t="str" cm="1">
        <f t="array" ref="S914">_xlfn.IFS(N914="", "", N914&gt;=9,"Promoter", N914&gt;=7,"Passive", N914&lt;=6,"Detractor")</f>
        <v>Passive</v>
      </c>
    </row>
    <row r="915" spans="1:19" ht="14.25" customHeight="1">
      <c r="A915" s="3" t="s">
        <v>946</v>
      </c>
      <c r="B915" s="3" t="s">
        <v>24</v>
      </c>
      <c r="C915" s="3" t="s">
        <v>21</v>
      </c>
      <c r="D915" s="4">
        <v>45941</v>
      </c>
      <c r="E915" s="4">
        <v>45946</v>
      </c>
      <c r="F915" s="4">
        <v>45947</v>
      </c>
      <c r="G915" s="4">
        <v>45952</v>
      </c>
      <c r="H915" s="3" t="s">
        <v>22</v>
      </c>
      <c r="J915" s="4">
        <v>45976</v>
      </c>
      <c r="K915" s="3">
        <v>5</v>
      </c>
      <c r="L915" s="3">
        <v>1</v>
      </c>
      <c r="M915" s="3">
        <v>5</v>
      </c>
      <c r="N915" s="3">
        <v>9</v>
      </c>
      <c r="O915">
        <v>1</v>
      </c>
      <c r="P915">
        <f t="shared" si="42"/>
        <v>1</v>
      </c>
      <c r="Q915">
        <f t="shared" si="43"/>
        <v>1</v>
      </c>
      <c r="R915">
        <f t="shared" si="44"/>
        <v>1</v>
      </c>
      <c r="S915" s="10" t="str" cm="1">
        <f t="array" ref="S915">_xlfn.IFS(N915="", "", N915&gt;=9,"Promoter", N915&gt;=7,"Passive", N915&lt;=6,"Detractor")</f>
        <v>Promoter</v>
      </c>
    </row>
    <row r="916" spans="1:19" ht="14.25" customHeight="1">
      <c r="A916" s="3" t="s">
        <v>947</v>
      </c>
      <c r="B916" s="3" t="s">
        <v>20</v>
      </c>
      <c r="C916" s="3" t="s">
        <v>35</v>
      </c>
      <c r="D916" s="4">
        <v>45931</v>
      </c>
      <c r="E916" s="4">
        <v>45934</v>
      </c>
      <c r="F916" s="4">
        <v>45937</v>
      </c>
      <c r="G916" s="4">
        <v>45942</v>
      </c>
      <c r="H916" s="3" t="s">
        <v>22</v>
      </c>
      <c r="J916" s="4">
        <v>45953</v>
      </c>
      <c r="K916" s="3">
        <v>3</v>
      </c>
      <c r="L916" s="3">
        <v>3</v>
      </c>
      <c r="M916" s="3">
        <v>5</v>
      </c>
      <c r="N916" s="3">
        <v>4</v>
      </c>
      <c r="O916">
        <v>1</v>
      </c>
      <c r="P916">
        <f t="shared" si="42"/>
        <v>1</v>
      </c>
      <c r="Q916">
        <f t="shared" si="43"/>
        <v>1</v>
      </c>
      <c r="R916">
        <f t="shared" si="44"/>
        <v>1</v>
      </c>
      <c r="S916" s="10" t="str" cm="1">
        <f t="array" ref="S916">_xlfn.IFS(N916="", "", N916&gt;=9,"Promoter", N916&gt;=7,"Passive", N916&lt;=6,"Detractor")</f>
        <v>Detractor</v>
      </c>
    </row>
    <row r="917" spans="1:19" ht="14.25" customHeight="1">
      <c r="A917" s="3" t="s">
        <v>948</v>
      </c>
      <c r="B917" s="3" t="s">
        <v>20</v>
      </c>
      <c r="C917" s="3" t="s">
        <v>35</v>
      </c>
      <c r="D917" s="4">
        <v>45936</v>
      </c>
      <c r="E917" s="4">
        <v>45937</v>
      </c>
      <c r="F917" s="4">
        <v>45942</v>
      </c>
      <c r="G917" s="4">
        <v>45948</v>
      </c>
      <c r="H917" s="3" t="s">
        <v>22</v>
      </c>
      <c r="J917" s="4">
        <v>45961</v>
      </c>
      <c r="K917" s="3">
        <v>1</v>
      </c>
      <c r="L917" s="3">
        <v>5</v>
      </c>
      <c r="M917" s="3">
        <v>6</v>
      </c>
      <c r="N917" s="3">
        <v>1</v>
      </c>
      <c r="O917">
        <v>1</v>
      </c>
      <c r="P917">
        <f t="shared" si="42"/>
        <v>1</v>
      </c>
      <c r="Q917">
        <f t="shared" si="43"/>
        <v>1</v>
      </c>
      <c r="R917">
        <f t="shared" si="44"/>
        <v>1</v>
      </c>
      <c r="S917" s="10" t="str" cm="1">
        <f t="array" ref="S917">_xlfn.IFS(N917="", "", N917&gt;=9,"Promoter", N917&gt;=7,"Passive", N917&lt;=6,"Detractor")</f>
        <v>Detractor</v>
      </c>
    </row>
    <row r="918" spans="1:19" ht="14.25" customHeight="1">
      <c r="A918" s="3" t="s">
        <v>949</v>
      </c>
      <c r="B918" s="3" t="s">
        <v>26</v>
      </c>
      <c r="C918" s="3" t="s">
        <v>35</v>
      </c>
      <c r="D918" s="4">
        <v>45939</v>
      </c>
      <c r="E918" s="4">
        <v>45940</v>
      </c>
      <c r="F918" s="4">
        <v>45945</v>
      </c>
      <c r="G918" s="4">
        <v>45950</v>
      </c>
      <c r="H918" s="3" t="s">
        <v>22</v>
      </c>
      <c r="J918" s="4">
        <v>45965</v>
      </c>
      <c r="K918" s="3">
        <v>1</v>
      </c>
      <c r="L918" s="3">
        <v>5</v>
      </c>
      <c r="M918" s="3">
        <v>5</v>
      </c>
      <c r="N918" s="3">
        <v>6</v>
      </c>
      <c r="O918">
        <v>1</v>
      </c>
      <c r="P918">
        <f t="shared" si="42"/>
        <v>1</v>
      </c>
      <c r="Q918">
        <f t="shared" si="43"/>
        <v>1</v>
      </c>
      <c r="R918">
        <f t="shared" si="44"/>
        <v>1</v>
      </c>
      <c r="S918" s="10" t="str" cm="1">
        <f t="array" ref="S918">_xlfn.IFS(N918="", "", N918&gt;=9,"Promoter", N918&gt;=7,"Passive", N918&lt;=6,"Detractor")</f>
        <v>Detractor</v>
      </c>
    </row>
    <row r="919" spans="1:19" ht="14.25" customHeight="1">
      <c r="A919" s="3" t="s">
        <v>950</v>
      </c>
      <c r="B919" s="3" t="s">
        <v>37</v>
      </c>
      <c r="C919" s="3" t="s">
        <v>35</v>
      </c>
      <c r="D919" s="4">
        <v>45932</v>
      </c>
      <c r="E919" s="4">
        <v>45935</v>
      </c>
      <c r="F919" s="4">
        <v>45936</v>
      </c>
      <c r="G919" s="4">
        <v>45938</v>
      </c>
      <c r="H919" s="3" t="s">
        <v>22</v>
      </c>
      <c r="J919" s="4">
        <v>45949</v>
      </c>
      <c r="K919" s="3">
        <v>3</v>
      </c>
      <c r="L919" s="3">
        <v>1</v>
      </c>
      <c r="M919" s="3">
        <v>2</v>
      </c>
      <c r="N919" s="3">
        <v>8</v>
      </c>
      <c r="O919">
        <v>1</v>
      </c>
      <c r="P919">
        <f t="shared" si="42"/>
        <v>1</v>
      </c>
      <c r="Q919">
        <f t="shared" si="43"/>
        <v>1</v>
      </c>
      <c r="R919">
        <f t="shared" si="44"/>
        <v>1</v>
      </c>
      <c r="S919" s="10" t="str" cm="1">
        <f t="array" ref="S919">_xlfn.IFS(N919="", "", N919&gt;=9,"Promoter", N919&gt;=7,"Passive", N919&lt;=6,"Detractor")</f>
        <v>Passive</v>
      </c>
    </row>
    <row r="920" spans="1:19" ht="14.25" customHeight="1">
      <c r="A920" s="3" t="s">
        <v>951</v>
      </c>
      <c r="B920" s="3" t="s">
        <v>26</v>
      </c>
      <c r="C920" s="3" t="s">
        <v>35</v>
      </c>
      <c r="D920" s="4">
        <v>45935</v>
      </c>
      <c r="E920" s="4">
        <v>45939</v>
      </c>
      <c r="F920" s="4">
        <v>45940</v>
      </c>
      <c r="G920" s="4">
        <v>45942</v>
      </c>
      <c r="H920" s="3" t="s">
        <v>22</v>
      </c>
      <c r="J920" s="4">
        <v>45961</v>
      </c>
      <c r="K920" s="3">
        <v>4</v>
      </c>
      <c r="L920" s="3">
        <v>1</v>
      </c>
      <c r="M920" s="3">
        <v>2</v>
      </c>
      <c r="N920" s="3">
        <v>1</v>
      </c>
      <c r="O920">
        <v>1</v>
      </c>
      <c r="P920">
        <f t="shared" si="42"/>
        <v>1</v>
      </c>
      <c r="Q920">
        <f t="shared" si="43"/>
        <v>1</v>
      </c>
      <c r="R920">
        <f t="shared" si="44"/>
        <v>1</v>
      </c>
      <c r="S920" s="10" t="str" cm="1">
        <f t="array" ref="S920">_xlfn.IFS(N920="", "", N920&gt;=9,"Promoter", N920&gt;=7,"Passive", N920&lt;=6,"Detractor")</f>
        <v>Detractor</v>
      </c>
    </row>
    <row r="921" spans="1:19" ht="14.25" customHeight="1">
      <c r="A921" s="3" t="s">
        <v>952</v>
      </c>
      <c r="B921" s="3" t="s">
        <v>37</v>
      </c>
      <c r="C921" s="3" t="s">
        <v>21</v>
      </c>
      <c r="D921" s="4">
        <v>45954</v>
      </c>
      <c r="E921" s="4">
        <v>45959</v>
      </c>
      <c r="F921" s="4">
        <v>45961</v>
      </c>
      <c r="G921" s="4">
        <v>45965</v>
      </c>
      <c r="H921" s="3" t="s">
        <v>22</v>
      </c>
      <c r="J921" s="4">
        <v>45986</v>
      </c>
      <c r="K921" s="3">
        <v>5</v>
      </c>
      <c r="L921" s="3">
        <v>2</v>
      </c>
      <c r="M921" s="3">
        <v>4</v>
      </c>
      <c r="N921" s="3">
        <v>6</v>
      </c>
      <c r="O921">
        <v>1</v>
      </c>
      <c r="P921">
        <f t="shared" si="42"/>
        <v>1</v>
      </c>
      <c r="Q921">
        <f t="shared" si="43"/>
        <v>1</v>
      </c>
      <c r="R921">
        <f t="shared" si="44"/>
        <v>1</v>
      </c>
      <c r="S921" s="10" t="str" cm="1">
        <f t="array" ref="S921">_xlfn.IFS(N921="", "", N921&gt;=9,"Promoter", N921&gt;=7,"Passive", N921&lt;=6,"Detractor")</f>
        <v>Detractor</v>
      </c>
    </row>
    <row r="922" spans="1:19" ht="14.25" customHeight="1">
      <c r="A922" s="3" t="s">
        <v>953</v>
      </c>
      <c r="B922" s="3" t="s">
        <v>37</v>
      </c>
      <c r="C922" s="3" t="s">
        <v>21</v>
      </c>
      <c r="D922" s="4">
        <v>45944</v>
      </c>
      <c r="E922" s="4">
        <v>45948</v>
      </c>
      <c r="F922" s="4">
        <v>45951</v>
      </c>
      <c r="G922" s="4">
        <v>45956</v>
      </c>
      <c r="H922" s="3" t="s">
        <v>22</v>
      </c>
      <c r="J922" s="4">
        <v>45976</v>
      </c>
      <c r="K922" s="3">
        <v>4</v>
      </c>
      <c r="L922" s="3">
        <v>3</v>
      </c>
      <c r="M922" s="3">
        <v>5</v>
      </c>
      <c r="N922" s="3">
        <v>0</v>
      </c>
      <c r="O922">
        <v>1</v>
      </c>
      <c r="P922">
        <f t="shared" si="42"/>
        <v>1</v>
      </c>
      <c r="Q922">
        <f t="shared" si="43"/>
        <v>1</v>
      </c>
      <c r="R922">
        <f t="shared" si="44"/>
        <v>1</v>
      </c>
      <c r="S922" s="10" t="str" cm="1">
        <f t="array" ref="S922">_xlfn.IFS(N922="", "", N922&gt;=9,"Promoter", N922&gt;=7,"Passive", N922&lt;=6,"Detractor")</f>
        <v>Detractor</v>
      </c>
    </row>
    <row r="923" spans="1:19" ht="14.25" customHeight="1">
      <c r="A923" s="3" t="s">
        <v>954</v>
      </c>
      <c r="B923" s="3" t="s">
        <v>20</v>
      </c>
      <c r="C923" s="3" t="s">
        <v>27</v>
      </c>
      <c r="D923" s="4">
        <v>45947</v>
      </c>
      <c r="H923" s="3" t="s">
        <v>28</v>
      </c>
      <c r="I923" s="3" t="s">
        <v>29</v>
      </c>
      <c r="O923">
        <v>1</v>
      </c>
      <c r="P923">
        <f t="shared" si="42"/>
        <v>0</v>
      </c>
      <c r="Q923">
        <f t="shared" si="43"/>
        <v>0</v>
      </c>
      <c r="R923">
        <f t="shared" si="44"/>
        <v>0</v>
      </c>
      <c r="S923" s="10" t="str" cm="1">
        <f t="array" ref="S923">_xlfn.IFS(N923="", "", N923&gt;=9,"Promoter", N923&gt;=7,"Passive", N923&lt;=6,"Detractor")</f>
        <v/>
      </c>
    </row>
    <row r="924" spans="1:19" ht="14.25" customHeight="1">
      <c r="A924" s="3" t="s">
        <v>955</v>
      </c>
      <c r="B924" s="3" t="s">
        <v>26</v>
      </c>
      <c r="C924" s="3" t="s">
        <v>21</v>
      </c>
      <c r="D924" s="4">
        <v>45934</v>
      </c>
      <c r="E924" s="4">
        <v>45937</v>
      </c>
      <c r="F924" s="4">
        <v>45939</v>
      </c>
      <c r="G924" s="4">
        <v>45942</v>
      </c>
      <c r="H924" s="3" t="s">
        <v>22</v>
      </c>
      <c r="J924" s="4">
        <v>45965</v>
      </c>
      <c r="K924" s="3">
        <v>3</v>
      </c>
      <c r="L924" s="3">
        <v>2</v>
      </c>
      <c r="M924" s="3">
        <v>3</v>
      </c>
      <c r="N924" s="3">
        <v>6</v>
      </c>
      <c r="O924">
        <v>1</v>
      </c>
      <c r="P924">
        <f t="shared" si="42"/>
        <v>1</v>
      </c>
      <c r="Q924">
        <f t="shared" si="43"/>
        <v>1</v>
      </c>
      <c r="R924">
        <f t="shared" si="44"/>
        <v>1</v>
      </c>
      <c r="S924" s="10" t="str" cm="1">
        <f t="array" ref="S924">_xlfn.IFS(N924="", "", N924&gt;=9,"Promoter", N924&gt;=7,"Passive", N924&lt;=6,"Detractor")</f>
        <v>Detractor</v>
      </c>
    </row>
    <row r="925" spans="1:19" ht="14.25" customHeight="1">
      <c r="A925" s="3" t="s">
        <v>956</v>
      </c>
      <c r="B925" s="3" t="s">
        <v>26</v>
      </c>
      <c r="C925" s="3" t="s">
        <v>21</v>
      </c>
      <c r="D925" s="4">
        <v>45954</v>
      </c>
      <c r="E925" s="4">
        <v>45959</v>
      </c>
      <c r="F925" s="4">
        <v>45964</v>
      </c>
      <c r="G925" s="4">
        <v>45969</v>
      </c>
      <c r="H925" s="3" t="s">
        <v>22</v>
      </c>
      <c r="J925" s="4">
        <v>45982</v>
      </c>
      <c r="K925" s="3">
        <v>5</v>
      </c>
      <c r="L925" s="3">
        <v>5</v>
      </c>
      <c r="M925" s="3">
        <v>5</v>
      </c>
      <c r="N925" s="3">
        <v>6</v>
      </c>
      <c r="O925">
        <v>1</v>
      </c>
      <c r="P925">
        <f t="shared" si="42"/>
        <v>1</v>
      </c>
      <c r="Q925">
        <f t="shared" si="43"/>
        <v>1</v>
      </c>
      <c r="R925">
        <f t="shared" si="44"/>
        <v>1</v>
      </c>
      <c r="S925" s="10" t="str" cm="1">
        <f t="array" ref="S925">_xlfn.IFS(N925="", "", N925&gt;=9,"Promoter", N925&gt;=7,"Passive", N925&lt;=6,"Detractor")</f>
        <v>Detractor</v>
      </c>
    </row>
    <row r="926" spans="1:19" ht="14.25" customHeight="1">
      <c r="A926" s="3" t="s">
        <v>957</v>
      </c>
      <c r="B926" s="3" t="s">
        <v>37</v>
      </c>
      <c r="C926" s="3" t="s">
        <v>35</v>
      </c>
      <c r="D926" s="4">
        <v>45933</v>
      </c>
      <c r="E926" s="4">
        <v>45934</v>
      </c>
      <c r="F926" s="4">
        <v>45935</v>
      </c>
      <c r="G926" s="4">
        <v>45938</v>
      </c>
      <c r="H926" s="3" t="s">
        <v>22</v>
      </c>
      <c r="J926" s="4">
        <v>45951</v>
      </c>
      <c r="K926" s="3">
        <v>1</v>
      </c>
      <c r="L926" s="3">
        <v>1</v>
      </c>
      <c r="M926" s="3">
        <v>3</v>
      </c>
      <c r="N926" s="3">
        <v>6</v>
      </c>
      <c r="O926">
        <v>1</v>
      </c>
      <c r="P926">
        <f t="shared" si="42"/>
        <v>1</v>
      </c>
      <c r="Q926">
        <f t="shared" si="43"/>
        <v>1</v>
      </c>
      <c r="R926">
        <f t="shared" si="44"/>
        <v>1</v>
      </c>
      <c r="S926" s="10" t="str" cm="1">
        <f t="array" ref="S926">_xlfn.IFS(N926="", "", N926&gt;=9,"Promoter", N926&gt;=7,"Passive", N926&lt;=6,"Detractor")</f>
        <v>Detractor</v>
      </c>
    </row>
    <row r="927" spans="1:19" ht="14.25" customHeight="1">
      <c r="A927" s="3" t="s">
        <v>958</v>
      </c>
      <c r="B927" s="3" t="s">
        <v>26</v>
      </c>
      <c r="C927" s="3" t="s">
        <v>35</v>
      </c>
      <c r="D927" s="4">
        <v>45946</v>
      </c>
      <c r="E927" s="4">
        <v>45947</v>
      </c>
      <c r="F927" s="4">
        <v>45952</v>
      </c>
      <c r="G927" s="4">
        <v>45959</v>
      </c>
      <c r="H927" s="3" t="s">
        <v>22</v>
      </c>
      <c r="J927" s="4">
        <v>45970</v>
      </c>
      <c r="K927" s="3">
        <v>1</v>
      </c>
      <c r="L927" s="3">
        <v>5</v>
      </c>
      <c r="M927" s="3">
        <v>7</v>
      </c>
      <c r="N927" s="3">
        <v>2</v>
      </c>
      <c r="O927">
        <v>1</v>
      </c>
      <c r="P927">
        <f t="shared" si="42"/>
        <v>1</v>
      </c>
      <c r="Q927">
        <f t="shared" si="43"/>
        <v>1</v>
      </c>
      <c r="R927">
        <f t="shared" si="44"/>
        <v>1</v>
      </c>
      <c r="S927" s="10" t="str" cm="1">
        <f t="array" ref="S927">_xlfn.IFS(N927="", "", N927&gt;=9,"Promoter", N927&gt;=7,"Passive", N927&lt;=6,"Detractor")</f>
        <v>Detractor</v>
      </c>
    </row>
    <row r="928" spans="1:19" ht="14.25" customHeight="1">
      <c r="A928" s="3" t="s">
        <v>959</v>
      </c>
      <c r="B928" s="3" t="s">
        <v>24</v>
      </c>
      <c r="C928" s="3" t="s">
        <v>21</v>
      </c>
      <c r="D928" s="4">
        <v>45945</v>
      </c>
      <c r="E928" s="4">
        <v>45949</v>
      </c>
      <c r="F928" s="4">
        <v>45953</v>
      </c>
      <c r="G928" s="4">
        <v>45959</v>
      </c>
      <c r="H928" s="3" t="s">
        <v>22</v>
      </c>
      <c r="J928" s="4">
        <v>45969</v>
      </c>
      <c r="K928" s="3">
        <v>4</v>
      </c>
      <c r="L928" s="3">
        <v>4</v>
      </c>
      <c r="M928" s="3">
        <v>6</v>
      </c>
      <c r="N928" s="3">
        <v>7</v>
      </c>
      <c r="O928">
        <v>1</v>
      </c>
      <c r="P928">
        <f t="shared" si="42"/>
        <v>1</v>
      </c>
      <c r="Q928">
        <f t="shared" si="43"/>
        <v>1</v>
      </c>
      <c r="R928">
        <f t="shared" si="44"/>
        <v>1</v>
      </c>
      <c r="S928" s="10" t="str" cm="1">
        <f t="array" ref="S928">_xlfn.IFS(N928="", "", N928&gt;=9,"Promoter", N928&gt;=7,"Passive", N928&lt;=6,"Detractor")</f>
        <v>Passive</v>
      </c>
    </row>
    <row r="929" spans="1:19" ht="14.25" customHeight="1">
      <c r="A929" s="3" t="s">
        <v>960</v>
      </c>
      <c r="B929" s="3" t="s">
        <v>24</v>
      </c>
      <c r="C929" s="3" t="s">
        <v>35</v>
      </c>
      <c r="D929" s="4">
        <v>45955</v>
      </c>
      <c r="E929" s="4">
        <v>45957</v>
      </c>
      <c r="F929" s="4">
        <v>45960</v>
      </c>
      <c r="G929" s="4">
        <v>45963</v>
      </c>
      <c r="H929" s="3" t="s">
        <v>28</v>
      </c>
      <c r="I929" s="3" t="s">
        <v>68</v>
      </c>
      <c r="K929" s="3">
        <v>2</v>
      </c>
      <c r="L929" s="3">
        <v>3</v>
      </c>
      <c r="M929" s="3">
        <v>3</v>
      </c>
      <c r="O929">
        <v>1</v>
      </c>
      <c r="P929">
        <f t="shared" si="42"/>
        <v>1</v>
      </c>
      <c r="Q929">
        <f t="shared" si="43"/>
        <v>1</v>
      </c>
      <c r="R929">
        <f t="shared" si="44"/>
        <v>0</v>
      </c>
      <c r="S929" s="10" t="str" cm="1">
        <f t="array" ref="S929">_xlfn.IFS(N929="", "", N929&gt;=9,"Promoter", N929&gt;=7,"Passive", N929&lt;=6,"Detractor")</f>
        <v/>
      </c>
    </row>
    <row r="930" spans="1:19" ht="14.25" customHeight="1">
      <c r="A930" s="3" t="s">
        <v>961</v>
      </c>
      <c r="B930" s="3" t="s">
        <v>26</v>
      </c>
      <c r="C930" s="3" t="s">
        <v>21</v>
      </c>
      <c r="D930" s="4">
        <v>45942</v>
      </c>
      <c r="E930" s="4">
        <v>45945</v>
      </c>
      <c r="F930" s="4">
        <v>45949</v>
      </c>
      <c r="G930" s="4">
        <v>45956</v>
      </c>
      <c r="H930" s="3" t="s">
        <v>22</v>
      </c>
      <c r="J930" s="4">
        <v>45970</v>
      </c>
      <c r="K930" s="3">
        <v>3</v>
      </c>
      <c r="L930" s="3">
        <v>4</v>
      </c>
      <c r="M930" s="3">
        <v>7</v>
      </c>
      <c r="N930" s="3">
        <v>8</v>
      </c>
      <c r="O930">
        <v>1</v>
      </c>
      <c r="P930">
        <f t="shared" si="42"/>
        <v>1</v>
      </c>
      <c r="Q930">
        <f t="shared" si="43"/>
        <v>1</v>
      </c>
      <c r="R930">
        <f t="shared" si="44"/>
        <v>1</v>
      </c>
      <c r="S930" s="10" t="str" cm="1">
        <f t="array" ref="S930">_xlfn.IFS(N930="", "", N930&gt;=9,"Promoter", N930&gt;=7,"Passive", N930&lt;=6,"Detractor")</f>
        <v>Passive</v>
      </c>
    </row>
    <row r="931" spans="1:19" ht="14.25" customHeight="1">
      <c r="A931" s="3" t="s">
        <v>962</v>
      </c>
      <c r="B931" s="3" t="s">
        <v>26</v>
      </c>
      <c r="C931" s="3" t="s">
        <v>21</v>
      </c>
      <c r="D931" s="4">
        <v>45947</v>
      </c>
      <c r="E931" s="4">
        <v>45950</v>
      </c>
      <c r="F931" s="4">
        <v>45951</v>
      </c>
      <c r="G931" s="4">
        <v>45957</v>
      </c>
      <c r="H931" s="3" t="s">
        <v>22</v>
      </c>
      <c r="J931" s="4">
        <v>45987</v>
      </c>
      <c r="K931" s="3">
        <v>3</v>
      </c>
      <c r="L931" s="3">
        <v>1</v>
      </c>
      <c r="M931" s="3">
        <v>6</v>
      </c>
      <c r="N931" s="3">
        <v>1</v>
      </c>
      <c r="O931">
        <v>1</v>
      </c>
      <c r="P931">
        <f t="shared" si="42"/>
        <v>1</v>
      </c>
      <c r="Q931">
        <f t="shared" si="43"/>
        <v>1</v>
      </c>
      <c r="R931">
        <f t="shared" si="44"/>
        <v>1</v>
      </c>
      <c r="S931" s="10" t="str" cm="1">
        <f t="array" ref="S931">_xlfn.IFS(N931="", "", N931&gt;=9,"Promoter", N931&gt;=7,"Passive", N931&lt;=6,"Detractor")</f>
        <v>Detractor</v>
      </c>
    </row>
    <row r="932" spans="1:19" ht="14.25" customHeight="1">
      <c r="A932" s="3" t="s">
        <v>963</v>
      </c>
      <c r="B932" s="3" t="s">
        <v>37</v>
      </c>
      <c r="C932" s="3" t="s">
        <v>21</v>
      </c>
      <c r="D932" s="4">
        <v>45949</v>
      </c>
      <c r="E932" s="4">
        <v>45953</v>
      </c>
      <c r="F932" s="4">
        <v>45954</v>
      </c>
      <c r="G932" s="4">
        <v>45956</v>
      </c>
      <c r="H932" s="3" t="s">
        <v>22</v>
      </c>
      <c r="J932" s="4">
        <v>45971</v>
      </c>
      <c r="K932" s="3">
        <v>4</v>
      </c>
      <c r="L932" s="3">
        <v>1</v>
      </c>
      <c r="M932" s="3">
        <v>2</v>
      </c>
      <c r="N932" s="3">
        <v>7</v>
      </c>
      <c r="O932">
        <v>1</v>
      </c>
      <c r="P932">
        <f t="shared" si="42"/>
        <v>1</v>
      </c>
      <c r="Q932">
        <f t="shared" si="43"/>
        <v>1</v>
      </c>
      <c r="R932">
        <f t="shared" si="44"/>
        <v>1</v>
      </c>
      <c r="S932" s="10" t="str" cm="1">
        <f t="array" ref="S932">_xlfn.IFS(N932="", "", N932&gt;=9,"Promoter", N932&gt;=7,"Passive", N932&lt;=6,"Detractor")</f>
        <v>Passive</v>
      </c>
    </row>
    <row r="933" spans="1:19" ht="14.25" customHeight="1">
      <c r="A933" s="3" t="s">
        <v>964</v>
      </c>
      <c r="B933" s="3" t="s">
        <v>24</v>
      </c>
      <c r="C933" s="3" t="s">
        <v>35</v>
      </c>
      <c r="D933" s="4">
        <v>45934</v>
      </c>
      <c r="E933" s="4">
        <v>45937</v>
      </c>
      <c r="F933" s="4">
        <v>45938</v>
      </c>
      <c r="G933" s="4">
        <v>45943</v>
      </c>
      <c r="H933" s="3" t="s">
        <v>22</v>
      </c>
      <c r="J933" s="4">
        <v>45963</v>
      </c>
      <c r="K933" s="3">
        <v>3</v>
      </c>
      <c r="L933" s="3">
        <v>1</v>
      </c>
      <c r="M933" s="3">
        <v>5</v>
      </c>
      <c r="N933" s="3">
        <v>9</v>
      </c>
      <c r="O933">
        <v>1</v>
      </c>
      <c r="P933">
        <f t="shared" si="42"/>
        <v>1</v>
      </c>
      <c r="Q933">
        <f t="shared" si="43"/>
        <v>1</v>
      </c>
      <c r="R933">
        <f t="shared" si="44"/>
        <v>1</v>
      </c>
      <c r="S933" s="10" t="str" cm="1">
        <f t="array" ref="S933">_xlfn.IFS(N933="", "", N933&gt;=9,"Promoter", N933&gt;=7,"Passive", N933&lt;=6,"Detractor")</f>
        <v>Promoter</v>
      </c>
    </row>
    <row r="934" spans="1:19" ht="14.25" customHeight="1">
      <c r="A934" s="3" t="s">
        <v>965</v>
      </c>
      <c r="B934" s="3" t="s">
        <v>24</v>
      </c>
      <c r="C934" s="3" t="s">
        <v>21</v>
      </c>
      <c r="D934" s="4">
        <v>45945</v>
      </c>
      <c r="E934" s="4">
        <v>45946</v>
      </c>
      <c r="F934" s="4">
        <v>45949</v>
      </c>
      <c r="G934" s="4">
        <v>45956</v>
      </c>
      <c r="H934" s="3" t="s">
        <v>22</v>
      </c>
      <c r="J934" s="4">
        <v>45977</v>
      </c>
      <c r="K934" s="3">
        <v>1</v>
      </c>
      <c r="L934" s="3">
        <v>3</v>
      </c>
      <c r="M934" s="3">
        <v>7</v>
      </c>
      <c r="N934" s="3">
        <v>2</v>
      </c>
      <c r="O934">
        <v>1</v>
      </c>
      <c r="P934">
        <f t="shared" si="42"/>
        <v>1</v>
      </c>
      <c r="Q934">
        <f t="shared" si="43"/>
        <v>1</v>
      </c>
      <c r="R934">
        <f t="shared" si="44"/>
        <v>1</v>
      </c>
      <c r="S934" s="10" t="str" cm="1">
        <f t="array" ref="S934">_xlfn.IFS(N934="", "", N934&gt;=9,"Promoter", N934&gt;=7,"Passive", N934&lt;=6,"Detractor")</f>
        <v>Detractor</v>
      </c>
    </row>
    <row r="935" spans="1:19" ht="14.25" customHeight="1">
      <c r="A935" s="3" t="s">
        <v>966</v>
      </c>
      <c r="B935" s="3" t="s">
        <v>20</v>
      </c>
      <c r="C935" s="3" t="s">
        <v>21</v>
      </c>
      <c r="D935" s="4">
        <v>45947</v>
      </c>
      <c r="E935" s="4">
        <v>45951</v>
      </c>
      <c r="F935" s="4">
        <v>45953</v>
      </c>
      <c r="G935" s="4">
        <v>45957</v>
      </c>
      <c r="H935" s="3" t="s">
        <v>28</v>
      </c>
      <c r="I935" s="3" t="s">
        <v>38</v>
      </c>
      <c r="K935" s="3">
        <v>4</v>
      </c>
      <c r="L935" s="3">
        <v>2</v>
      </c>
      <c r="M935" s="3">
        <v>4</v>
      </c>
      <c r="O935">
        <v>1</v>
      </c>
      <c r="P935">
        <f t="shared" si="42"/>
        <v>1</v>
      </c>
      <c r="Q935">
        <f t="shared" si="43"/>
        <v>1</v>
      </c>
      <c r="R935">
        <f t="shared" si="44"/>
        <v>0</v>
      </c>
      <c r="S935" s="10" t="str" cm="1">
        <f t="array" ref="S935">_xlfn.IFS(N935="", "", N935&gt;=9,"Promoter", N935&gt;=7,"Passive", N935&lt;=6,"Detractor")</f>
        <v/>
      </c>
    </row>
    <row r="936" spans="1:19" ht="14.25" customHeight="1">
      <c r="A936" s="3" t="s">
        <v>967</v>
      </c>
      <c r="B936" s="3" t="s">
        <v>37</v>
      </c>
      <c r="C936" s="3" t="s">
        <v>35</v>
      </c>
      <c r="D936" s="4">
        <v>45938</v>
      </c>
      <c r="E936" s="4">
        <v>45939</v>
      </c>
      <c r="F936" s="4">
        <v>45944</v>
      </c>
      <c r="G936" s="4">
        <v>45949</v>
      </c>
      <c r="H936" s="3" t="s">
        <v>22</v>
      </c>
      <c r="J936" s="4">
        <v>45973</v>
      </c>
      <c r="K936" s="3">
        <v>1</v>
      </c>
      <c r="L936" s="3">
        <v>5</v>
      </c>
      <c r="M936" s="3">
        <v>5</v>
      </c>
      <c r="N936" s="3">
        <v>9</v>
      </c>
      <c r="O936">
        <v>1</v>
      </c>
      <c r="P936">
        <f t="shared" si="42"/>
        <v>1</v>
      </c>
      <c r="Q936">
        <f t="shared" si="43"/>
        <v>1</v>
      </c>
      <c r="R936">
        <f t="shared" si="44"/>
        <v>1</v>
      </c>
      <c r="S936" s="10" t="str" cm="1">
        <f t="array" ref="S936">_xlfn.IFS(N936="", "", N936&gt;=9,"Promoter", N936&gt;=7,"Passive", N936&lt;=6,"Detractor")</f>
        <v>Promoter</v>
      </c>
    </row>
    <row r="937" spans="1:19" ht="14.25" customHeight="1">
      <c r="A937" s="3" t="s">
        <v>968</v>
      </c>
      <c r="B937" s="3" t="s">
        <v>20</v>
      </c>
      <c r="C937" s="3" t="s">
        <v>21</v>
      </c>
      <c r="D937" s="4">
        <v>45961</v>
      </c>
      <c r="E937" s="4">
        <v>45966</v>
      </c>
      <c r="F937" s="4">
        <v>45971</v>
      </c>
      <c r="G937" s="4">
        <v>45977</v>
      </c>
      <c r="H937" s="3" t="s">
        <v>22</v>
      </c>
      <c r="J937" s="4">
        <v>46006</v>
      </c>
      <c r="K937" s="3">
        <v>5</v>
      </c>
      <c r="L937" s="3">
        <v>5</v>
      </c>
      <c r="M937" s="3">
        <v>6</v>
      </c>
      <c r="N937" s="3">
        <v>2</v>
      </c>
      <c r="O937">
        <v>1</v>
      </c>
      <c r="P937">
        <f t="shared" si="42"/>
        <v>1</v>
      </c>
      <c r="Q937">
        <f t="shared" si="43"/>
        <v>1</v>
      </c>
      <c r="R937">
        <f t="shared" si="44"/>
        <v>1</v>
      </c>
      <c r="S937" s="10" t="str" cm="1">
        <f t="array" ref="S937">_xlfn.IFS(N937="", "", N937&gt;=9,"Promoter", N937&gt;=7,"Passive", N937&lt;=6,"Detractor")</f>
        <v>Detractor</v>
      </c>
    </row>
    <row r="938" spans="1:19" ht="14.25" customHeight="1">
      <c r="A938" s="3" t="s">
        <v>969</v>
      </c>
      <c r="B938" s="3" t="s">
        <v>24</v>
      </c>
      <c r="C938" s="3" t="s">
        <v>21</v>
      </c>
      <c r="D938" s="4">
        <v>45950</v>
      </c>
      <c r="E938" s="4">
        <v>45955</v>
      </c>
      <c r="F938" s="4">
        <v>45960</v>
      </c>
      <c r="G938" s="4">
        <v>45965</v>
      </c>
      <c r="H938" s="3" t="s">
        <v>22</v>
      </c>
      <c r="J938" s="4">
        <v>45983</v>
      </c>
      <c r="K938" s="3">
        <v>5</v>
      </c>
      <c r="L938" s="3">
        <v>5</v>
      </c>
      <c r="M938" s="3">
        <v>5</v>
      </c>
      <c r="N938" s="3">
        <v>4</v>
      </c>
      <c r="O938">
        <v>1</v>
      </c>
      <c r="P938">
        <f t="shared" si="42"/>
        <v>1</v>
      </c>
      <c r="Q938">
        <f t="shared" si="43"/>
        <v>1</v>
      </c>
      <c r="R938">
        <f t="shared" si="44"/>
        <v>1</v>
      </c>
      <c r="S938" s="10" t="str" cm="1">
        <f t="array" ref="S938">_xlfn.IFS(N938="", "", N938&gt;=9,"Promoter", N938&gt;=7,"Passive", N938&lt;=6,"Detractor")</f>
        <v>Detractor</v>
      </c>
    </row>
    <row r="939" spans="1:19" ht="14.25" customHeight="1">
      <c r="A939" s="3" t="s">
        <v>970</v>
      </c>
      <c r="B939" s="3" t="s">
        <v>37</v>
      </c>
      <c r="C939" s="3" t="s">
        <v>27</v>
      </c>
      <c r="D939" s="4">
        <v>45932</v>
      </c>
      <c r="H939" s="3" t="s">
        <v>28</v>
      </c>
      <c r="I939" s="3" t="s">
        <v>106</v>
      </c>
      <c r="O939">
        <v>1</v>
      </c>
      <c r="P939">
        <f t="shared" si="42"/>
        <v>0</v>
      </c>
      <c r="Q939">
        <f t="shared" si="43"/>
        <v>0</v>
      </c>
      <c r="R939">
        <f t="shared" si="44"/>
        <v>0</v>
      </c>
      <c r="S939" s="10" t="str" cm="1">
        <f t="array" ref="S939">_xlfn.IFS(N939="", "", N939&gt;=9,"Promoter", N939&gt;=7,"Passive", N939&lt;=6,"Detractor")</f>
        <v/>
      </c>
    </row>
    <row r="940" spans="1:19" ht="14.25" customHeight="1">
      <c r="A940" s="3" t="s">
        <v>971</v>
      </c>
      <c r="B940" s="3" t="s">
        <v>26</v>
      </c>
      <c r="C940" s="3" t="s">
        <v>35</v>
      </c>
      <c r="D940" s="4">
        <v>45954</v>
      </c>
      <c r="E940" s="4">
        <v>45956</v>
      </c>
      <c r="F940" s="4">
        <v>45961</v>
      </c>
      <c r="G940" s="4">
        <v>45965</v>
      </c>
      <c r="H940" s="3" t="s">
        <v>22</v>
      </c>
      <c r="J940" s="4">
        <v>45977</v>
      </c>
      <c r="K940" s="3">
        <v>2</v>
      </c>
      <c r="L940" s="3">
        <v>5</v>
      </c>
      <c r="M940" s="3">
        <v>4</v>
      </c>
      <c r="N940" s="3">
        <v>7</v>
      </c>
      <c r="O940">
        <v>1</v>
      </c>
      <c r="P940">
        <f t="shared" si="42"/>
        <v>1</v>
      </c>
      <c r="Q940">
        <f t="shared" si="43"/>
        <v>1</v>
      </c>
      <c r="R940">
        <f t="shared" si="44"/>
        <v>1</v>
      </c>
      <c r="S940" s="10" t="str" cm="1">
        <f t="array" ref="S940">_xlfn.IFS(N940="", "", N940&gt;=9,"Promoter", N940&gt;=7,"Passive", N940&lt;=6,"Detractor")</f>
        <v>Passive</v>
      </c>
    </row>
    <row r="941" spans="1:19" ht="14.25" customHeight="1">
      <c r="A941" s="3" t="s">
        <v>972</v>
      </c>
      <c r="B941" s="3" t="s">
        <v>37</v>
      </c>
      <c r="C941" s="3" t="s">
        <v>27</v>
      </c>
      <c r="D941" s="4">
        <v>45956</v>
      </c>
      <c r="H941" s="3" t="s">
        <v>28</v>
      </c>
      <c r="I941" s="3" t="s">
        <v>106</v>
      </c>
      <c r="O941">
        <v>1</v>
      </c>
      <c r="P941">
        <f t="shared" si="42"/>
        <v>0</v>
      </c>
      <c r="Q941">
        <f t="shared" si="43"/>
        <v>0</v>
      </c>
      <c r="R941">
        <f t="shared" si="44"/>
        <v>0</v>
      </c>
      <c r="S941" s="10" t="str" cm="1">
        <f t="array" ref="S941">_xlfn.IFS(N941="", "", N941&gt;=9,"Promoter", N941&gt;=7,"Passive", N941&lt;=6,"Detractor")</f>
        <v/>
      </c>
    </row>
    <row r="942" spans="1:19" ht="14.25" customHeight="1">
      <c r="A942" s="3" t="s">
        <v>973</v>
      </c>
      <c r="B942" s="3" t="s">
        <v>26</v>
      </c>
      <c r="C942" s="3" t="s">
        <v>21</v>
      </c>
      <c r="D942" s="4">
        <v>45960</v>
      </c>
      <c r="E942" s="4">
        <v>45963</v>
      </c>
      <c r="F942" s="4">
        <v>45968</v>
      </c>
      <c r="G942" s="4">
        <v>45974</v>
      </c>
      <c r="H942" s="3" t="s">
        <v>22</v>
      </c>
      <c r="J942" s="4">
        <v>45995</v>
      </c>
      <c r="K942" s="3">
        <v>3</v>
      </c>
      <c r="L942" s="3">
        <v>5</v>
      </c>
      <c r="M942" s="3">
        <v>6</v>
      </c>
      <c r="N942" s="3">
        <v>8</v>
      </c>
      <c r="O942">
        <v>1</v>
      </c>
      <c r="P942">
        <f t="shared" si="42"/>
        <v>1</v>
      </c>
      <c r="Q942">
        <f t="shared" si="43"/>
        <v>1</v>
      </c>
      <c r="R942">
        <f t="shared" si="44"/>
        <v>1</v>
      </c>
      <c r="S942" s="10" t="str" cm="1">
        <f t="array" ref="S942">_xlfn.IFS(N942="", "", N942&gt;=9,"Promoter", N942&gt;=7,"Passive", N942&lt;=6,"Detractor")</f>
        <v>Passive</v>
      </c>
    </row>
    <row r="943" spans="1:19" ht="14.25" customHeight="1">
      <c r="A943" s="3" t="s">
        <v>974</v>
      </c>
      <c r="B943" s="3" t="s">
        <v>26</v>
      </c>
      <c r="C943" s="3" t="s">
        <v>21</v>
      </c>
      <c r="D943" s="4">
        <v>45958</v>
      </c>
      <c r="E943" s="4">
        <v>45963</v>
      </c>
      <c r="F943" s="4">
        <v>45965</v>
      </c>
      <c r="G943" s="4">
        <v>45971</v>
      </c>
      <c r="H943" s="3" t="s">
        <v>22</v>
      </c>
      <c r="J943" s="4">
        <v>45991</v>
      </c>
      <c r="K943" s="3">
        <v>5</v>
      </c>
      <c r="L943" s="3">
        <v>2</v>
      </c>
      <c r="M943" s="3">
        <v>6</v>
      </c>
      <c r="N943" s="3">
        <v>5</v>
      </c>
      <c r="O943">
        <v>1</v>
      </c>
      <c r="P943">
        <f t="shared" si="42"/>
        <v>1</v>
      </c>
      <c r="Q943">
        <f t="shared" si="43"/>
        <v>1</v>
      </c>
      <c r="R943">
        <f t="shared" si="44"/>
        <v>1</v>
      </c>
      <c r="S943" s="10" t="str" cm="1">
        <f t="array" ref="S943">_xlfn.IFS(N943="", "", N943&gt;=9,"Promoter", N943&gt;=7,"Passive", N943&lt;=6,"Detractor")</f>
        <v>Detractor</v>
      </c>
    </row>
    <row r="944" spans="1:19" ht="14.25" customHeight="1">
      <c r="A944" s="3" t="s">
        <v>975</v>
      </c>
      <c r="B944" s="3" t="s">
        <v>37</v>
      </c>
      <c r="C944" s="3" t="s">
        <v>35</v>
      </c>
      <c r="D944" s="4">
        <v>45952</v>
      </c>
      <c r="E944" s="4">
        <v>45955</v>
      </c>
      <c r="F944" s="4">
        <v>45959</v>
      </c>
      <c r="G944" s="4">
        <v>45963</v>
      </c>
      <c r="H944" s="3" t="s">
        <v>22</v>
      </c>
      <c r="J944" s="4">
        <v>45978</v>
      </c>
      <c r="K944" s="3">
        <v>3</v>
      </c>
      <c r="L944" s="3">
        <v>4</v>
      </c>
      <c r="M944" s="3">
        <v>4</v>
      </c>
      <c r="N944" s="3">
        <v>4</v>
      </c>
      <c r="O944">
        <v>1</v>
      </c>
      <c r="P944">
        <f t="shared" si="42"/>
        <v>1</v>
      </c>
      <c r="Q944">
        <f t="shared" si="43"/>
        <v>1</v>
      </c>
      <c r="R944">
        <f t="shared" si="44"/>
        <v>1</v>
      </c>
      <c r="S944" s="10" t="str" cm="1">
        <f t="array" ref="S944">_xlfn.IFS(N944="", "", N944&gt;=9,"Promoter", N944&gt;=7,"Passive", N944&lt;=6,"Detractor")</f>
        <v>Detractor</v>
      </c>
    </row>
    <row r="945" spans="1:19" ht="14.25" customHeight="1">
      <c r="A945" s="3" t="s">
        <v>976</v>
      </c>
      <c r="B945" s="3" t="s">
        <v>26</v>
      </c>
      <c r="C945" s="3" t="s">
        <v>21</v>
      </c>
      <c r="D945" s="4">
        <v>45947</v>
      </c>
      <c r="E945" s="4">
        <v>45948</v>
      </c>
      <c r="F945" s="4">
        <v>45951</v>
      </c>
      <c r="G945" s="4">
        <v>45956</v>
      </c>
      <c r="H945" s="3" t="s">
        <v>22</v>
      </c>
      <c r="J945" s="4">
        <v>45969</v>
      </c>
      <c r="K945" s="3">
        <v>1</v>
      </c>
      <c r="L945" s="3">
        <v>3</v>
      </c>
      <c r="M945" s="3">
        <v>5</v>
      </c>
      <c r="N945" s="3">
        <v>2</v>
      </c>
      <c r="O945">
        <v>1</v>
      </c>
      <c r="P945">
        <f t="shared" si="42"/>
        <v>1</v>
      </c>
      <c r="Q945">
        <f t="shared" si="43"/>
        <v>1</v>
      </c>
      <c r="R945">
        <f t="shared" si="44"/>
        <v>1</v>
      </c>
      <c r="S945" s="10" t="str" cm="1">
        <f t="array" ref="S945">_xlfn.IFS(N945="", "", N945&gt;=9,"Promoter", N945&gt;=7,"Passive", N945&lt;=6,"Detractor")</f>
        <v>Detractor</v>
      </c>
    </row>
    <row r="946" spans="1:19" ht="14.25" customHeight="1">
      <c r="A946" s="3" t="s">
        <v>977</v>
      </c>
      <c r="B946" s="3" t="s">
        <v>20</v>
      </c>
      <c r="C946" s="3" t="s">
        <v>35</v>
      </c>
      <c r="D946" s="4">
        <v>45940</v>
      </c>
      <c r="E946" s="4">
        <v>45944</v>
      </c>
      <c r="F946" s="4">
        <v>45948</v>
      </c>
      <c r="G946" s="4">
        <v>45952</v>
      </c>
      <c r="H946" s="3" t="s">
        <v>22</v>
      </c>
      <c r="J946" s="4">
        <v>45974</v>
      </c>
      <c r="K946" s="3">
        <v>4</v>
      </c>
      <c r="L946" s="3">
        <v>4</v>
      </c>
      <c r="M946" s="3">
        <v>4</v>
      </c>
      <c r="N946" s="3">
        <v>3</v>
      </c>
      <c r="O946">
        <v>1</v>
      </c>
      <c r="P946">
        <f t="shared" si="42"/>
        <v>1</v>
      </c>
      <c r="Q946">
        <f t="shared" si="43"/>
        <v>1</v>
      </c>
      <c r="R946">
        <f t="shared" si="44"/>
        <v>1</v>
      </c>
      <c r="S946" s="10" t="str" cm="1">
        <f t="array" ref="S946">_xlfn.IFS(N946="", "", N946&gt;=9,"Promoter", N946&gt;=7,"Passive", N946&lt;=6,"Detractor")</f>
        <v>Detractor</v>
      </c>
    </row>
    <row r="947" spans="1:19" ht="14.25" customHeight="1">
      <c r="A947" s="3" t="s">
        <v>978</v>
      </c>
      <c r="B947" s="3" t="s">
        <v>24</v>
      </c>
      <c r="C947" s="3" t="s">
        <v>21</v>
      </c>
      <c r="D947" s="4">
        <v>45945</v>
      </c>
      <c r="E947" s="4">
        <v>45950</v>
      </c>
      <c r="F947" s="4">
        <v>45954</v>
      </c>
      <c r="G947" s="4">
        <v>45957</v>
      </c>
      <c r="H947" s="3" t="s">
        <v>22</v>
      </c>
      <c r="J947" s="4">
        <v>45979</v>
      </c>
      <c r="K947" s="3">
        <v>5</v>
      </c>
      <c r="L947" s="3">
        <v>4</v>
      </c>
      <c r="M947" s="3">
        <v>3</v>
      </c>
      <c r="N947" s="3">
        <v>6</v>
      </c>
      <c r="O947">
        <v>1</v>
      </c>
      <c r="P947">
        <f t="shared" si="42"/>
        <v>1</v>
      </c>
      <c r="Q947">
        <f t="shared" si="43"/>
        <v>1</v>
      </c>
      <c r="R947">
        <f t="shared" si="44"/>
        <v>1</v>
      </c>
      <c r="S947" s="10" t="str" cm="1">
        <f t="array" ref="S947">_xlfn.IFS(N947="", "", N947&gt;=9,"Promoter", N947&gt;=7,"Passive", N947&lt;=6,"Detractor")</f>
        <v>Detractor</v>
      </c>
    </row>
    <row r="948" spans="1:19" ht="14.25" customHeight="1">
      <c r="A948" s="3" t="s">
        <v>979</v>
      </c>
      <c r="B948" s="3" t="s">
        <v>26</v>
      </c>
      <c r="C948" s="3" t="s">
        <v>35</v>
      </c>
      <c r="D948" s="4">
        <v>45951</v>
      </c>
      <c r="E948" s="4">
        <v>45955</v>
      </c>
      <c r="F948" s="4">
        <v>45960</v>
      </c>
      <c r="G948" s="4">
        <v>45962</v>
      </c>
      <c r="H948" s="3" t="s">
        <v>22</v>
      </c>
      <c r="J948" s="4">
        <v>45986</v>
      </c>
      <c r="K948" s="3">
        <v>4</v>
      </c>
      <c r="L948" s="3">
        <v>5</v>
      </c>
      <c r="M948" s="3">
        <v>2</v>
      </c>
      <c r="N948" s="3">
        <v>6</v>
      </c>
      <c r="O948">
        <v>1</v>
      </c>
      <c r="P948">
        <f t="shared" si="42"/>
        <v>1</v>
      </c>
      <c r="Q948">
        <f t="shared" si="43"/>
        <v>1</v>
      </c>
      <c r="R948">
        <f t="shared" si="44"/>
        <v>1</v>
      </c>
      <c r="S948" s="10" t="str" cm="1">
        <f t="array" ref="S948">_xlfn.IFS(N948="", "", N948&gt;=9,"Promoter", N948&gt;=7,"Passive", N948&lt;=6,"Detractor")</f>
        <v>Detractor</v>
      </c>
    </row>
    <row r="949" spans="1:19" ht="14.25" customHeight="1">
      <c r="A949" s="3" t="s">
        <v>980</v>
      </c>
      <c r="B949" s="3" t="s">
        <v>20</v>
      </c>
      <c r="C949" s="3" t="s">
        <v>27</v>
      </c>
      <c r="D949" s="4">
        <v>45961</v>
      </c>
      <c r="H949" s="3" t="s">
        <v>28</v>
      </c>
      <c r="I949" s="3" t="s">
        <v>29</v>
      </c>
      <c r="O949">
        <v>1</v>
      </c>
      <c r="P949">
        <f t="shared" si="42"/>
        <v>0</v>
      </c>
      <c r="Q949">
        <f t="shared" si="43"/>
        <v>0</v>
      </c>
      <c r="R949">
        <f t="shared" si="44"/>
        <v>0</v>
      </c>
      <c r="S949" s="10" t="str" cm="1">
        <f t="array" ref="S949">_xlfn.IFS(N949="", "", N949&gt;=9,"Promoter", N949&gt;=7,"Passive", N949&lt;=6,"Detractor")</f>
        <v/>
      </c>
    </row>
    <row r="950" spans="1:19" ht="14.25" customHeight="1">
      <c r="A950" s="3" t="s">
        <v>981</v>
      </c>
      <c r="B950" s="3" t="s">
        <v>26</v>
      </c>
      <c r="C950" s="3" t="s">
        <v>21</v>
      </c>
      <c r="D950" s="4">
        <v>45931</v>
      </c>
      <c r="E950" s="4">
        <v>45936</v>
      </c>
      <c r="F950" s="4">
        <v>45941</v>
      </c>
      <c r="G950" s="4">
        <v>45945</v>
      </c>
      <c r="H950" s="3" t="s">
        <v>22</v>
      </c>
      <c r="J950" s="4">
        <v>45963</v>
      </c>
      <c r="K950" s="3">
        <v>5</v>
      </c>
      <c r="L950" s="3">
        <v>5</v>
      </c>
      <c r="M950" s="3">
        <v>4</v>
      </c>
      <c r="N950" s="3">
        <v>8</v>
      </c>
      <c r="O950">
        <v>1</v>
      </c>
      <c r="P950">
        <f t="shared" si="42"/>
        <v>1</v>
      </c>
      <c r="Q950">
        <f t="shared" si="43"/>
        <v>1</v>
      </c>
      <c r="R950">
        <f t="shared" si="44"/>
        <v>1</v>
      </c>
      <c r="S950" s="10" t="str" cm="1">
        <f t="array" ref="S950">_xlfn.IFS(N950="", "", N950&gt;=9,"Promoter", N950&gt;=7,"Passive", N950&lt;=6,"Detractor")</f>
        <v>Passive</v>
      </c>
    </row>
    <row r="951" spans="1:19" ht="14.25" customHeight="1">
      <c r="A951" s="3" t="s">
        <v>982</v>
      </c>
      <c r="B951" s="3" t="s">
        <v>24</v>
      </c>
      <c r="C951" s="3" t="s">
        <v>21</v>
      </c>
      <c r="D951" s="4">
        <v>45932</v>
      </c>
      <c r="E951" s="4">
        <v>45935</v>
      </c>
      <c r="F951" s="4">
        <v>45937</v>
      </c>
      <c r="G951" s="4">
        <v>45943</v>
      </c>
      <c r="H951" s="3" t="s">
        <v>22</v>
      </c>
      <c r="J951" s="4">
        <v>45965</v>
      </c>
      <c r="K951" s="3">
        <v>3</v>
      </c>
      <c r="L951" s="3">
        <v>2</v>
      </c>
      <c r="M951" s="3">
        <v>6</v>
      </c>
      <c r="N951" s="3">
        <v>2</v>
      </c>
      <c r="O951">
        <v>1</v>
      </c>
      <c r="P951">
        <f t="shared" si="42"/>
        <v>1</v>
      </c>
      <c r="Q951">
        <f t="shared" si="43"/>
        <v>1</v>
      </c>
      <c r="R951">
        <f t="shared" si="44"/>
        <v>1</v>
      </c>
      <c r="S951" s="10" t="str" cm="1">
        <f t="array" ref="S951">_xlfn.IFS(N951="", "", N951&gt;=9,"Promoter", N951&gt;=7,"Passive", N951&lt;=6,"Detractor")</f>
        <v>Detractor</v>
      </c>
    </row>
    <row r="952" spans="1:19" ht="14.25" customHeight="1">
      <c r="A952" s="3" t="s">
        <v>983</v>
      </c>
      <c r="B952" s="3" t="s">
        <v>20</v>
      </c>
      <c r="C952" s="3" t="s">
        <v>35</v>
      </c>
      <c r="D952" s="4">
        <v>45946</v>
      </c>
      <c r="E952" s="4">
        <v>45951</v>
      </c>
      <c r="F952" s="4">
        <v>45954</v>
      </c>
      <c r="G952" s="4">
        <v>45957</v>
      </c>
      <c r="H952" s="3" t="s">
        <v>22</v>
      </c>
      <c r="J952" s="4">
        <v>45982</v>
      </c>
      <c r="K952" s="3">
        <v>5</v>
      </c>
      <c r="L952" s="3">
        <v>3</v>
      </c>
      <c r="M952" s="3">
        <v>3</v>
      </c>
      <c r="N952" s="3">
        <v>3</v>
      </c>
      <c r="O952">
        <v>1</v>
      </c>
      <c r="P952">
        <f t="shared" si="42"/>
        <v>1</v>
      </c>
      <c r="Q952">
        <f t="shared" si="43"/>
        <v>1</v>
      </c>
      <c r="R952">
        <f t="shared" si="44"/>
        <v>1</v>
      </c>
      <c r="S952" s="10" t="str" cm="1">
        <f t="array" ref="S952">_xlfn.IFS(N952="", "", N952&gt;=9,"Promoter", N952&gt;=7,"Passive", N952&lt;=6,"Detractor")</f>
        <v>Detractor</v>
      </c>
    </row>
    <row r="953" spans="1:19" ht="14.25" customHeight="1">
      <c r="A953" s="3" t="s">
        <v>984</v>
      </c>
      <c r="B953" s="3" t="s">
        <v>24</v>
      </c>
      <c r="C953" s="3" t="s">
        <v>35</v>
      </c>
      <c r="D953" s="4">
        <v>45958</v>
      </c>
      <c r="E953" s="4">
        <v>45963</v>
      </c>
      <c r="F953" s="4">
        <v>45964</v>
      </c>
      <c r="G953" s="4">
        <v>45966</v>
      </c>
      <c r="H953" s="3" t="s">
        <v>22</v>
      </c>
      <c r="J953" s="4">
        <v>45989</v>
      </c>
      <c r="K953" s="3">
        <v>5</v>
      </c>
      <c r="L953" s="3">
        <v>1</v>
      </c>
      <c r="M953" s="3">
        <v>2</v>
      </c>
      <c r="N953" s="3">
        <v>1</v>
      </c>
      <c r="O953">
        <v>1</v>
      </c>
      <c r="P953">
        <f t="shared" si="42"/>
        <v>1</v>
      </c>
      <c r="Q953">
        <f t="shared" si="43"/>
        <v>1</v>
      </c>
      <c r="R953">
        <f t="shared" si="44"/>
        <v>1</v>
      </c>
      <c r="S953" s="10" t="str" cm="1">
        <f t="array" ref="S953">_xlfn.IFS(N953="", "", N953&gt;=9,"Promoter", N953&gt;=7,"Passive", N953&lt;=6,"Detractor")</f>
        <v>Detractor</v>
      </c>
    </row>
    <row r="954" spans="1:19" ht="14.25" customHeight="1">
      <c r="A954" s="3" t="s">
        <v>985</v>
      </c>
      <c r="B954" s="3" t="s">
        <v>24</v>
      </c>
      <c r="C954" s="3" t="s">
        <v>21</v>
      </c>
      <c r="D954" s="4">
        <v>45943</v>
      </c>
      <c r="E954" s="4">
        <v>45944</v>
      </c>
      <c r="F954" s="4">
        <v>45948</v>
      </c>
      <c r="G954" s="4">
        <v>45952</v>
      </c>
      <c r="H954" s="3" t="s">
        <v>22</v>
      </c>
      <c r="J954" s="4">
        <v>45982</v>
      </c>
      <c r="K954" s="3">
        <v>1</v>
      </c>
      <c r="L954" s="3">
        <v>4</v>
      </c>
      <c r="M954" s="3">
        <v>4</v>
      </c>
      <c r="N954" s="3">
        <v>1</v>
      </c>
      <c r="O954">
        <v>1</v>
      </c>
      <c r="P954">
        <f t="shared" si="42"/>
        <v>1</v>
      </c>
      <c r="Q954">
        <f t="shared" si="43"/>
        <v>1</v>
      </c>
      <c r="R954">
        <f t="shared" si="44"/>
        <v>1</v>
      </c>
      <c r="S954" s="10" t="str" cm="1">
        <f t="array" ref="S954">_xlfn.IFS(N954="", "", N954&gt;=9,"Promoter", N954&gt;=7,"Passive", N954&lt;=6,"Detractor")</f>
        <v>Detractor</v>
      </c>
    </row>
    <row r="955" spans="1:19" ht="14.25" customHeight="1">
      <c r="A955" s="3" t="s">
        <v>986</v>
      </c>
      <c r="B955" s="3" t="s">
        <v>20</v>
      </c>
      <c r="C955" s="3" t="s">
        <v>21</v>
      </c>
      <c r="D955" s="4">
        <v>45944</v>
      </c>
      <c r="E955" s="4">
        <v>45946</v>
      </c>
      <c r="F955" s="4">
        <v>45947</v>
      </c>
      <c r="G955" s="4">
        <v>45949</v>
      </c>
      <c r="H955" s="3" t="s">
        <v>22</v>
      </c>
      <c r="J955" s="4">
        <v>45964</v>
      </c>
      <c r="K955" s="3">
        <v>2</v>
      </c>
      <c r="L955" s="3">
        <v>1</v>
      </c>
      <c r="M955" s="3">
        <v>2</v>
      </c>
      <c r="N955" s="3">
        <v>6</v>
      </c>
      <c r="O955">
        <v>1</v>
      </c>
      <c r="P955">
        <f t="shared" si="42"/>
        <v>1</v>
      </c>
      <c r="Q955">
        <f t="shared" si="43"/>
        <v>1</v>
      </c>
      <c r="R955">
        <f t="shared" si="44"/>
        <v>1</v>
      </c>
      <c r="S955" s="10" t="str" cm="1">
        <f t="array" ref="S955">_xlfn.IFS(N955="", "", N955&gt;=9,"Promoter", N955&gt;=7,"Passive", N955&lt;=6,"Detractor")</f>
        <v>Detractor</v>
      </c>
    </row>
    <row r="956" spans="1:19" ht="14.25" customHeight="1">
      <c r="A956" s="3" t="s">
        <v>987</v>
      </c>
      <c r="B956" s="3" t="s">
        <v>20</v>
      </c>
      <c r="C956" s="3" t="s">
        <v>35</v>
      </c>
      <c r="D956" s="4">
        <v>45952</v>
      </c>
      <c r="E956" s="4">
        <v>45953</v>
      </c>
      <c r="F956" s="4">
        <v>45956</v>
      </c>
      <c r="G956" s="4">
        <v>45961</v>
      </c>
      <c r="H956" s="3" t="s">
        <v>22</v>
      </c>
      <c r="J956" s="4">
        <v>45974</v>
      </c>
      <c r="K956" s="3">
        <v>1</v>
      </c>
      <c r="L956" s="3">
        <v>3</v>
      </c>
      <c r="M956" s="3">
        <v>5</v>
      </c>
      <c r="N956" s="3">
        <v>1</v>
      </c>
      <c r="O956">
        <v>1</v>
      </c>
      <c r="P956">
        <f t="shared" si="42"/>
        <v>1</v>
      </c>
      <c r="Q956">
        <f t="shared" si="43"/>
        <v>1</v>
      </c>
      <c r="R956">
        <f t="shared" si="44"/>
        <v>1</v>
      </c>
      <c r="S956" s="10" t="str" cm="1">
        <f t="array" ref="S956">_xlfn.IFS(N956="", "", N956&gt;=9,"Promoter", N956&gt;=7,"Passive", N956&lt;=6,"Detractor")</f>
        <v>Detractor</v>
      </c>
    </row>
    <row r="957" spans="1:19" ht="14.25" customHeight="1">
      <c r="A957" s="3" t="s">
        <v>988</v>
      </c>
      <c r="B957" s="3" t="s">
        <v>20</v>
      </c>
      <c r="C957" s="3" t="s">
        <v>21</v>
      </c>
      <c r="D957" s="4">
        <v>45934</v>
      </c>
      <c r="E957" s="4">
        <v>45938</v>
      </c>
      <c r="F957" s="4">
        <v>45942</v>
      </c>
      <c r="G957" s="4">
        <v>45948</v>
      </c>
      <c r="H957" s="3" t="s">
        <v>22</v>
      </c>
      <c r="J957" s="4">
        <v>45962</v>
      </c>
      <c r="K957" s="3">
        <v>4</v>
      </c>
      <c r="L957" s="3">
        <v>4</v>
      </c>
      <c r="M957" s="3">
        <v>6</v>
      </c>
      <c r="N957" s="3">
        <v>2</v>
      </c>
      <c r="O957">
        <v>1</v>
      </c>
      <c r="P957">
        <f t="shared" si="42"/>
        <v>1</v>
      </c>
      <c r="Q957">
        <f t="shared" si="43"/>
        <v>1</v>
      </c>
      <c r="R957">
        <f t="shared" si="44"/>
        <v>1</v>
      </c>
      <c r="S957" s="10" t="str" cm="1">
        <f t="array" ref="S957">_xlfn.IFS(N957="", "", N957&gt;=9,"Promoter", N957&gt;=7,"Passive", N957&lt;=6,"Detractor")</f>
        <v>Detractor</v>
      </c>
    </row>
    <row r="958" spans="1:19" ht="14.25" customHeight="1">
      <c r="A958" s="3" t="s">
        <v>989</v>
      </c>
      <c r="B958" s="3" t="s">
        <v>37</v>
      </c>
      <c r="C958" s="3" t="s">
        <v>27</v>
      </c>
      <c r="D958" s="4">
        <v>45946</v>
      </c>
      <c r="H958" s="3" t="s">
        <v>28</v>
      </c>
      <c r="I958" s="3" t="s">
        <v>106</v>
      </c>
      <c r="O958">
        <v>1</v>
      </c>
      <c r="P958">
        <f t="shared" si="42"/>
        <v>0</v>
      </c>
      <c r="Q958">
        <f t="shared" si="43"/>
        <v>0</v>
      </c>
      <c r="R958">
        <f t="shared" si="44"/>
        <v>0</v>
      </c>
      <c r="S958" s="10" t="str" cm="1">
        <f t="array" ref="S958">_xlfn.IFS(N958="", "", N958&gt;=9,"Promoter", N958&gt;=7,"Passive", N958&lt;=6,"Detractor")</f>
        <v/>
      </c>
    </row>
    <row r="959" spans="1:19" ht="14.25" customHeight="1">
      <c r="A959" s="3" t="s">
        <v>990</v>
      </c>
      <c r="B959" s="3" t="s">
        <v>20</v>
      </c>
      <c r="C959" s="3" t="s">
        <v>21</v>
      </c>
      <c r="D959" s="4">
        <v>45953</v>
      </c>
      <c r="E959" s="4">
        <v>45956</v>
      </c>
      <c r="F959" s="4">
        <v>45957</v>
      </c>
      <c r="G959" s="4">
        <v>45961</v>
      </c>
      <c r="H959" s="3" t="s">
        <v>22</v>
      </c>
      <c r="J959" s="4">
        <v>45972</v>
      </c>
      <c r="K959" s="3">
        <v>3</v>
      </c>
      <c r="L959" s="3">
        <v>1</v>
      </c>
      <c r="M959" s="3">
        <v>4</v>
      </c>
      <c r="N959" s="3">
        <v>10</v>
      </c>
      <c r="O959">
        <v>1</v>
      </c>
      <c r="P959">
        <f t="shared" si="42"/>
        <v>1</v>
      </c>
      <c r="Q959">
        <f t="shared" si="43"/>
        <v>1</v>
      </c>
      <c r="R959">
        <f t="shared" si="44"/>
        <v>1</v>
      </c>
      <c r="S959" s="10" t="str" cm="1">
        <f t="array" ref="S959">_xlfn.IFS(N959="", "", N959&gt;=9,"Promoter", N959&gt;=7,"Passive", N959&lt;=6,"Detractor")</f>
        <v>Promoter</v>
      </c>
    </row>
    <row r="960" spans="1:19" ht="14.25" customHeight="1">
      <c r="A960" s="3" t="s">
        <v>991</v>
      </c>
      <c r="B960" s="3" t="s">
        <v>20</v>
      </c>
      <c r="C960" s="3" t="s">
        <v>21</v>
      </c>
      <c r="D960" s="4">
        <v>45960</v>
      </c>
      <c r="E960" s="4">
        <v>45963</v>
      </c>
      <c r="F960" s="4">
        <v>45964</v>
      </c>
      <c r="G960" s="4">
        <v>45970</v>
      </c>
      <c r="H960" s="3" t="s">
        <v>22</v>
      </c>
      <c r="J960" s="4">
        <v>45985</v>
      </c>
      <c r="K960" s="3">
        <v>3</v>
      </c>
      <c r="L960" s="3">
        <v>1</v>
      </c>
      <c r="M960" s="3">
        <v>6</v>
      </c>
      <c r="N960" s="3">
        <v>1</v>
      </c>
      <c r="O960">
        <v>1</v>
      </c>
      <c r="P960">
        <f t="shared" si="42"/>
        <v>1</v>
      </c>
      <c r="Q960">
        <f t="shared" si="43"/>
        <v>1</v>
      </c>
      <c r="R960">
        <f t="shared" si="44"/>
        <v>1</v>
      </c>
      <c r="S960" s="10" t="str" cm="1">
        <f t="array" ref="S960">_xlfn.IFS(N960="", "", N960&gt;=9,"Promoter", N960&gt;=7,"Passive", N960&lt;=6,"Detractor")</f>
        <v>Detractor</v>
      </c>
    </row>
    <row r="961" spans="1:19" ht="14.25" customHeight="1">
      <c r="A961" s="3" t="s">
        <v>992</v>
      </c>
      <c r="B961" s="3" t="s">
        <v>20</v>
      </c>
      <c r="C961" s="3" t="s">
        <v>27</v>
      </c>
      <c r="D961" s="4">
        <v>45945</v>
      </c>
      <c r="H961" s="3" t="s">
        <v>28</v>
      </c>
      <c r="I961" s="3" t="s">
        <v>38</v>
      </c>
      <c r="O961">
        <v>1</v>
      </c>
      <c r="P961">
        <f t="shared" si="42"/>
        <v>0</v>
      </c>
      <c r="Q961">
        <f t="shared" si="43"/>
        <v>0</v>
      </c>
      <c r="R961">
        <f t="shared" si="44"/>
        <v>0</v>
      </c>
      <c r="S961" s="10" t="str" cm="1">
        <f t="array" ref="S961">_xlfn.IFS(N961="", "", N961&gt;=9,"Promoter", N961&gt;=7,"Passive", N961&lt;=6,"Detractor")</f>
        <v/>
      </c>
    </row>
    <row r="962" spans="1:19" ht="14.25" customHeight="1">
      <c r="A962" s="3" t="s">
        <v>993</v>
      </c>
      <c r="B962" s="3" t="s">
        <v>20</v>
      </c>
      <c r="C962" s="3" t="s">
        <v>35</v>
      </c>
      <c r="D962" s="4">
        <v>45933</v>
      </c>
      <c r="E962" s="4">
        <v>45938</v>
      </c>
      <c r="F962" s="4">
        <v>45940</v>
      </c>
      <c r="G962" s="4">
        <v>45943</v>
      </c>
      <c r="H962" s="3" t="s">
        <v>22</v>
      </c>
      <c r="J962" s="4">
        <v>45956</v>
      </c>
      <c r="K962" s="3">
        <v>5</v>
      </c>
      <c r="L962" s="3">
        <v>2</v>
      </c>
      <c r="M962" s="3">
        <v>3</v>
      </c>
      <c r="N962" s="3">
        <v>8</v>
      </c>
      <c r="O962">
        <v>1</v>
      </c>
      <c r="P962">
        <f t="shared" si="42"/>
        <v>1</v>
      </c>
      <c r="Q962">
        <f t="shared" si="43"/>
        <v>1</v>
      </c>
      <c r="R962">
        <f t="shared" si="44"/>
        <v>1</v>
      </c>
      <c r="S962" s="10" t="str" cm="1">
        <f t="array" ref="S962">_xlfn.IFS(N962="", "", N962&gt;=9,"Promoter", N962&gt;=7,"Passive", N962&lt;=6,"Detractor")</f>
        <v>Passive</v>
      </c>
    </row>
    <row r="963" spans="1:19" ht="14.25" customHeight="1">
      <c r="A963" s="3" t="s">
        <v>994</v>
      </c>
      <c r="B963" s="3" t="s">
        <v>26</v>
      </c>
      <c r="C963" s="3" t="s">
        <v>21</v>
      </c>
      <c r="D963" s="4">
        <v>45959</v>
      </c>
      <c r="E963" s="4">
        <v>45962</v>
      </c>
      <c r="F963" s="4">
        <v>45965</v>
      </c>
      <c r="G963" s="4">
        <v>45968</v>
      </c>
      <c r="H963" s="3" t="s">
        <v>22</v>
      </c>
      <c r="J963" s="4">
        <v>45991</v>
      </c>
      <c r="K963" s="3">
        <v>3</v>
      </c>
      <c r="L963" s="3">
        <v>3</v>
      </c>
      <c r="M963" s="3">
        <v>3</v>
      </c>
      <c r="N963" s="3">
        <v>6</v>
      </c>
      <c r="O963">
        <v>1</v>
      </c>
      <c r="P963">
        <f t="shared" ref="P963:P1001" si="45">IF(E963&lt;&gt;"", 1, 0)</f>
        <v>1</v>
      </c>
      <c r="Q963">
        <f t="shared" ref="Q963:Q1001" si="46">IF(G963&lt;&gt;"",1,0)</f>
        <v>1</v>
      </c>
      <c r="R963">
        <f t="shared" ref="R963:R1001" si="47">IF(AND(G963&lt;&gt;"", H963="No"), 1, 0)</f>
        <v>1</v>
      </c>
      <c r="S963" s="10" t="str" cm="1">
        <f t="array" ref="S963">_xlfn.IFS(N963="", "", N963&gt;=9,"Promoter", N963&gt;=7,"Passive", N963&lt;=6,"Detractor")</f>
        <v>Detractor</v>
      </c>
    </row>
    <row r="964" spans="1:19" ht="14.25" customHeight="1">
      <c r="A964" s="3" t="s">
        <v>995</v>
      </c>
      <c r="B964" s="3" t="s">
        <v>37</v>
      </c>
      <c r="C964" s="3" t="s">
        <v>27</v>
      </c>
      <c r="D964" s="4">
        <v>45933</v>
      </c>
      <c r="H964" s="3" t="s">
        <v>28</v>
      </c>
      <c r="I964" s="3" t="s">
        <v>29</v>
      </c>
      <c r="O964">
        <v>1</v>
      </c>
      <c r="P964">
        <f t="shared" si="45"/>
        <v>0</v>
      </c>
      <c r="Q964">
        <f t="shared" si="46"/>
        <v>0</v>
      </c>
      <c r="R964">
        <f t="shared" si="47"/>
        <v>0</v>
      </c>
      <c r="S964" s="10" t="str" cm="1">
        <f t="array" ref="S964">_xlfn.IFS(N964="", "", N964&gt;=9,"Promoter", N964&gt;=7,"Passive", N964&lt;=6,"Detractor")</f>
        <v/>
      </c>
    </row>
    <row r="965" spans="1:19" ht="14.25" customHeight="1">
      <c r="A965" s="3" t="s">
        <v>996</v>
      </c>
      <c r="B965" s="3" t="s">
        <v>24</v>
      </c>
      <c r="C965" s="3" t="s">
        <v>35</v>
      </c>
      <c r="D965" s="4">
        <v>45941</v>
      </c>
      <c r="E965" s="4">
        <v>45943</v>
      </c>
      <c r="F965" s="4">
        <v>45946</v>
      </c>
      <c r="G965" s="4">
        <v>45948</v>
      </c>
      <c r="H965" s="3" t="s">
        <v>22</v>
      </c>
      <c r="J965" s="4">
        <v>45976</v>
      </c>
      <c r="K965" s="3">
        <v>2</v>
      </c>
      <c r="L965" s="3">
        <v>3</v>
      </c>
      <c r="M965" s="3">
        <v>2</v>
      </c>
      <c r="N965" s="3">
        <v>3</v>
      </c>
      <c r="O965">
        <v>1</v>
      </c>
      <c r="P965">
        <f t="shared" si="45"/>
        <v>1</v>
      </c>
      <c r="Q965">
        <f t="shared" si="46"/>
        <v>1</v>
      </c>
      <c r="R965">
        <f t="shared" si="47"/>
        <v>1</v>
      </c>
      <c r="S965" s="10" t="str" cm="1">
        <f t="array" ref="S965">_xlfn.IFS(N965="", "", N965&gt;=9,"Promoter", N965&gt;=7,"Passive", N965&lt;=6,"Detractor")</f>
        <v>Detractor</v>
      </c>
    </row>
    <row r="966" spans="1:19" ht="14.25" customHeight="1">
      <c r="A966" s="3" t="s">
        <v>997</v>
      </c>
      <c r="B966" s="3" t="s">
        <v>20</v>
      </c>
      <c r="C966" s="3" t="s">
        <v>21</v>
      </c>
      <c r="D966" s="4">
        <v>45950</v>
      </c>
      <c r="E966" s="4">
        <v>45952</v>
      </c>
      <c r="F966" s="4">
        <v>45955</v>
      </c>
      <c r="G966" s="4">
        <v>45958</v>
      </c>
      <c r="H966" s="3" t="s">
        <v>22</v>
      </c>
      <c r="J966" s="4">
        <v>45983</v>
      </c>
      <c r="K966" s="3">
        <v>2</v>
      </c>
      <c r="L966" s="3">
        <v>3</v>
      </c>
      <c r="M966" s="3">
        <v>3</v>
      </c>
      <c r="N966" s="3">
        <v>9</v>
      </c>
      <c r="O966">
        <v>1</v>
      </c>
      <c r="P966">
        <f t="shared" si="45"/>
        <v>1</v>
      </c>
      <c r="Q966">
        <f t="shared" si="46"/>
        <v>1</v>
      </c>
      <c r="R966">
        <f t="shared" si="47"/>
        <v>1</v>
      </c>
      <c r="S966" s="10" t="str" cm="1">
        <f t="array" ref="S966">_xlfn.IFS(N966="", "", N966&gt;=9,"Promoter", N966&gt;=7,"Passive", N966&lt;=6,"Detractor")</f>
        <v>Promoter</v>
      </c>
    </row>
    <row r="967" spans="1:19" ht="14.25" customHeight="1">
      <c r="A967" s="3" t="s">
        <v>998</v>
      </c>
      <c r="B967" s="3" t="s">
        <v>26</v>
      </c>
      <c r="C967" s="3" t="s">
        <v>21</v>
      </c>
      <c r="D967" s="4">
        <v>45935</v>
      </c>
      <c r="E967" s="4">
        <v>45940</v>
      </c>
      <c r="F967" s="4">
        <v>45944</v>
      </c>
      <c r="G967" s="4">
        <v>45951</v>
      </c>
      <c r="H967" s="3" t="s">
        <v>22</v>
      </c>
      <c r="J967" s="4">
        <v>45979</v>
      </c>
      <c r="K967" s="3">
        <v>5</v>
      </c>
      <c r="L967" s="3">
        <v>4</v>
      </c>
      <c r="M967" s="3">
        <v>7</v>
      </c>
      <c r="N967" s="3">
        <v>7</v>
      </c>
      <c r="O967">
        <v>1</v>
      </c>
      <c r="P967">
        <f t="shared" si="45"/>
        <v>1</v>
      </c>
      <c r="Q967">
        <f t="shared" si="46"/>
        <v>1</v>
      </c>
      <c r="R967">
        <f t="shared" si="47"/>
        <v>1</v>
      </c>
      <c r="S967" s="10" t="str" cm="1">
        <f t="array" ref="S967">_xlfn.IFS(N967="", "", N967&gt;=9,"Promoter", N967&gt;=7,"Passive", N967&lt;=6,"Detractor")</f>
        <v>Passive</v>
      </c>
    </row>
    <row r="968" spans="1:19" ht="14.25" customHeight="1">
      <c r="A968" s="3" t="s">
        <v>999</v>
      </c>
      <c r="B968" s="3" t="s">
        <v>26</v>
      </c>
      <c r="C968" s="3" t="s">
        <v>21</v>
      </c>
      <c r="D968" s="4">
        <v>45933</v>
      </c>
      <c r="E968" s="4">
        <v>45938</v>
      </c>
      <c r="F968" s="4">
        <v>45940</v>
      </c>
      <c r="G968" s="4">
        <v>45943</v>
      </c>
      <c r="H968" s="3" t="s">
        <v>22</v>
      </c>
      <c r="J968" s="4">
        <v>45967</v>
      </c>
      <c r="K968" s="3">
        <v>5</v>
      </c>
      <c r="L968" s="3">
        <v>2</v>
      </c>
      <c r="M968" s="3">
        <v>3</v>
      </c>
      <c r="N968" s="3">
        <v>4</v>
      </c>
      <c r="O968">
        <v>1</v>
      </c>
      <c r="P968">
        <f t="shared" si="45"/>
        <v>1</v>
      </c>
      <c r="Q968">
        <f t="shared" si="46"/>
        <v>1</v>
      </c>
      <c r="R968">
        <f t="shared" si="47"/>
        <v>1</v>
      </c>
      <c r="S968" s="10" t="str" cm="1">
        <f t="array" ref="S968">_xlfn.IFS(N968="", "", N968&gt;=9,"Promoter", N968&gt;=7,"Passive", N968&lt;=6,"Detractor")</f>
        <v>Detractor</v>
      </c>
    </row>
    <row r="969" spans="1:19" ht="14.25" customHeight="1">
      <c r="A969" s="3" t="s">
        <v>1000</v>
      </c>
      <c r="B969" s="3" t="s">
        <v>26</v>
      </c>
      <c r="C969" s="3" t="s">
        <v>21</v>
      </c>
      <c r="D969" s="4">
        <v>45935</v>
      </c>
      <c r="E969" s="4">
        <v>45939</v>
      </c>
      <c r="F969" s="4">
        <v>45944</v>
      </c>
      <c r="G969" s="4">
        <v>45948</v>
      </c>
      <c r="H969" s="3" t="s">
        <v>22</v>
      </c>
      <c r="J969" s="4">
        <v>45963</v>
      </c>
      <c r="K969" s="3">
        <v>4</v>
      </c>
      <c r="L969" s="3">
        <v>5</v>
      </c>
      <c r="M969" s="3">
        <v>4</v>
      </c>
      <c r="N969" s="3">
        <v>7</v>
      </c>
      <c r="O969">
        <v>1</v>
      </c>
      <c r="P969">
        <f t="shared" si="45"/>
        <v>1</v>
      </c>
      <c r="Q969">
        <f t="shared" si="46"/>
        <v>1</v>
      </c>
      <c r="R969">
        <f t="shared" si="47"/>
        <v>1</v>
      </c>
      <c r="S969" s="10" t="str" cm="1">
        <f t="array" ref="S969">_xlfn.IFS(N969="", "", N969&gt;=9,"Promoter", N969&gt;=7,"Passive", N969&lt;=6,"Detractor")</f>
        <v>Passive</v>
      </c>
    </row>
    <row r="970" spans="1:19" ht="14.25" customHeight="1">
      <c r="A970" s="3" t="s">
        <v>1001</v>
      </c>
      <c r="B970" s="3" t="s">
        <v>24</v>
      </c>
      <c r="C970" s="3" t="s">
        <v>27</v>
      </c>
      <c r="D970" s="4">
        <v>45939</v>
      </c>
      <c r="H970" s="3" t="s">
        <v>28</v>
      </c>
      <c r="I970" s="3" t="s">
        <v>68</v>
      </c>
      <c r="O970">
        <v>1</v>
      </c>
      <c r="P970">
        <f t="shared" si="45"/>
        <v>0</v>
      </c>
      <c r="Q970">
        <f t="shared" si="46"/>
        <v>0</v>
      </c>
      <c r="R970">
        <f t="shared" si="47"/>
        <v>0</v>
      </c>
      <c r="S970" s="10" t="str" cm="1">
        <f t="array" ref="S970">_xlfn.IFS(N970="", "", N970&gt;=9,"Promoter", N970&gt;=7,"Passive", N970&lt;=6,"Detractor")</f>
        <v/>
      </c>
    </row>
    <row r="971" spans="1:19" ht="14.25" customHeight="1">
      <c r="A971" s="3" t="s">
        <v>1002</v>
      </c>
      <c r="B971" s="3" t="s">
        <v>20</v>
      </c>
      <c r="C971" s="3" t="s">
        <v>21</v>
      </c>
      <c r="D971" s="4">
        <v>45950</v>
      </c>
      <c r="E971" s="4">
        <v>45955</v>
      </c>
      <c r="F971" s="4">
        <v>45959</v>
      </c>
      <c r="G971" s="4">
        <v>45965</v>
      </c>
      <c r="H971" s="3" t="s">
        <v>22</v>
      </c>
      <c r="J971" s="4">
        <v>45994</v>
      </c>
      <c r="K971" s="3">
        <v>5</v>
      </c>
      <c r="L971" s="3">
        <v>4</v>
      </c>
      <c r="M971" s="3">
        <v>6</v>
      </c>
      <c r="N971" s="3">
        <v>6</v>
      </c>
      <c r="O971">
        <v>1</v>
      </c>
      <c r="P971">
        <f t="shared" si="45"/>
        <v>1</v>
      </c>
      <c r="Q971">
        <f t="shared" si="46"/>
        <v>1</v>
      </c>
      <c r="R971">
        <f t="shared" si="47"/>
        <v>1</v>
      </c>
      <c r="S971" s="10" t="str" cm="1">
        <f t="array" ref="S971">_xlfn.IFS(N971="", "", N971&gt;=9,"Promoter", N971&gt;=7,"Passive", N971&lt;=6,"Detractor")</f>
        <v>Detractor</v>
      </c>
    </row>
    <row r="972" spans="1:19" ht="14.25" customHeight="1">
      <c r="A972" s="3" t="s">
        <v>1003</v>
      </c>
      <c r="B972" s="3" t="s">
        <v>37</v>
      </c>
      <c r="C972" s="3" t="s">
        <v>35</v>
      </c>
      <c r="D972" s="4">
        <v>45951</v>
      </c>
      <c r="E972" s="4">
        <v>45952</v>
      </c>
      <c r="F972" s="4">
        <v>45955</v>
      </c>
      <c r="G972" s="4">
        <v>45962</v>
      </c>
      <c r="H972" s="3" t="s">
        <v>22</v>
      </c>
      <c r="J972" s="4">
        <v>45984</v>
      </c>
      <c r="K972" s="3">
        <v>1</v>
      </c>
      <c r="L972" s="3">
        <v>3</v>
      </c>
      <c r="M972" s="3">
        <v>7</v>
      </c>
      <c r="N972" s="3">
        <v>10</v>
      </c>
      <c r="O972">
        <v>1</v>
      </c>
      <c r="P972">
        <f t="shared" si="45"/>
        <v>1</v>
      </c>
      <c r="Q972">
        <f t="shared" si="46"/>
        <v>1</v>
      </c>
      <c r="R972">
        <f t="shared" si="47"/>
        <v>1</v>
      </c>
      <c r="S972" s="10" t="str" cm="1">
        <f t="array" ref="S972">_xlfn.IFS(N972="", "", N972&gt;=9,"Promoter", N972&gt;=7,"Passive", N972&lt;=6,"Detractor")</f>
        <v>Promoter</v>
      </c>
    </row>
    <row r="973" spans="1:19" ht="14.25" customHeight="1">
      <c r="A973" s="3" t="s">
        <v>1004</v>
      </c>
      <c r="B973" s="3" t="s">
        <v>37</v>
      </c>
      <c r="C973" s="3" t="s">
        <v>27</v>
      </c>
      <c r="D973" s="4">
        <v>45949</v>
      </c>
      <c r="H973" s="3" t="s">
        <v>28</v>
      </c>
      <c r="I973" s="3" t="s">
        <v>106</v>
      </c>
      <c r="O973">
        <v>1</v>
      </c>
      <c r="P973">
        <f t="shared" si="45"/>
        <v>0</v>
      </c>
      <c r="Q973">
        <f t="shared" si="46"/>
        <v>0</v>
      </c>
      <c r="R973">
        <f t="shared" si="47"/>
        <v>0</v>
      </c>
      <c r="S973" s="10" t="str" cm="1">
        <f t="array" ref="S973">_xlfn.IFS(N973="", "", N973&gt;=9,"Promoter", N973&gt;=7,"Passive", N973&lt;=6,"Detractor")</f>
        <v/>
      </c>
    </row>
    <row r="974" spans="1:19" ht="14.25" customHeight="1">
      <c r="A974" s="3" t="s">
        <v>1005</v>
      </c>
      <c r="B974" s="3" t="s">
        <v>26</v>
      </c>
      <c r="C974" s="3" t="s">
        <v>35</v>
      </c>
      <c r="D974" s="4">
        <v>45948</v>
      </c>
      <c r="E974" s="4">
        <v>45949</v>
      </c>
      <c r="F974" s="4">
        <v>45953</v>
      </c>
      <c r="G974" s="4">
        <v>45955</v>
      </c>
      <c r="H974" s="3" t="s">
        <v>22</v>
      </c>
      <c r="J974" s="4">
        <v>45976</v>
      </c>
      <c r="K974" s="3">
        <v>1</v>
      </c>
      <c r="L974" s="3">
        <v>4</v>
      </c>
      <c r="M974" s="3">
        <v>2</v>
      </c>
      <c r="N974" s="3">
        <v>10</v>
      </c>
      <c r="O974">
        <v>1</v>
      </c>
      <c r="P974">
        <f t="shared" si="45"/>
        <v>1</v>
      </c>
      <c r="Q974">
        <f t="shared" si="46"/>
        <v>1</v>
      </c>
      <c r="R974">
        <f t="shared" si="47"/>
        <v>1</v>
      </c>
      <c r="S974" s="10" t="str" cm="1">
        <f t="array" ref="S974">_xlfn.IFS(N974="", "", N974&gt;=9,"Promoter", N974&gt;=7,"Passive", N974&lt;=6,"Detractor")</f>
        <v>Promoter</v>
      </c>
    </row>
    <row r="975" spans="1:19" ht="14.25" customHeight="1">
      <c r="A975" s="3" t="s">
        <v>1006</v>
      </c>
      <c r="B975" s="3" t="s">
        <v>24</v>
      </c>
      <c r="C975" s="3" t="s">
        <v>21</v>
      </c>
      <c r="D975" s="4">
        <v>45953</v>
      </c>
      <c r="E975" s="4">
        <v>45954</v>
      </c>
      <c r="F975" s="4">
        <v>45955</v>
      </c>
      <c r="G975" s="4">
        <v>45958</v>
      </c>
      <c r="H975" s="3" t="s">
        <v>22</v>
      </c>
      <c r="J975" s="4">
        <v>45987</v>
      </c>
      <c r="K975" s="3">
        <v>1</v>
      </c>
      <c r="L975" s="3">
        <v>1</v>
      </c>
      <c r="M975" s="3">
        <v>3</v>
      </c>
      <c r="N975" s="3">
        <v>9</v>
      </c>
      <c r="O975">
        <v>1</v>
      </c>
      <c r="P975">
        <f t="shared" si="45"/>
        <v>1</v>
      </c>
      <c r="Q975">
        <f t="shared" si="46"/>
        <v>1</v>
      </c>
      <c r="R975">
        <f t="shared" si="47"/>
        <v>1</v>
      </c>
      <c r="S975" s="10" t="str" cm="1">
        <f t="array" ref="S975">_xlfn.IFS(N975="", "", N975&gt;=9,"Promoter", N975&gt;=7,"Passive", N975&lt;=6,"Detractor")</f>
        <v>Promoter</v>
      </c>
    </row>
    <row r="976" spans="1:19" ht="14.25" customHeight="1">
      <c r="A976" s="3" t="s">
        <v>1007</v>
      </c>
      <c r="B976" s="3" t="s">
        <v>24</v>
      </c>
      <c r="C976" s="3" t="s">
        <v>21</v>
      </c>
      <c r="D976" s="4">
        <v>45941</v>
      </c>
      <c r="E976" s="4">
        <v>45943</v>
      </c>
      <c r="F976" s="4">
        <v>45947</v>
      </c>
      <c r="G976" s="4">
        <v>45953</v>
      </c>
      <c r="H976" s="3" t="s">
        <v>22</v>
      </c>
      <c r="J976" s="4">
        <v>45963</v>
      </c>
      <c r="K976" s="3">
        <v>2</v>
      </c>
      <c r="L976" s="3">
        <v>4</v>
      </c>
      <c r="M976" s="3">
        <v>6</v>
      </c>
      <c r="N976" s="3">
        <v>7</v>
      </c>
      <c r="O976">
        <v>1</v>
      </c>
      <c r="P976">
        <f t="shared" si="45"/>
        <v>1</v>
      </c>
      <c r="Q976">
        <f t="shared" si="46"/>
        <v>1</v>
      </c>
      <c r="R976">
        <f t="shared" si="47"/>
        <v>1</v>
      </c>
      <c r="S976" s="10" t="str" cm="1">
        <f t="array" ref="S976">_xlfn.IFS(N976="", "", N976&gt;=9,"Promoter", N976&gt;=7,"Passive", N976&lt;=6,"Detractor")</f>
        <v>Passive</v>
      </c>
    </row>
    <row r="977" spans="1:19" ht="14.25" customHeight="1">
      <c r="A977" s="3" t="s">
        <v>1008</v>
      </c>
      <c r="B977" s="3" t="s">
        <v>24</v>
      </c>
      <c r="C977" s="3" t="s">
        <v>21</v>
      </c>
      <c r="D977" s="4">
        <v>45943</v>
      </c>
      <c r="E977" s="4">
        <v>45946</v>
      </c>
      <c r="F977" s="4">
        <v>45950</v>
      </c>
      <c r="G977" s="4">
        <v>45955</v>
      </c>
      <c r="H977" s="3" t="s">
        <v>28</v>
      </c>
      <c r="I977" s="3" t="s">
        <v>31</v>
      </c>
      <c r="K977" s="3">
        <v>3</v>
      </c>
      <c r="L977" s="3">
        <v>4</v>
      </c>
      <c r="M977" s="3">
        <v>5</v>
      </c>
      <c r="O977">
        <v>1</v>
      </c>
      <c r="P977">
        <f t="shared" si="45"/>
        <v>1</v>
      </c>
      <c r="Q977">
        <f t="shared" si="46"/>
        <v>1</v>
      </c>
      <c r="R977">
        <f t="shared" si="47"/>
        <v>0</v>
      </c>
      <c r="S977" s="10" t="str" cm="1">
        <f t="array" ref="S977">_xlfn.IFS(N977="", "", N977&gt;=9,"Promoter", N977&gt;=7,"Passive", N977&lt;=6,"Detractor")</f>
        <v/>
      </c>
    </row>
    <row r="978" spans="1:19" ht="14.25" customHeight="1">
      <c r="A978" s="3" t="s">
        <v>1009</v>
      </c>
      <c r="B978" s="3" t="s">
        <v>37</v>
      </c>
      <c r="C978" s="3" t="s">
        <v>21</v>
      </c>
      <c r="D978" s="4">
        <v>45950</v>
      </c>
      <c r="E978" s="4">
        <v>45954</v>
      </c>
      <c r="F978" s="4">
        <v>45957</v>
      </c>
      <c r="G978" s="4">
        <v>45961</v>
      </c>
      <c r="H978" s="3" t="s">
        <v>28</v>
      </c>
      <c r="I978" s="3" t="s">
        <v>106</v>
      </c>
      <c r="K978" s="3">
        <v>4</v>
      </c>
      <c r="L978" s="3">
        <v>3</v>
      </c>
      <c r="M978" s="3">
        <v>4</v>
      </c>
      <c r="O978">
        <v>1</v>
      </c>
      <c r="P978">
        <f t="shared" si="45"/>
        <v>1</v>
      </c>
      <c r="Q978">
        <f t="shared" si="46"/>
        <v>1</v>
      </c>
      <c r="R978">
        <f t="shared" si="47"/>
        <v>0</v>
      </c>
      <c r="S978" s="10" t="str" cm="1">
        <f t="array" ref="S978">_xlfn.IFS(N978="", "", N978&gt;=9,"Promoter", N978&gt;=7,"Passive", N978&lt;=6,"Detractor")</f>
        <v/>
      </c>
    </row>
    <row r="979" spans="1:19" ht="14.25" customHeight="1">
      <c r="A979" s="3" t="s">
        <v>1010</v>
      </c>
      <c r="B979" s="3" t="s">
        <v>26</v>
      </c>
      <c r="C979" s="3" t="s">
        <v>27</v>
      </c>
      <c r="D979" s="4">
        <v>45947</v>
      </c>
      <c r="H979" s="3" t="s">
        <v>28</v>
      </c>
      <c r="I979" s="3" t="s">
        <v>68</v>
      </c>
      <c r="O979">
        <v>1</v>
      </c>
      <c r="P979">
        <f t="shared" si="45"/>
        <v>0</v>
      </c>
      <c r="Q979">
        <f t="shared" si="46"/>
        <v>0</v>
      </c>
      <c r="R979">
        <f t="shared" si="47"/>
        <v>0</v>
      </c>
      <c r="S979" s="10" t="str" cm="1">
        <f t="array" ref="S979">_xlfn.IFS(N979="", "", N979&gt;=9,"Promoter", N979&gt;=7,"Passive", N979&lt;=6,"Detractor")</f>
        <v/>
      </c>
    </row>
    <row r="980" spans="1:19" ht="14.25" customHeight="1">
      <c r="A980" s="3" t="s">
        <v>1011</v>
      </c>
      <c r="B980" s="3" t="s">
        <v>20</v>
      </c>
      <c r="C980" s="3" t="s">
        <v>21</v>
      </c>
      <c r="D980" s="4">
        <v>45940</v>
      </c>
      <c r="E980" s="4">
        <v>45945</v>
      </c>
      <c r="F980" s="4">
        <v>45946</v>
      </c>
      <c r="G980" s="4">
        <v>45949</v>
      </c>
      <c r="H980" s="3" t="s">
        <v>22</v>
      </c>
      <c r="J980" s="4">
        <v>45963</v>
      </c>
      <c r="K980" s="3">
        <v>5</v>
      </c>
      <c r="L980" s="3">
        <v>1</v>
      </c>
      <c r="M980" s="3">
        <v>3</v>
      </c>
      <c r="N980" s="3">
        <v>8</v>
      </c>
      <c r="O980">
        <v>1</v>
      </c>
      <c r="P980">
        <f t="shared" si="45"/>
        <v>1</v>
      </c>
      <c r="Q980">
        <f t="shared" si="46"/>
        <v>1</v>
      </c>
      <c r="R980">
        <f t="shared" si="47"/>
        <v>1</v>
      </c>
      <c r="S980" s="10" t="str" cm="1">
        <f t="array" ref="S980">_xlfn.IFS(N980="", "", N980&gt;=9,"Promoter", N980&gt;=7,"Passive", N980&lt;=6,"Detractor")</f>
        <v>Passive</v>
      </c>
    </row>
    <row r="981" spans="1:19" ht="14.25" customHeight="1">
      <c r="A981" s="3" t="s">
        <v>1012</v>
      </c>
      <c r="B981" s="3" t="s">
        <v>37</v>
      </c>
      <c r="C981" s="3" t="s">
        <v>21</v>
      </c>
      <c r="D981" s="4">
        <v>45945</v>
      </c>
      <c r="E981" s="4">
        <v>45949</v>
      </c>
      <c r="F981" s="4">
        <v>45952</v>
      </c>
      <c r="G981" s="4">
        <v>45955</v>
      </c>
      <c r="H981" s="3" t="s">
        <v>22</v>
      </c>
      <c r="J981" s="4">
        <v>45980</v>
      </c>
      <c r="K981" s="3">
        <v>4</v>
      </c>
      <c r="L981" s="3">
        <v>3</v>
      </c>
      <c r="M981" s="3">
        <v>3</v>
      </c>
      <c r="N981" s="3">
        <v>5</v>
      </c>
      <c r="O981">
        <v>1</v>
      </c>
      <c r="P981">
        <f t="shared" si="45"/>
        <v>1</v>
      </c>
      <c r="Q981">
        <f t="shared" si="46"/>
        <v>1</v>
      </c>
      <c r="R981">
        <f t="shared" si="47"/>
        <v>1</v>
      </c>
      <c r="S981" s="10" t="str" cm="1">
        <f t="array" ref="S981">_xlfn.IFS(N981="", "", N981&gt;=9,"Promoter", N981&gt;=7,"Passive", N981&lt;=6,"Detractor")</f>
        <v>Detractor</v>
      </c>
    </row>
    <row r="982" spans="1:19" ht="14.25" customHeight="1">
      <c r="A982" s="3" t="s">
        <v>1013</v>
      </c>
      <c r="B982" s="3" t="s">
        <v>26</v>
      </c>
      <c r="C982" s="3" t="s">
        <v>35</v>
      </c>
      <c r="D982" s="4">
        <v>45947</v>
      </c>
      <c r="E982" s="4">
        <v>45949</v>
      </c>
      <c r="F982" s="4">
        <v>45950</v>
      </c>
      <c r="G982" s="4">
        <v>45953</v>
      </c>
      <c r="H982" s="3" t="s">
        <v>22</v>
      </c>
      <c r="J982" s="4">
        <v>45978</v>
      </c>
      <c r="K982" s="3">
        <v>2</v>
      </c>
      <c r="L982" s="3">
        <v>1</v>
      </c>
      <c r="M982" s="3">
        <v>3</v>
      </c>
      <c r="N982" s="3">
        <v>0</v>
      </c>
      <c r="O982">
        <v>1</v>
      </c>
      <c r="P982">
        <f t="shared" si="45"/>
        <v>1</v>
      </c>
      <c r="Q982">
        <f t="shared" si="46"/>
        <v>1</v>
      </c>
      <c r="R982">
        <f t="shared" si="47"/>
        <v>1</v>
      </c>
      <c r="S982" s="10" t="str" cm="1">
        <f t="array" ref="S982">_xlfn.IFS(N982="", "", N982&gt;=9,"Promoter", N982&gt;=7,"Passive", N982&lt;=6,"Detractor")</f>
        <v>Detractor</v>
      </c>
    </row>
    <row r="983" spans="1:19" ht="14.25" customHeight="1">
      <c r="A983" s="3" t="s">
        <v>1014</v>
      </c>
      <c r="B983" s="3" t="s">
        <v>26</v>
      </c>
      <c r="C983" s="3" t="s">
        <v>27</v>
      </c>
      <c r="D983" s="4">
        <v>45950</v>
      </c>
      <c r="H983" s="3" t="s">
        <v>28</v>
      </c>
      <c r="I983" s="3" t="s">
        <v>29</v>
      </c>
      <c r="O983">
        <v>1</v>
      </c>
      <c r="P983">
        <f t="shared" si="45"/>
        <v>0</v>
      </c>
      <c r="Q983">
        <f t="shared" si="46"/>
        <v>0</v>
      </c>
      <c r="R983">
        <f t="shared" si="47"/>
        <v>0</v>
      </c>
      <c r="S983" s="10" t="str" cm="1">
        <f t="array" ref="S983">_xlfn.IFS(N983="", "", N983&gt;=9,"Promoter", N983&gt;=7,"Passive", N983&lt;=6,"Detractor")</f>
        <v/>
      </c>
    </row>
    <row r="984" spans="1:19" ht="14.25" customHeight="1">
      <c r="A984" s="3" t="s">
        <v>1015</v>
      </c>
      <c r="B984" s="3" t="s">
        <v>20</v>
      </c>
      <c r="C984" s="3" t="s">
        <v>27</v>
      </c>
      <c r="D984" s="4">
        <v>45944</v>
      </c>
      <c r="H984" s="3" t="s">
        <v>28</v>
      </c>
      <c r="I984" s="3" t="s">
        <v>68</v>
      </c>
      <c r="O984">
        <v>1</v>
      </c>
      <c r="P984">
        <f t="shared" si="45"/>
        <v>0</v>
      </c>
      <c r="Q984">
        <f t="shared" si="46"/>
        <v>0</v>
      </c>
      <c r="R984">
        <f t="shared" si="47"/>
        <v>0</v>
      </c>
      <c r="S984" s="10" t="str" cm="1">
        <f t="array" ref="S984">_xlfn.IFS(N984="", "", N984&gt;=9,"Promoter", N984&gt;=7,"Passive", N984&lt;=6,"Detractor")</f>
        <v/>
      </c>
    </row>
    <row r="985" spans="1:19" ht="14.25" customHeight="1">
      <c r="A985" s="3" t="s">
        <v>1016</v>
      </c>
      <c r="B985" s="3" t="s">
        <v>20</v>
      </c>
      <c r="C985" s="3" t="s">
        <v>21</v>
      </c>
      <c r="D985" s="4">
        <v>45934</v>
      </c>
      <c r="E985" s="4">
        <v>45939</v>
      </c>
      <c r="F985" s="4">
        <v>45940</v>
      </c>
      <c r="G985" s="4">
        <v>45946</v>
      </c>
      <c r="H985" s="3" t="s">
        <v>22</v>
      </c>
      <c r="J985" s="4">
        <v>45959</v>
      </c>
      <c r="K985" s="3">
        <v>5</v>
      </c>
      <c r="L985" s="3">
        <v>1</v>
      </c>
      <c r="M985" s="3">
        <v>6</v>
      </c>
      <c r="N985" s="3">
        <v>2</v>
      </c>
      <c r="O985">
        <v>1</v>
      </c>
      <c r="P985">
        <f t="shared" si="45"/>
        <v>1</v>
      </c>
      <c r="Q985">
        <f t="shared" si="46"/>
        <v>1</v>
      </c>
      <c r="R985">
        <f t="shared" si="47"/>
        <v>1</v>
      </c>
      <c r="S985" s="10" t="str" cm="1">
        <f t="array" ref="S985">_xlfn.IFS(N985="", "", N985&gt;=9,"Promoter", N985&gt;=7,"Passive", N985&lt;=6,"Detractor")</f>
        <v>Detractor</v>
      </c>
    </row>
    <row r="986" spans="1:19" ht="14.25" customHeight="1">
      <c r="A986" s="3" t="s">
        <v>1017</v>
      </c>
      <c r="B986" s="3" t="s">
        <v>20</v>
      </c>
      <c r="C986" s="3" t="s">
        <v>35</v>
      </c>
      <c r="D986" s="4">
        <v>45956</v>
      </c>
      <c r="E986" s="4">
        <v>45961</v>
      </c>
      <c r="F986" s="4">
        <v>45962</v>
      </c>
      <c r="G986" s="4">
        <v>45966</v>
      </c>
      <c r="H986" s="3" t="s">
        <v>22</v>
      </c>
      <c r="J986" s="4">
        <v>45989</v>
      </c>
      <c r="K986" s="3">
        <v>5</v>
      </c>
      <c r="L986" s="3">
        <v>1</v>
      </c>
      <c r="M986" s="3">
        <v>4</v>
      </c>
      <c r="N986" s="3">
        <v>2</v>
      </c>
      <c r="O986">
        <v>1</v>
      </c>
      <c r="P986">
        <f t="shared" si="45"/>
        <v>1</v>
      </c>
      <c r="Q986">
        <f t="shared" si="46"/>
        <v>1</v>
      </c>
      <c r="R986">
        <f t="shared" si="47"/>
        <v>1</v>
      </c>
      <c r="S986" s="10" t="str" cm="1">
        <f t="array" ref="S986">_xlfn.IFS(N986="", "", N986&gt;=9,"Promoter", N986&gt;=7,"Passive", N986&lt;=6,"Detractor")</f>
        <v>Detractor</v>
      </c>
    </row>
    <row r="987" spans="1:19" ht="14.25" customHeight="1">
      <c r="A987" s="3" t="s">
        <v>1018</v>
      </c>
      <c r="B987" s="3" t="s">
        <v>24</v>
      </c>
      <c r="C987" s="3" t="s">
        <v>35</v>
      </c>
      <c r="D987" s="4">
        <v>45953</v>
      </c>
      <c r="E987" s="4">
        <v>45955</v>
      </c>
      <c r="F987" s="4">
        <v>45958</v>
      </c>
      <c r="G987" s="4">
        <v>45965</v>
      </c>
      <c r="H987" s="3" t="s">
        <v>22</v>
      </c>
      <c r="J987" s="4">
        <v>45989</v>
      </c>
      <c r="K987" s="3">
        <v>2</v>
      </c>
      <c r="L987" s="3">
        <v>3</v>
      </c>
      <c r="M987" s="3">
        <v>7</v>
      </c>
      <c r="N987" s="3">
        <v>7</v>
      </c>
      <c r="O987">
        <v>1</v>
      </c>
      <c r="P987">
        <f t="shared" si="45"/>
        <v>1</v>
      </c>
      <c r="Q987">
        <f t="shared" si="46"/>
        <v>1</v>
      </c>
      <c r="R987">
        <f t="shared" si="47"/>
        <v>1</v>
      </c>
      <c r="S987" s="10" t="str" cm="1">
        <f t="array" ref="S987">_xlfn.IFS(N987="", "", N987&gt;=9,"Promoter", N987&gt;=7,"Passive", N987&lt;=6,"Detractor")</f>
        <v>Passive</v>
      </c>
    </row>
    <row r="988" spans="1:19" ht="14.25" customHeight="1">
      <c r="A988" s="3" t="s">
        <v>1019</v>
      </c>
      <c r="B988" s="3" t="s">
        <v>20</v>
      </c>
      <c r="C988" s="3" t="s">
        <v>35</v>
      </c>
      <c r="D988" s="4">
        <v>45934</v>
      </c>
      <c r="E988" s="4">
        <v>45937</v>
      </c>
      <c r="F988" s="4">
        <v>45938</v>
      </c>
      <c r="G988" s="4">
        <v>45945</v>
      </c>
      <c r="H988" s="3" t="s">
        <v>22</v>
      </c>
      <c r="J988" s="4">
        <v>45956</v>
      </c>
      <c r="K988" s="3">
        <v>3</v>
      </c>
      <c r="L988" s="3">
        <v>1</v>
      </c>
      <c r="M988" s="3">
        <v>7</v>
      </c>
      <c r="N988" s="3">
        <v>8</v>
      </c>
      <c r="O988">
        <v>1</v>
      </c>
      <c r="P988">
        <f t="shared" si="45"/>
        <v>1</v>
      </c>
      <c r="Q988">
        <f t="shared" si="46"/>
        <v>1</v>
      </c>
      <c r="R988">
        <f t="shared" si="47"/>
        <v>1</v>
      </c>
      <c r="S988" s="10" t="str" cm="1">
        <f t="array" ref="S988">_xlfn.IFS(N988="", "", N988&gt;=9,"Promoter", N988&gt;=7,"Passive", N988&lt;=6,"Detractor")</f>
        <v>Passive</v>
      </c>
    </row>
    <row r="989" spans="1:19" ht="14.25" customHeight="1">
      <c r="A989" s="3" t="s">
        <v>1020</v>
      </c>
      <c r="B989" s="3" t="s">
        <v>26</v>
      </c>
      <c r="C989" s="3" t="s">
        <v>35</v>
      </c>
      <c r="D989" s="4">
        <v>45958</v>
      </c>
      <c r="E989" s="4">
        <v>45963</v>
      </c>
      <c r="F989" s="4">
        <v>45965</v>
      </c>
      <c r="G989" s="4">
        <v>45969</v>
      </c>
      <c r="H989" s="3" t="s">
        <v>22</v>
      </c>
      <c r="J989" s="4">
        <v>45981</v>
      </c>
      <c r="K989" s="3">
        <v>5</v>
      </c>
      <c r="L989" s="3">
        <v>2</v>
      </c>
      <c r="M989" s="3">
        <v>4</v>
      </c>
      <c r="N989" s="3">
        <v>0</v>
      </c>
      <c r="O989">
        <v>1</v>
      </c>
      <c r="P989">
        <f t="shared" si="45"/>
        <v>1</v>
      </c>
      <c r="Q989">
        <f t="shared" si="46"/>
        <v>1</v>
      </c>
      <c r="R989">
        <f t="shared" si="47"/>
        <v>1</v>
      </c>
      <c r="S989" s="10" t="str" cm="1">
        <f t="array" ref="S989">_xlfn.IFS(N989="", "", N989&gt;=9,"Promoter", N989&gt;=7,"Passive", N989&lt;=6,"Detractor")</f>
        <v>Detractor</v>
      </c>
    </row>
    <row r="990" spans="1:19" ht="14.25" customHeight="1">
      <c r="A990" s="3" t="s">
        <v>1021</v>
      </c>
      <c r="B990" s="3" t="s">
        <v>20</v>
      </c>
      <c r="C990" s="3" t="s">
        <v>21</v>
      </c>
      <c r="D990" s="4">
        <v>45951</v>
      </c>
      <c r="E990" s="4">
        <v>45954</v>
      </c>
      <c r="F990" s="4">
        <v>45956</v>
      </c>
      <c r="G990" s="4">
        <v>45962</v>
      </c>
      <c r="H990" s="3" t="s">
        <v>22</v>
      </c>
      <c r="J990" s="4">
        <v>45980</v>
      </c>
      <c r="K990" s="3">
        <v>3</v>
      </c>
      <c r="L990" s="3">
        <v>2</v>
      </c>
      <c r="M990" s="3">
        <v>6</v>
      </c>
      <c r="N990" s="3">
        <v>4</v>
      </c>
      <c r="O990">
        <v>1</v>
      </c>
      <c r="P990">
        <f t="shared" si="45"/>
        <v>1</v>
      </c>
      <c r="Q990">
        <f t="shared" si="46"/>
        <v>1</v>
      </c>
      <c r="R990">
        <f t="shared" si="47"/>
        <v>1</v>
      </c>
      <c r="S990" s="10" t="str" cm="1">
        <f t="array" ref="S990">_xlfn.IFS(N990="", "", N990&gt;=9,"Promoter", N990&gt;=7,"Passive", N990&lt;=6,"Detractor")</f>
        <v>Detractor</v>
      </c>
    </row>
    <row r="991" spans="1:19" ht="14.25" customHeight="1">
      <c r="A991" s="3" t="s">
        <v>1022</v>
      </c>
      <c r="B991" s="3" t="s">
        <v>26</v>
      </c>
      <c r="C991" s="3" t="s">
        <v>27</v>
      </c>
      <c r="D991" s="4">
        <v>45951</v>
      </c>
      <c r="H991" s="3" t="s">
        <v>28</v>
      </c>
      <c r="I991" s="3" t="s">
        <v>31</v>
      </c>
      <c r="O991">
        <v>1</v>
      </c>
      <c r="P991">
        <f t="shared" si="45"/>
        <v>0</v>
      </c>
      <c r="Q991">
        <f t="shared" si="46"/>
        <v>0</v>
      </c>
      <c r="R991">
        <f t="shared" si="47"/>
        <v>0</v>
      </c>
      <c r="S991" s="10" t="str" cm="1">
        <f t="array" ref="S991">_xlfn.IFS(N991="", "", N991&gt;=9,"Promoter", N991&gt;=7,"Passive", N991&lt;=6,"Detractor")</f>
        <v/>
      </c>
    </row>
    <row r="992" spans="1:19" ht="14.25" customHeight="1">
      <c r="A992" s="3" t="s">
        <v>1023</v>
      </c>
      <c r="B992" s="3" t="s">
        <v>37</v>
      </c>
      <c r="C992" s="3" t="s">
        <v>21</v>
      </c>
      <c r="D992" s="4">
        <v>45959</v>
      </c>
      <c r="E992" s="4">
        <v>45961</v>
      </c>
      <c r="F992" s="4">
        <v>45966</v>
      </c>
      <c r="G992" s="4">
        <v>45968</v>
      </c>
      <c r="H992" s="3" t="s">
        <v>22</v>
      </c>
      <c r="J992" s="4">
        <v>45998</v>
      </c>
      <c r="K992" s="3">
        <v>2</v>
      </c>
      <c r="L992" s="3">
        <v>5</v>
      </c>
      <c r="M992" s="3">
        <v>2</v>
      </c>
      <c r="N992" s="3">
        <v>6</v>
      </c>
      <c r="O992">
        <v>1</v>
      </c>
      <c r="P992">
        <f t="shared" si="45"/>
        <v>1</v>
      </c>
      <c r="Q992">
        <f t="shared" si="46"/>
        <v>1</v>
      </c>
      <c r="R992">
        <f t="shared" si="47"/>
        <v>1</v>
      </c>
      <c r="S992" s="10" t="str" cm="1">
        <f t="array" ref="S992">_xlfn.IFS(N992="", "", N992&gt;=9,"Promoter", N992&gt;=7,"Passive", N992&lt;=6,"Detractor")</f>
        <v>Detractor</v>
      </c>
    </row>
    <row r="993" spans="1:19" ht="14.25" customHeight="1">
      <c r="A993" s="3" t="s">
        <v>1024</v>
      </c>
      <c r="B993" s="3" t="s">
        <v>24</v>
      </c>
      <c r="C993" s="3" t="s">
        <v>35</v>
      </c>
      <c r="D993" s="4">
        <v>45955</v>
      </c>
      <c r="E993" s="4">
        <v>45959</v>
      </c>
      <c r="F993" s="4">
        <v>45961</v>
      </c>
      <c r="G993" s="4">
        <v>45968</v>
      </c>
      <c r="H993" s="3" t="s">
        <v>22</v>
      </c>
      <c r="J993" s="4">
        <v>45988</v>
      </c>
      <c r="K993" s="3">
        <v>4</v>
      </c>
      <c r="L993" s="3">
        <v>2</v>
      </c>
      <c r="M993" s="3">
        <v>7</v>
      </c>
      <c r="N993" s="3">
        <v>3</v>
      </c>
      <c r="O993">
        <v>1</v>
      </c>
      <c r="P993">
        <f t="shared" si="45"/>
        <v>1</v>
      </c>
      <c r="Q993">
        <f t="shared" si="46"/>
        <v>1</v>
      </c>
      <c r="R993">
        <f t="shared" si="47"/>
        <v>1</v>
      </c>
      <c r="S993" s="10" t="str" cm="1">
        <f t="array" ref="S993">_xlfn.IFS(N993="", "", N993&gt;=9,"Promoter", N993&gt;=7,"Passive", N993&lt;=6,"Detractor")</f>
        <v>Detractor</v>
      </c>
    </row>
    <row r="994" spans="1:19" ht="14.25" customHeight="1">
      <c r="A994" s="3" t="s">
        <v>1025</v>
      </c>
      <c r="B994" s="3" t="s">
        <v>37</v>
      </c>
      <c r="C994" s="3" t="s">
        <v>35</v>
      </c>
      <c r="D994" s="4">
        <v>45948</v>
      </c>
      <c r="E994" s="4">
        <v>45953</v>
      </c>
      <c r="F994" s="4">
        <v>45958</v>
      </c>
      <c r="G994" s="4">
        <v>45965</v>
      </c>
      <c r="H994" s="3" t="s">
        <v>22</v>
      </c>
      <c r="J994" s="4">
        <v>45975</v>
      </c>
      <c r="K994" s="3">
        <v>5</v>
      </c>
      <c r="L994" s="3">
        <v>5</v>
      </c>
      <c r="M994" s="3">
        <v>7</v>
      </c>
      <c r="N994" s="3">
        <v>5</v>
      </c>
      <c r="O994">
        <v>1</v>
      </c>
      <c r="P994">
        <f t="shared" si="45"/>
        <v>1</v>
      </c>
      <c r="Q994">
        <f t="shared" si="46"/>
        <v>1</v>
      </c>
      <c r="R994">
        <f t="shared" si="47"/>
        <v>1</v>
      </c>
      <c r="S994" s="10" t="str" cm="1">
        <f t="array" ref="S994">_xlfn.IFS(N994="", "", N994&gt;=9,"Promoter", N994&gt;=7,"Passive", N994&lt;=6,"Detractor")</f>
        <v>Detractor</v>
      </c>
    </row>
    <row r="995" spans="1:19" ht="14.25" customHeight="1">
      <c r="A995" s="3" t="s">
        <v>1026</v>
      </c>
      <c r="B995" s="3" t="s">
        <v>37</v>
      </c>
      <c r="C995" s="3" t="s">
        <v>35</v>
      </c>
      <c r="D995" s="4">
        <v>45954</v>
      </c>
      <c r="E995" s="4">
        <v>45957</v>
      </c>
      <c r="F995" s="4">
        <v>45959</v>
      </c>
      <c r="G995" s="4">
        <v>45963</v>
      </c>
      <c r="H995" s="3" t="s">
        <v>22</v>
      </c>
      <c r="J995" s="4">
        <v>45989</v>
      </c>
      <c r="K995" s="3">
        <v>3</v>
      </c>
      <c r="L995" s="3">
        <v>2</v>
      </c>
      <c r="M995" s="3">
        <v>4</v>
      </c>
      <c r="N995" s="3">
        <v>7</v>
      </c>
      <c r="O995">
        <v>1</v>
      </c>
      <c r="P995">
        <f t="shared" si="45"/>
        <v>1</v>
      </c>
      <c r="Q995">
        <f t="shared" si="46"/>
        <v>1</v>
      </c>
      <c r="R995">
        <f t="shared" si="47"/>
        <v>1</v>
      </c>
      <c r="S995" s="10" t="str" cm="1">
        <f t="array" ref="S995">_xlfn.IFS(N995="", "", N995&gt;=9,"Promoter", N995&gt;=7,"Passive", N995&lt;=6,"Detractor")</f>
        <v>Passive</v>
      </c>
    </row>
    <row r="996" spans="1:19" ht="14.25" customHeight="1">
      <c r="A996" s="3" t="s">
        <v>1027</v>
      </c>
      <c r="B996" s="3" t="s">
        <v>26</v>
      </c>
      <c r="C996" s="3" t="s">
        <v>35</v>
      </c>
      <c r="D996" s="4">
        <v>45958</v>
      </c>
      <c r="E996" s="4">
        <v>45963</v>
      </c>
      <c r="F996" s="4">
        <v>45966</v>
      </c>
      <c r="G996" s="4">
        <v>45972</v>
      </c>
      <c r="H996" s="3" t="s">
        <v>22</v>
      </c>
      <c r="J996" s="4">
        <v>46000</v>
      </c>
      <c r="K996" s="3">
        <v>5</v>
      </c>
      <c r="L996" s="3">
        <v>3</v>
      </c>
      <c r="M996" s="3">
        <v>6</v>
      </c>
      <c r="N996" s="3">
        <v>1</v>
      </c>
      <c r="O996">
        <v>1</v>
      </c>
      <c r="P996">
        <f t="shared" si="45"/>
        <v>1</v>
      </c>
      <c r="Q996">
        <f t="shared" si="46"/>
        <v>1</v>
      </c>
      <c r="R996">
        <f t="shared" si="47"/>
        <v>1</v>
      </c>
      <c r="S996" s="10" t="str" cm="1">
        <f t="array" ref="S996">_xlfn.IFS(N996="", "", N996&gt;=9,"Promoter", N996&gt;=7,"Passive", N996&lt;=6,"Detractor")</f>
        <v>Detractor</v>
      </c>
    </row>
    <row r="997" spans="1:19" ht="14.25" customHeight="1">
      <c r="A997" s="3" t="s">
        <v>1028</v>
      </c>
      <c r="B997" s="3" t="s">
        <v>37</v>
      </c>
      <c r="C997" s="3" t="s">
        <v>35</v>
      </c>
      <c r="D997" s="4">
        <v>45937</v>
      </c>
      <c r="E997" s="4">
        <v>45940</v>
      </c>
      <c r="F997" s="4">
        <v>45945</v>
      </c>
      <c r="G997" s="4">
        <v>45951</v>
      </c>
      <c r="H997" s="3" t="s">
        <v>22</v>
      </c>
      <c r="J997" s="4">
        <v>45979</v>
      </c>
      <c r="K997" s="3">
        <v>3</v>
      </c>
      <c r="L997" s="3">
        <v>5</v>
      </c>
      <c r="M997" s="3">
        <v>6</v>
      </c>
      <c r="N997" s="3">
        <v>5</v>
      </c>
      <c r="O997">
        <v>1</v>
      </c>
      <c r="P997">
        <f t="shared" si="45"/>
        <v>1</v>
      </c>
      <c r="Q997">
        <f t="shared" si="46"/>
        <v>1</v>
      </c>
      <c r="R997">
        <f t="shared" si="47"/>
        <v>1</v>
      </c>
      <c r="S997" s="10" t="str" cm="1">
        <f t="array" ref="S997">_xlfn.IFS(N997="", "", N997&gt;=9,"Promoter", N997&gt;=7,"Passive", N997&lt;=6,"Detractor")</f>
        <v>Detractor</v>
      </c>
    </row>
    <row r="998" spans="1:19" ht="14.25" customHeight="1">
      <c r="A998" s="3" t="s">
        <v>1029</v>
      </c>
      <c r="B998" s="3" t="s">
        <v>26</v>
      </c>
      <c r="C998" s="3" t="s">
        <v>35</v>
      </c>
      <c r="D998" s="4">
        <v>45944</v>
      </c>
      <c r="E998" s="4">
        <v>45949</v>
      </c>
      <c r="F998" s="4">
        <v>45953</v>
      </c>
      <c r="G998" s="4">
        <v>45956</v>
      </c>
      <c r="H998" s="3" t="s">
        <v>22</v>
      </c>
      <c r="J998" s="4">
        <v>45973</v>
      </c>
      <c r="K998" s="3">
        <v>5</v>
      </c>
      <c r="L998" s="3">
        <v>4</v>
      </c>
      <c r="M998" s="3">
        <v>3</v>
      </c>
      <c r="N998" s="3">
        <v>7</v>
      </c>
      <c r="O998">
        <v>1</v>
      </c>
      <c r="P998">
        <f t="shared" si="45"/>
        <v>1</v>
      </c>
      <c r="Q998">
        <f t="shared" si="46"/>
        <v>1</v>
      </c>
      <c r="R998">
        <f t="shared" si="47"/>
        <v>1</v>
      </c>
      <c r="S998" s="10" t="str" cm="1">
        <f t="array" ref="S998">_xlfn.IFS(N998="", "", N998&gt;=9,"Promoter", N998&gt;=7,"Passive", N998&lt;=6,"Detractor")</f>
        <v>Passive</v>
      </c>
    </row>
    <row r="999" spans="1:19" ht="14.25" customHeight="1">
      <c r="A999" s="3" t="s">
        <v>1030</v>
      </c>
      <c r="B999" s="3" t="s">
        <v>20</v>
      </c>
      <c r="C999" s="3" t="s">
        <v>21</v>
      </c>
      <c r="D999" s="4">
        <v>45945</v>
      </c>
      <c r="E999" s="4">
        <v>45950</v>
      </c>
      <c r="F999" s="4">
        <v>45954</v>
      </c>
      <c r="G999" s="4">
        <v>45960</v>
      </c>
      <c r="H999" s="3" t="s">
        <v>22</v>
      </c>
      <c r="J999" s="4">
        <v>45980</v>
      </c>
      <c r="K999" s="3">
        <v>5</v>
      </c>
      <c r="L999" s="3">
        <v>4</v>
      </c>
      <c r="M999" s="3">
        <v>6</v>
      </c>
      <c r="N999" s="3">
        <v>3</v>
      </c>
      <c r="O999">
        <v>1</v>
      </c>
      <c r="P999">
        <f t="shared" si="45"/>
        <v>1</v>
      </c>
      <c r="Q999">
        <f t="shared" si="46"/>
        <v>1</v>
      </c>
      <c r="R999">
        <f t="shared" si="47"/>
        <v>1</v>
      </c>
      <c r="S999" s="10" t="str" cm="1">
        <f t="array" ref="S999">_xlfn.IFS(N999="", "", N999&gt;=9,"Promoter", N999&gt;=7,"Passive", N999&lt;=6,"Detractor")</f>
        <v>Detractor</v>
      </c>
    </row>
    <row r="1000" spans="1:19" ht="14.25" customHeight="1">
      <c r="A1000" s="3" t="s">
        <v>1031</v>
      </c>
      <c r="B1000" s="3" t="s">
        <v>20</v>
      </c>
      <c r="C1000" s="3" t="s">
        <v>27</v>
      </c>
      <c r="D1000" s="4">
        <v>45959</v>
      </c>
      <c r="H1000" s="3" t="s">
        <v>28</v>
      </c>
      <c r="I1000" s="3" t="s">
        <v>38</v>
      </c>
      <c r="O1000">
        <v>1</v>
      </c>
      <c r="P1000">
        <f t="shared" si="45"/>
        <v>0</v>
      </c>
      <c r="Q1000">
        <f t="shared" si="46"/>
        <v>0</v>
      </c>
      <c r="R1000">
        <f t="shared" si="47"/>
        <v>0</v>
      </c>
      <c r="S1000" s="10" t="str" cm="1">
        <f t="array" ref="S1000">_xlfn.IFS(N1000="", "", N1000&gt;=9,"Promoter", N1000&gt;=7,"Passive", N1000&lt;=6,"Detractor")</f>
        <v/>
      </c>
    </row>
    <row r="1001" spans="1:19" ht="14.25" customHeight="1">
      <c r="A1001" s="3" t="s">
        <v>1032</v>
      </c>
      <c r="B1001" s="3" t="s">
        <v>26</v>
      </c>
      <c r="C1001" s="3" t="s">
        <v>21</v>
      </c>
      <c r="D1001" s="4">
        <v>45938</v>
      </c>
      <c r="E1001" s="4">
        <v>45943</v>
      </c>
      <c r="F1001" s="4">
        <v>45945</v>
      </c>
      <c r="G1001" s="4">
        <v>45948</v>
      </c>
      <c r="H1001" s="3" t="s">
        <v>22</v>
      </c>
      <c r="J1001" s="4">
        <v>45974</v>
      </c>
      <c r="K1001" s="3">
        <v>5</v>
      </c>
      <c r="L1001" s="3">
        <v>2</v>
      </c>
      <c r="M1001" s="3">
        <v>3</v>
      </c>
      <c r="N1001" s="3">
        <v>4</v>
      </c>
      <c r="O1001">
        <v>1</v>
      </c>
      <c r="P1001">
        <f t="shared" si="45"/>
        <v>1</v>
      </c>
      <c r="Q1001">
        <f t="shared" si="46"/>
        <v>1</v>
      </c>
      <c r="R1001">
        <f t="shared" si="47"/>
        <v>1</v>
      </c>
      <c r="S1001" s="10" t="str" cm="1">
        <f t="array" ref="S1001">_xlfn.IFS(N1001="", "", N1001&gt;=9,"Promoter", N1001&gt;=7,"Passive", N1001&lt;=6,"Detractor")</f>
        <v>Detractor</v>
      </c>
    </row>
  </sheetData>
  <autoFilter ref="A1:S1001"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7E46-E6A5-4FD8-B5FF-1D8B548AFE52}">
  <dimension ref="A1:I15"/>
  <sheetViews>
    <sheetView topLeftCell="C1" zoomScale="117" zoomScaleNormal="105" workbookViewId="0">
      <selection activeCell="D44" sqref="D44"/>
    </sheetView>
  </sheetViews>
  <sheetFormatPr baseColWidth="10" defaultColWidth="8.83203125" defaultRowHeight="15"/>
  <cols>
    <col min="1" max="1" width="12.6640625" bestFit="1" customWidth="1"/>
    <col min="2" max="2" width="15.1640625" bestFit="1" customWidth="1"/>
    <col min="3" max="3" width="16.1640625" bestFit="1" customWidth="1"/>
    <col min="4" max="4" width="12.6640625" bestFit="1" customWidth="1"/>
    <col min="5" max="5" width="14.33203125" bestFit="1" customWidth="1"/>
    <col min="7" max="9" width="36.5" bestFit="1" customWidth="1"/>
  </cols>
  <sheetData>
    <row r="1" spans="1:9" ht="24">
      <c r="A1" s="14" t="s">
        <v>1033</v>
      </c>
      <c r="B1" s="14"/>
    </row>
    <row r="3" spans="1:9">
      <c r="A3" s="5" t="s">
        <v>1</v>
      </c>
      <c r="B3" t="s">
        <v>1034</v>
      </c>
      <c r="C3" t="s">
        <v>1035</v>
      </c>
      <c r="D3" t="s">
        <v>1036</v>
      </c>
      <c r="E3" t="s">
        <v>1037</v>
      </c>
      <c r="G3" s="21" t="s">
        <v>1038</v>
      </c>
      <c r="H3" s="21" t="s">
        <v>1039</v>
      </c>
      <c r="I3" s="21" t="s">
        <v>1040</v>
      </c>
    </row>
    <row r="4" spans="1:9">
      <c r="A4" t="s">
        <v>26</v>
      </c>
      <c r="B4" s="37">
        <v>262</v>
      </c>
      <c r="C4" s="37">
        <v>215</v>
      </c>
      <c r="D4" s="37">
        <v>215</v>
      </c>
      <c r="E4" s="37">
        <v>199</v>
      </c>
      <c r="G4" s="20">
        <f>C4/B4</f>
        <v>0.82061068702290074</v>
      </c>
      <c r="H4" s="20">
        <f>D4/C4</f>
        <v>1</v>
      </c>
      <c r="I4" s="20">
        <f>E4/D4</f>
        <v>0.92558139534883721</v>
      </c>
    </row>
    <row r="5" spans="1:9">
      <c r="A5" t="s">
        <v>20</v>
      </c>
      <c r="B5" s="37">
        <v>263</v>
      </c>
      <c r="C5" s="37">
        <v>212</v>
      </c>
      <c r="D5" s="37">
        <v>212</v>
      </c>
      <c r="E5" s="37">
        <v>191</v>
      </c>
      <c r="G5" s="19">
        <f t="shared" ref="G5:G8" si="0">C5/B5</f>
        <v>0.80608365019011408</v>
      </c>
      <c r="H5" s="19">
        <f t="shared" ref="H5:H8" si="1">D5/C5</f>
        <v>1</v>
      </c>
      <c r="I5" s="19">
        <f t="shared" ref="I5:I8" si="2">E5/D5</f>
        <v>0.90094339622641506</v>
      </c>
    </row>
    <row r="6" spans="1:9">
      <c r="A6" t="s">
        <v>24</v>
      </c>
      <c r="B6" s="37">
        <v>263</v>
      </c>
      <c r="C6" s="37">
        <v>212</v>
      </c>
      <c r="D6" s="37">
        <v>212</v>
      </c>
      <c r="E6" s="37">
        <v>186</v>
      </c>
      <c r="G6" s="19">
        <f t="shared" si="0"/>
        <v>0.80608365019011408</v>
      </c>
      <c r="H6" s="19">
        <f t="shared" si="1"/>
        <v>1</v>
      </c>
      <c r="I6" s="19">
        <f t="shared" si="2"/>
        <v>0.87735849056603776</v>
      </c>
    </row>
    <row r="7" spans="1:9">
      <c r="A7" t="s">
        <v>37</v>
      </c>
      <c r="B7" s="37">
        <v>212</v>
      </c>
      <c r="C7" s="37">
        <v>173</v>
      </c>
      <c r="D7" s="37">
        <v>173</v>
      </c>
      <c r="E7" s="37">
        <v>153</v>
      </c>
      <c r="G7" s="25">
        <f t="shared" si="0"/>
        <v>0.81603773584905659</v>
      </c>
      <c r="H7" s="25">
        <f t="shared" si="1"/>
        <v>1</v>
      </c>
      <c r="I7" s="25">
        <f t="shared" si="2"/>
        <v>0.88439306358381498</v>
      </c>
    </row>
    <row r="8" spans="1:9">
      <c r="A8" t="s">
        <v>1041</v>
      </c>
      <c r="B8" s="37">
        <v>1000</v>
      </c>
      <c r="C8" s="37">
        <v>812</v>
      </c>
      <c r="D8" s="37">
        <v>812</v>
      </c>
      <c r="E8" s="37">
        <v>729</v>
      </c>
      <c r="G8" s="26">
        <f t="shared" si="0"/>
        <v>0.81200000000000006</v>
      </c>
      <c r="H8" s="26">
        <f t="shared" si="1"/>
        <v>1</v>
      </c>
      <c r="I8" s="26">
        <f t="shared" si="2"/>
        <v>0.89778325123152714</v>
      </c>
    </row>
    <row r="10" spans="1:9" ht="32">
      <c r="A10" s="11"/>
      <c r="G10" s="15" t="s">
        <v>1042</v>
      </c>
      <c r="H10" s="15" t="s">
        <v>1043</v>
      </c>
      <c r="I10" s="15" t="s">
        <v>1044</v>
      </c>
    </row>
    <row r="11" spans="1:9">
      <c r="A11" s="11"/>
    </row>
    <row r="12" spans="1:9">
      <c r="A12" s="11"/>
    </row>
    <row r="13" spans="1:9">
      <c r="A13" s="11"/>
    </row>
    <row r="14" spans="1:9">
      <c r="A14" s="11"/>
    </row>
    <row r="15" spans="1:9" ht="24">
      <c r="D15" s="12"/>
      <c r="G15"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B0561-A71A-49CC-8C7E-18DAB8619088}">
  <dimension ref="A1:D9"/>
  <sheetViews>
    <sheetView workbookViewId="0">
      <selection activeCell="D3" sqref="D3"/>
    </sheetView>
  </sheetViews>
  <sheetFormatPr baseColWidth="10" defaultColWidth="8.83203125" defaultRowHeight="15"/>
  <cols>
    <col min="1" max="1" width="12.6640625" bestFit="1" customWidth="1"/>
    <col min="2" max="2" width="27.5" bestFit="1" customWidth="1"/>
    <col min="3" max="3" width="24.1640625" bestFit="1" customWidth="1"/>
    <col min="4" max="4" width="24.5" bestFit="1" customWidth="1"/>
  </cols>
  <sheetData>
    <row r="1" spans="1:4" ht="24">
      <c r="A1" s="14" t="s">
        <v>1045</v>
      </c>
    </row>
    <row r="3" spans="1:4">
      <c r="A3" s="5" t="s">
        <v>1</v>
      </c>
      <c r="B3" t="s">
        <v>1046</v>
      </c>
      <c r="C3" t="s">
        <v>1047</v>
      </c>
      <c r="D3" t="s">
        <v>1048</v>
      </c>
    </row>
    <row r="4" spans="1:4">
      <c r="A4" t="s">
        <v>20</v>
      </c>
      <c r="B4" s="9">
        <v>3.1179245283018866</v>
      </c>
      <c r="C4" s="9">
        <v>3.0330188679245285</v>
      </c>
      <c r="D4" s="9">
        <v>4.5141509433962268</v>
      </c>
    </row>
    <row r="5" spans="1:4">
      <c r="A5" t="s">
        <v>37</v>
      </c>
      <c r="B5" s="9">
        <v>3.1213872832369942</v>
      </c>
      <c r="C5" s="9">
        <v>3.2023121387283235</v>
      </c>
      <c r="D5" s="9">
        <v>4.3872832369942198</v>
      </c>
    </row>
    <row r="6" spans="1:4">
      <c r="A6" t="s">
        <v>24</v>
      </c>
      <c r="B6" s="9">
        <v>3.0283018867924527</v>
      </c>
      <c r="C6" s="9">
        <v>3.0188679245283021</v>
      </c>
      <c r="D6" s="9">
        <v>4.283018867924528</v>
      </c>
    </row>
    <row r="7" spans="1:4">
      <c r="A7" t="s">
        <v>26</v>
      </c>
      <c r="B7" s="9">
        <v>2.9767441860465116</v>
      </c>
      <c r="C7" s="9">
        <v>3.0465116279069768</v>
      </c>
      <c r="D7" s="9">
        <v>4.6279069767441863</v>
      </c>
    </row>
    <row r="8" spans="1:4">
      <c r="A8" t="s">
        <v>1041</v>
      </c>
      <c r="B8" s="9">
        <v>3.0578817733990147</v>
      </c>
      <c r="C8" s="9">
        <v>3.0689655172413794</v>
      </c>
      <c r="D8" s="9">
        <v>4.4568965517241379</v>
      </c>
    </row>
    <row r="9" spans="1:4">
      <c r="D9"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B9056-AD41-42FE-B7F8-6C94E00E8F0F}">
  <dimension ref="A1:R17"/>
  <sheetViews>
    <sheetView topLeftCell="G1" workbookViewId="0"/>
  </sheetViews>
  <sheetFormatPr baseColWidth="10" defaultColWidth="8.83203125" defaultRowHeight="15"/>
  <cols>
    <col min="1" max="1" width="9.6640625" bestFit="1" customWidth="1"/>
    <col min="2" max="2" width="13.6640625" bestFit="1" customWidth="1"/>
    <col min="3" max="3" width="12.1640625" bestFit="1" customWidth="1"/>
    <col min="4" max="4" width="12" bestFit="1" customWidth="1"/>
    <col min="5" max="5" width="18.6640625" bestFit="1" customWidth="1"/>
    <col min="6" max="7" width="15.1640625" bestFit="1" customWidth="1"/>
    <col min="8" max="8" width="20.1640625" bestFit="1" customWidth="1"/>
    <col min="9" max="9" width="21.1640625" bestFit="1" customWidth="1"/>
    <col min="10" max="10" width="23.5" bestFit="1" customWidth="1"/>
    <col min="11" max="11" width="24" bestFit="1" customWidth="1"/>
    <col min="12" max="13" width="20.5" bestFit="1" customWidth="1"/>
    <col min="14" max="14" width="18" bestFit="1" customWidth="1"/>
    <col min="15" max="15" width="12.83203125" bestFit="1" customWidth="1"/>
    <col min="16" max="16" width="13.5" bestFit="1" customWidth="1"/>
    <col min="17" max="17" width="9.83203125" bestFit="1" customWidth="1"/>
    <col min="18" max="18" width="11.6640625" bestFit="1" customWidth="1"/>
  </cols>
  <sheetData>
    <row r="1" spans="1:18">
      <c r="A1" s="2" t="s">
        <v>1049</v>
      </c>
    </row>
    <row r="3" spans="1:18">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c r="A4" t="s">
        <v>930</v>
      </c>
      <c r="B4" t="s">
        <v>24</v>
      </c>
      <c r="C4" t="s">
        <v>27</v>
      </c>
      <c r="D4" s="8">
        <v>45935</v>
      </c>
      <c r="H4" t="s">
        <v>28</v>
      </c>
      <c r="I4" t="s">
        <v>38</v>
      </c>
      <c r="O4">
        <v>1</v>
      </c>
      <c r="P4">
        <v>0</v>
      </c>
      <c r="Q4">
        <v>0</v>
      </c>
      <c r="R4">
        <v>0</v>
      </c>
    </row>
    <row r="5" spans="1:18">
      <c r="A5" t="s">
        <v>740</v>
      </c>
      <c r="B5" t="s">
        <v>24</v>
      </c>
      <c r="C5" t="s">
        <v>35</v>
      </c>
      <c r="D5" s="8">
        <v>45960</v>
      </c>
      <c r="E5" s="8">
        <v>45962</v>
      </c>
      <c r="F5" s="8">
        <v>45967</v>
      </c>
      <c r="G5" s="8">
        <v>45969</v>
      </c>
      <c r="H5" t="s">
        <v>28</v>
      </c>
      <c r="I5" t="s">
        <v>38</v>
      </c>
      <c r="K5">
        <v>2</v>
      </c>
      <c r="L5">
        <v>5</v>
      </c>
      <c r="M5">
        <v>2</v>
      </c>
      <c r="O5">
        <v>1</v>
      </c>
      <c r="P5">
        <v>1</v>
      </c>
      <c r="Q5">
        <v>1</v>
      </c>
      <c r="R5">
        <v>0</v>
      </c>
    </row>
    <row r="6" spans="1:18">
      <c r="A6" t="s">
        <v>703</v>
      </c>
      <c r="B6" t="s">
        <v>24</v>
      </c>
      <c r="C6" t="s">
        <v>27</v>
      </c>
      <c r="D6" s="8">
        <v>45959</v>
      </c>
      <c r="H6" t="s">
        <v>28</v>
      </c>
      <c r="I6" t="s">
        <v>38</v>
      </c>
      <c r="O6">
        <v>1</v>
      </c>
      <c r="P6">
        <v>0</v>
      </c>
      <c r="Q6">
        <v>0</v>
      </c>
      <c r="R6">
        <v>0</v>
      </c>
    </row>
    <row r="7" spans="1:18">
      <c r="A7" t="s">
        <v>495</v>
      </c>
      <c r="B7" t="s">
        <v>24</v>
      </c>
      <c r="C7" t="s">
        <v>27</v>
      </c>
      <c r="D7" s="8">
        <v>45954</v>
      </c>
      <c r="H7" t="s">
        <v>28</v>
      </c>
      <c r="I7" t="s">
        <v>38</v>
      </c>
      <c r="O7">
        <v>1</v>
      </c>
      <c r="P7">
        <v>0</v>
      </c>
      <c r="Q7">
        <v>0</v>
      </c>
      <c r="R7">
        <v>0</v>
      </c>
    </row>
    <row r="8" spans="1:18">
      <c r="A8" t="s">
        <v>487</v>
      </c>
      <c r="B8" t="s">
        <v>24</v>
      </c>
      <c r="C8" t="s">
        <v>27</v>
      </c>
      <c r="D8" s="8">
        <v>45941</v>
      </c>
      <c r="H8" t="s">
        <v>28</v>
      </c>
      <c r="I8" t="s">
        <v>38</v>
      </c>
      <c r="O8">
        <v>1</v>
      </c>
      <c r="P8">
        <v>0</v>
      </c>
      <c r="Q8">
        <v>0</v>
      </c>
      <c r="R8">
        <v>0</v>
      </c>
    </row>
    <row r="9" spans="1:18">
      <c r="A9" t="s">
        <v>436</v>
      </c>
      <c r="B9" t="s">
        <v>24</v>
      </c>
      <c r="C9" t="s">
        <v>27</v>
      </c>
      <c r="D9" s="8">
        <v>45950</v>
      </c>
      <c r="H9" t="s">
        <v>28</v>
      </c>
      <c r="I9" t="s">
        <v>38</v>
      </c>
      <c r="O9">
        <v>1</v>
      </c>
      <c r="P9">
        <v>0</v>
      </c>
      <c r="Q9">
        <v>0</v>
      </c>
      <c r="R9">
        <v>0</v>
      </c>
    </row>
    <row r="10" spans="1:18">
      <c r="A10" t="s">
        <v>352</v>
      </c>
      <c r="B10" t="s">
        <v>24</v>
      </c>
      <c r="C10" t="s">
        <v>21</v>
      </c>
      <c r="D10" s="8">
        <v>45955</v>
      </c>
      <c r="E10" s="8">
        <v>45959</v>
      </c>
      <c r="F10" s="8">
        <v>45960</v>
      </c>
      <c r="G10" s="8">
        <v>45962</v>
      </c>
      <c r="H10" t="s">
        <v>28</v>
      </c>
      <c r="I10" t="s">
        <v>38</v>
      </c>
      <c r="K10">
        <v>4</v>
      </c>
      <c r="L10">
        <v>1</v>
      </c>
      <c r="M10">
        <v>2</v>
      </c>
      <c r="O10">
        <v>1</v>
      </c>
      <c r="P10">
        <v>1</v>
      </c>
      <c r="Q10">
        <v>1</v>
      </c>
      <c r="R10">
        <v>0</v>
      </c>
    </row>
    <row r="11" spans="1:18">
      <c r="A11" t="s">
        <v>321</v>
      </c>
      <c r="B11" t="s">
        <v>24</v>
      </c>
      <c r="C11" t="s">
        <v>21</v>
      </c>
      <c r="D11" s="8">
        <v>45945</v>
      </c>
      <c r="E11" s="8">
        <v>45946</v>
      </c>
      <c r="F11" s="8">
        <v>45947</v>
      </c>
      <c r="G11" s="8">
        <v>45949</v>
      </c>
      <c r="H11" t="s">
        <v>28</v>
      </c>
      <c r="I11" t="s">
        <v>38</v>
      </c>
      <c r="K11">
        <v>1</v>
      </c>
      <c r="L11">
        <v>1</v>
      </c>
      <c r="M11">
        <v>2</v>
      </c>
      <c r="O11">
        <v>1</v>
      </c>
      <c r="P11">
        <v>1</v>
      </c>
      <c r="Q11">
        <v>1</v>
      </c>
      <c r="R11">
        <v>0</v>
      </c>
    </row>
    <row r="12" spans="1:18">
      <c r="A12" t="s">
        <v>278</v>
      </c>
      <c r="B12" t="s">
        <v>24</v>
      </c>
      <c r="C12" t="s">
        <v>21</v>
      </c>
      <c r="D12" s="8">
        <v>45938</v>
      </c>
      <c r="E12" s="8">
        <v>45940</v>
      </c>
      <c r="F12" s="8">
        <v>45943</v>
      </c>
      <c r="G12" s="8">
        <v>45950</v>
      </c>
      <c r="H12" t="s">
        <v>28</v>
      </c>
      <c r="I12" t="s">
        <v>38</v>
      </c>
      <c r="K12">
        <v>2</v>
      </c>
      <c r="L12">
        <v>3</v>
      </c>
      <c r="M12">
        <v>7</v>
      </c>
      <c r="O12">
        <v>1</v>
      </c>
      <c r="P12">
        <v>1</v>
      </c>
      <c r="Q12">
        <v>1</v>
      </c>
      <c r="R12">
        <v>0</v>
      </c>
    </row>
    <row r="13" spans="1:18">
      <c r="A13" t="s">
        <v>225</v>
      </c>
      <c r="B13" t="s">
        <v>24</v>
      </c>
      <c r="C13" t="s">
        <v>21</v>
      </c>
      <c r="D13" s="8">
        <v>45961</v>
      </c>
      <c r="E13" s="8">
        <v>45965</v>
      </c>
      <c r="F13" s="8">
        <v>45970</v>
      </c>
      <c r="G13" s="8">
        <v>45972</v>
      </c>
      <c r="H13" t="s">
        <v>28</v>
      </c>
      <c r="I13" t="s">
        <v>38</v>
      </c>
      <c r="K13">
        <v>4</v>
      </c>
      <c r="L13">
        <v>5</v>
      </c>
      <c r="M13">
        <v>2</v>
      </c>
      <c r="O13">
        <v>1</v>
      </c>
      <c r="P13">
        <v>1</v>
      </c>
      <c r="Q13">
        <v>1</v>
      </c>
      <c r="R13">
        <v>0</v>
      </c>
    </row>
    <row r="14" spans="1:18">
      <c r="A14" t="s">
        <v>185</v>
      </c>
      <c r="B14" t="s">
        <v>24</v>
      </c>
      <c r="C14" t="s">
        <v>27</v>
      </c>
      <c r="D14" s="8">
        <v>45932</v>
      </c>
      <c r="H14" t="s">
        <v>28</v>
      </c>
      <c r="I14" t="s">
        <v>38</v>
      </c>
      <c r="O14">
        <v>1</v>
      </c>
      <c r="P14">
        <v>0</v>
      </c>
      <c r="Q14">
        <v>0</v>
      </c>
      <c r="R14">
        <v>0</v>
      </c>
    </row>
    <row r="15" spans="1:18">
      <c r="A15" t="s">
        <v>149</v>
      </c>
      <c r="B15" t="s">
        <v>24</v>
      </c>
      <c r="C15" t="s">
        <v>27</v>
      </c>
      <c r="D15" s="8">
        <v>45934</v>
      </c>
      <c r="H15" t="s">
        <v>28</v>
      </c>
      <c r="I15" t="s">
        <v>38</v>
      </c>
      <c r="O15">
        <v>1</v>
      </c>
      <c r="P15">
        <v>0</v>
      </c>
      <c r="Q15">
        <v>0</v>
      </c>
      <c r="R15">
        <v>0</v>
      </c>
    </row>
    <row r="16" spans="1:18">
      <c r="A16" t="s">
        <v>120</v>
      </c>
      <c r="B16" t="s">
        <v>24</v>
      </c>
      <c r="C16" t="s">
        <v>27</v>
      </c>
      <c r="D16" s="8">
        <v>45946</v>
      </c>
      <c r="H16" t="s">
        <v>28</v>
      </c>
      <c r="I16" t="s">
        <v>38</v>
      </c>
      <c r="O16">
        <v>1</v>
      </c>
      <c r="P16">
        <v>0</v>
      </c>
      <c r="Q16">
        <v>0</v>
      </c>
      <c r="R16">
        <v>0</v>
      </c>
    </row>
    <row r="17" spans="1:18">
      <c r="A17" t="s">
        <v>45</v>
      </c>
      <c r="B17" t="s">
        <v>24</v>
      </c>
      <c r="C17" t="s">
        <v>35</v>
      </c>
      <c r="D17" s="8">
        <v>45945</v>
      </c>
      <c r="E17" s="8">
        <v>45947</v>
      </c>
      <c r="F17" s="8">
        <v>45948</v>
      </c>
      <c r="G17" s="8">
        <v>45951</v>
      </c>
      <c r="H17" t="s">
        <v>28</v>
      </c>
      <c r="I17" t="s">
        <v>38</v>
      </c>
      <c r="K17">
        <v>2</v>
      </c>
      <c r="L17">
        <v>1</v>
      </c>
      <c r="M17">
        <v>3</v>
      </c>
      <c r="O17">
        <v>1</v>
      </c>
      <c r="P17">
        <v>1</v>
      </c>
      <c r="Q17">
        <v>1</v>
      </c>
      <c r="R17">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9A59-C695-43FE-8199-5489E7225840}">
  <dimension ref="A1:G11"/>
  <sheetViews>
    <sheetView zoomScaleNormal="100" workbookViewId="0">
      <selection activeCell="L10" sqref="L10"/>
    </sheetView>
  </sheetViews>
  <sheetFormatPr baseColWidth="10" defaultColWidth="8.83203125" defaultRowHeight="15"/>
  <cols>
    <col min="1" max="1" width="15.6640625" bestFit="1" customWidth="1"/>
    <col min="2" max="6" width="19.33203125" bestFit="1" customWidth="1"/>
    <col min="7" max="7" width="10" bestFit="1" customWidth="1"/>
    <col min="8" max="8" width="11.5" bestFit="1" customWidth="1"/>
  </cols>
  <sheetData>
    <row r="1" spans="1:7" ht="24">
      <c r="A1" s="14" t="s">
        <v>1050</v>
      </c>
    </row>
    <row r="3" spans="1:7">
      <c r="A3" s="5" t="s">
        <v>7</v>
      </c>
      <c r="B3" t="s">
        <v>1051</v>
      </c>
    </row>
    <row r="5" spans="1:7">
      <c r="A5" s="5" t="s">
        <v>1052</v>
      </c>
      <c r="B5" s="5" t="s">
        <v>8</v>
      </c>
    </row>
    <row r="6" spans="1:7">
      <c r="A6" s="5" t="s">
        <v>1</v>
      </c>
      <c r="B6" t="s">
        <v>38</v>
      </c>
      <c r="C6" t="s">
        <v>68</v>
      </c>
      <c r="D6" t="s">
        <v>31</v>
      </c>
      <c r="E6" t="s">
        <v>29</v>
      </c>
      <c r="F6" t="s">
        <v>106</v>
      </c>
      <c r="G6" t="s">
        <v>1041</v>
      </c>
    </row>
    <row r="7" spans="1:7">
      <c r="A7" t="s">
        <v>20</v>
      </c>
      <c r="B7" s="37">
        <v>13</v>
      </c>
      <c r="C7" s="37">
        <v>14</v>
      </c>
      <c r="D7" s="37">
        <v>13</v>
      </c>
      <c r="E7" s="37">
        <v>22</v>
      </c>
      <c r="F7" s="37">
        <v>10</v>
      </c>
      <c r="G7" s="37">
        <v>72</v>
      </c>
    </row>
    <row r="8" spans="1:7">
      <c r="A8" t="s">
        <v>37</v>
      </c>
      <c r="B8" s="37">
        <v>15</v>
      </c>
      <c r="C8" s="37">
        <v>10</v>
      </c>
      <c r="D8" s="37">
        <v>8</v>
      </c>
      <c r="E8" s="37">
        <v>8</v>
      </c>
      <c r="F8" s="37">
        <v>18</v>
      </c>
      <c r="G8" s="37">
        <v>59</v>
      </c>
    </row>
    <row r="9" spans="1:7">
      <c r="A9" t="s">
        <v>24</v>
      </c>
      <c r="B9" s="37">
        <v>14</v>
      </c>
      <c r="C9" s="37">
        <v>21</v>
      </c>
      <c r="D9" s="37">
        <v>13</v>
      </c>
      <c r="E9" s="37">
        <v>13</v>
      </c>
      <c r="F9" s="37">
        <v>16</v>
      </c>
      <c r="G9" s="37">
        <v>77</v>
      </c>
    </row>
    <row r="10" spans="1:7">
      <c r="A10" t="s">
        <v>26</v>
      </c>
      <c r="B10" s="37">
        <v>9</v>
      </c>
      <c r="C10" s="37">
        <v>14</v>
      </c>
      <c r="D10" s="37">
        <v>9</v>
      </c>
      <c r="E10" s="37">
        <v>14</v>
      </c>
      <c r="F10" s="37">
        <v>17</v>
      </c>
      <c r="G10" s="37">
        <v>63</v>
      </c>
    </row>
    <row r="11" spans="1:7">
      <c r="A11" t="s">
        <v>1041</v>
      </c>
      <c r="B11" s="37">
        <v>51</v>
      </c>
      <c r="C11" s="37">
        <v>59</v>
      </c>
      <c r="D11" s="37">
        <v>43</v>
      </c>
      <c r="E11" s="37">
        <v>57</v>
      </c>
      <c r="F11" s="37">
        <v>61</v>
      </c>
      <c r="G11" s="37">
        <v>271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EF98-850D-4FBC-BC7C-7324456A84DF}">
  <dimension ref="A1:E9"/>
  <sheetViews>
    <sheetView zoomScale="108" workbookViewId="0">
      <selection activeCell="M18" sqref="M18"/>
    </sheetView>
  </sheetViews>
  <sheetFormatPr baseColWidth="10" defaultColWidth="8.83203125" defaultRowHeight="15"/>
  <cols>
    <col min="1" max="1" width="13.6640625" bestFit="1" customWidth="1"/>
    <col min="2" max="4" width="11.33203125" bestFit="1" customWidth="1"/>
    <col min="5" max="5" width="10" bestFit="1" customWidth="1"/>
    <col min="7" max="10" width="13" bestFit="1" customWidth="1"/>
    <col min="11" max="11" width="8.33203125" bestFit="1" customWidth="1"/>
    <col min="12" max="15" width="13" bestFit="1" customWidth="1"/>
    <col min="16" max="16" width="10.33203125" bestFit="1" customWidth="1"/>
    <col min="17" max="17" width="10.1640625" bestFit="1" customWidth="1"/>
  </cols>
  <sheetData>
    <row r="1" spans="1:5" ht="24">
      <c r="A1" s="14" t="s">
        <v>1053</v>
      </c>
    </row>
    <row r="3" spans="1:5">
      <c r="A3" s="5" t="s">
        <v>1052</v>
      </c>
      <c r="B3" s="5" t="s">
        <v>2</v>
      </c>
    </row>
    <row r="4" spans="1:5">
      <c r="A4" s="5" t="s">
        <v>1</v>
      </c>
      <c r="B4" t="s">
        <v>27</v>
      </c>
      <c r="C4" t="s">
        <v>35</v>
      </c>
      <c r="D4" t="s">
        <v>21</v>
      </c>
      <c r="E4" t="s">
        <v>1041</v>
      </c>
    </row>
    <row r="5" spans="1:5">
      <c r="A5" t="s">
        <v>20</v>
      </c>
      <c r="B5" s="37">
        <v>51</v>
      </c>
      <c r="C5" s="37">
        <v>80</v>
      </c>
      <c r="D5" s="37">
        <v>132</v>
      </c>
      <c r="E5" s="37">
        <v>263</v>
      </c>
    </row>
    <row r="6" spans="1:5">
      <c r="A6" t="s">
        <v>37</v>
      </c>
      <c r="B6" s="37">
        <v>39</v>
      </c>
      <c r="C6" s="37">
        <v>70</v>
      </c>
      <c r="D6" s="37">
        <v>103</v>
      </c>
      <c r="E6" s="37">
        <v>212</v>
      </c>
    </row>
    <row r="7" spans="1:5">
      <c r="A7" t="s">
        <v>24</v>
      </c>
      <c r="B7" s="37">
        <v>51</v>
      </c>
      <c r="C7" s="37">
        <v>70</v>
      </c>
      <c r="D7" s="37">
        <v>142</v>
      </c>
      <c r="E7" s="37">
        <v>263</v>
      </c>
    </row>
    <row r="8" spans="1:5">
      <c r="A8" t="s">
        <v>26</v>
      </c>
      <c r="B8" s="37">
        <v>47</v>
      </c>
      <c r="C8" s="37">
        <v>83</v>
      </c>
      <c r="D8" s="37">
        <v>132</v>
      </c>
      <c r="E8" s="37">
        <v>262</v>
      </c>
    </row>
    <row r="9" spans="1:5">
      <c r="A9" t="s">
        <v>1041</v>
      </c>
      <c r="B9" s="37">
        <v>188</v>
      </c>
      <c r="C9" s="37">
        <v>303</v>
      </c>
      <c r="D9" s="37">
        <v>509</v>
      </c>
      <c r="E9" s="37">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1BF3A-53A4-A84B-B239-5FBE63A42C3C}">
  <dimension ref="A1:S1003"/>
  <sheetViews>
    <sheetView workbookViewId="0">
      <selection activeCell="A3" sqref="A3:S1003"/>
    </sheetView>
  </sheetViews>
  <sheetFormatPr baseColWidth="10" defaultColWidth="11.5" defaultRowHeight="15"/>
  <cols>
    <col min="1" max="1" width="11" bestFit="1" customWidth="1"/>
    <col min="2" max="2" width="12.6640625" bestFit="1" customWidth="1"/>
    <col min="3" max="4" width="11.33203125" bestFit="1" customWidth="1"/>
    <col min="5" max="5" width="17" bestFit="1" customWidth="1"/>
    <col min="6" max="6" width="13.83203125" bestFit="1" customWidth="1"/>
    <col min="7" max="7" width="14.1640625" bestFit="1" customWidth="1"/>
    <col min="8" max="8" width="18.33203125" bestFit="1" customWidth="1"/>
    <col min="9" max="9" width="19.33203125" bestFit="1" customWidth="1"/>
    <col min="10" max="10" width="21.5" bestFit="1" customWidth="1"/>
    <col min="11" max="11" width="21.1640625" bestFit="1" customWidth="1"/>
    <col min="12" max="12" width="17.83203125" bestFit="1" customWidth="1"/>
    <col min="13" max="13" width="18.1640625" bestFit="1" customWidth="1"/>
    <col min="14" max="14" width="16.33203125" bestFit="1" customWidth="1"/>
    <col min="15" max="15" width="11.83203125" bestFit="1" customWidth="1"/>
    <col min="16" max="16" width="12.6640625" bestFit="1" customWidth="1"/>
    <col min="17" max="17" width="11" bestFit="1" customWidth="1"/>
    <col min="18" max="18" width="11.33203125" bestFit="1" customWidth="1"/>
    <col min="19" max="19" width="13.83203125" bestFit="1" customWidth="1"/>
  </cols>
  <sheetData>
    <row r="1" spans="1:19">
      <c r="A1" s="2" t="s">
        <v>1054</v>
      </c>
    </row>
    <row r="3" spans="1:19">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c r="A4" t="s">
        <v>30</v>
      </c>
      <c r="B4" t="s">
        <v>20</v>
      </c>
      <c r="C4" t="s">
        <v>27</v>
      </c>
      <c r="D4" s="8">
        <v>45958</v>
      </c>
      <c r="H4" t="s">
        <v>28</v>
      </c>
      <c r="I4" t="s">
        <v>31</v>
      </c>
      <c r="O4">
        <v>1</v>
      </c>
      <c r="P4">
        <v>0</v>
      </c>
      <c r="Q4">
        <v>0</v>
      </c>
      <c r="R4">
        <v>0</v>
      </c>
      <c r="S4" t="s">
        <v>1055</v>
      </c>
    </row>
    <row r="5" spans="1:19">
      <c r="A5" t="s">
        <v>41</v>
      </c>
      <c r="B5" t="s">
        <v>20</v>
      </c>
      <c r="C5" t="s">
        <v>27</v>
      </c>
      <c r="D5" s="8">
        <v>45942</v>
      </c>
      <c r="H5" t="s">
        <v>28</v>
      </c>
      <c r="I5" t="s">
        <v>29</v>
      </c>
      <c r="O5">
        <v>1</v>
      </c>
      <c r="P5">
        <v>0</v>
      </c>
      <c r="Q5">
        <v>0</v>
      </c>
      <c r="R5">
        <v>0</v>
      </c>
      <c r="S5" t="s">
        <v>1055</v>
      </c>
    </row>
    <row r="6" spans="1:19">
      <c r="A6" t="s">
        <v>60</v>
      </c>
      <c r="B6" t="s">
        <v>20</v>
      </c>
      <c r="C6" t="s">
        <v>27</v>
      </c>
      <c r="D6" s="8">
        <v>45946</v>
      </c>
      <c r="H6" t="s">
        <v>28</v>
      </c>
      <c r="I6" t="s">
        <v>38</v>
      </c>
      <c r="O6">
        <v>1</v>
      </c>
      <c r="P6">
        <v>0</v>
      </c>
      <c r="Q6">
        <v>0</v>
      </c>
      <c r="R6">
        <v>0</v>
      </c>
      <c r="S6" t="s">
        <v>1055</v>
      </c>
    </row>
    <row r="7" spans="1:19">
      <c r="A7" t="s">
        <v>67</v>
      </c>
      <c r="B7" t="s">
        <v>20</v>
      </c>
      <c r="C7" t="s">
        <v>21</v>
      </c>
      <c r="D7" s="8">
        <v>45941</v>
      </c>
      <c r="E7" s="8">
        <v>45942</v>
      </c>
      <c r="F7" s="8">
        <v>45943</v>
      </c>
      <c r="G7" s="8">
        <v>45945</v>
      </c>
      <c r="H7" t="s">
        <v>28</v>
      </c>
      <c r="I7" t="s">
        <v>68</v>
      </c>
      <c r="K7">
        <v>1</v>
      </c>
      <c r="L7">
        <v>1</v>
      </c>
      <c r="M7">
        <v>2</v>
      </c>
      <c r="O7">
        <v>1</v>
      </c>
      <c r="P7">
        <v>1</v>
      </c>
      <c r="Q7">
        <v>1</v>
      </c>
      <c r="R7">
        <v>0</v>
      </c>
      <c r="S7" t="s">
        <v>1055</v>
      </c>
    </row>
    <row r="8" spans="1:19">
      <c r="A8" t="s">
        <v>72</v>
      </c>
      <c r="B8" t="s">
        <v>20</v>
      </c>
      <c r="C8" t="s">
        <v>27</v>
      </c>
      <c r="D8" s="8">
        <v>45960</v>
      </c>
      <c r="H8" t="s">
        <v>28</v>
      </c>
      <c r="I8" t="s">
        <v>31</v>
      </c>
      <c r="O8">
        <v>1</v>
      </c>
      <c r="P8">
        <v>0</v>
      </c>
      <c r="Q8">
        <v>0</v>
      </c>
      <c r="R8">
        <v>0</v>
      </c>
      <c r="S8" t="s">
        <v>1055</v>
      </c>
    </row>
    <row r="9" spans="1:19">
      <c r="A9" t="s">
        <v>75</v>
      </c>
      <c r="B9" t="s">
        <v>20</v>
      </c>
      <c r="C9" t="s">
        <v>27</v>
      </c>
      <c r="D9" s="8">
        <v>45959</v>
      </c>
      <c r="H9" t="s">
        <v>28</v>
      </c>
      <c r="I9" t="s">
        <v>38</v>
      </c>
      <c r="O9">
        <v>1</v>
      </c>
      <c r="P9">
        <v>0</v>
      </c>
      <c r="Q9">
        <v>0</v>
      </c>
      <c r="R9">
        <v>0</v>
      </c>
      <c r="S9" t="s">
        <v>1055</v>
      </c>
    </row>
    <row r="10" spans="1:19">
      <c r="A10" t="s">
        <v>90</v>
      </c>
      <c r="B10" t="s">
        <v>20</v>
      </c>
      <c r="C10" t="s">
        <v>21</v>
      </c>
      <c r="D10" s="8">
        <v>45946</v>
      </c>
      <c r="E10" s="8">
        <v>45948</v>
      </c>
      <c r="F10" s="8">
        <v>45952</v>
      </c>
      <c r="G10" s="8">
        <v>45959</v>
      </c>
      <c r="H10" t="s">
        <v>28</v>
      </c>
      <c r="I10" t="s">
        <v>68</v>
      </c>
      <c r="K10">
        <v>2</v>
      </c>
      <c r="L10">
        <v>4</v>
      </c>
      <c r="M10">
        <v>7</v>
      </c>
      <c r="O10">
        <v>1</v>
      </c>
      <c r="P10">
        <v>1</v>
      </c>
      <c r="Q10">
        <v>1</v>
      </c>
      <c r="R10">
        <v>0</v>
      </c>
      <c r="S10" t="s">
        <v>1055</v>
      </c>
    </row>
    <row r="11" spans="1:19">
      <c r="A11" t="s">
        <v>96</v>
      </c>
      <c r="B11" t="s">
        <v>20</v>
      </c>
      <c r="C11" t="s">
        <v>27</v>
      </c>
      <c r="D11" s="8">
        <v>45939</v>
      </c>
      <c r="H11" t="s">
        <v>28</v>
      </c>
      <c r="I11" t="s">
        <v>29</v>
      </c>
      <c r="O11">
        <v>1</v>
      </c>
      <c r="P11">
        <v>0</v>
      </c>
      <c r="Q11">
        <v>0</v>
      </c>
      <c r="R11">
        <v>0</v>
      </c>
      <c r="S11" t="s">
        <v>1055</v>
      </c>
    </row>
    <row r="12" spans="1:19">
      <c r="A12" t="s">
        <v>100</v>
      </c>
      <c r="B12" t="s">
        <v>20</v>
      </c>
      <c r="C12" t="s">
        <v>27</v>
      </c>
      <c r="D12" s="8">
        <v>45959</v>
      </c>
      <c r="H12" t="s">
        <v>28</v>
      </c>
      <c r="I12" t="s">
        <v>68</v>
      </c>
      <c r="O12">
        <v>1</v>
      </c>
      <c r="P12">
        <v>0</v>
      </c>
      <c r="Q12">
        <v>0</v>
      </c>
      <c r="R12">
        <v>0</v>
      </c>
      <c r="S12" t="s">
        <v>1055</v>
      </c>
    </row>
    <row r="13" spans="1:19">
      <c r="A13" t="s">
        <v>125</v>
      </c>
      <c r="B13" t="s">
        <v>20</v>
      </c>
      <c r="C13" t="s">
        <v>27</v>
      </c>
      <c r="D13" s="8">
        <v>45940</v>
      </c>
      <c r="H13" t="s">
        <v>28</v>
      </c>
      <c r="I13" t="s">
        <v>106</v>
      </c>
      <c r="O13">
        <v>1</v>
      </c>
      <c r="P13">
        <v>0</v>
      </c>
      <c r="Q13">
        <v>0</v>
      </c>
      <c r="R13">
        <v>0</v>
      </c>
      <c r="S13" t="s">
        <v>1055</v>
      </c>
    </row>
    <row r="14" spans="1:19">
      <c r="A14" t="s">
        <v>139</v>
      </c>
      <c r="B14" t="s">
        <v>20</v>
      </c>
      <c r="C14" t="s">
        <v>21</v>
      </c>
      <c r="D14" s="8">
        <v>45954</v>
      </c>
      <c r="E14" s="8">
        <v>45959</v>
      </c>
      <c r="F14" s="8">
        <v>45962</v>
      </c>
      <c r="G14" s="8">
        <v>45966</v>
      </c>
      <c r="H14" t="s">
        <v>28</v>
      </c>
      <c r="I14" t="s">
        <v>29</v>
      </c>
      <c r="K14">
        <v>5</v>
      </c>
      <c r="L14">
        <v>3</v>
      </c>
      <c r="M14">
        <v>4</v>
      </c>
      <c r="O14">
        <v>1</v>
      </c>
      <c r="P14">
        <v>1</v>
      </c>
      <c r="Q14">
        <v>1</v>
      </c>
      <c r="R14">
        <v>0</v>
      </c>
      <c r="S14" t="s">
        <v>1055</v>
      </c>
    </row>
    <row r="15" spans="1:19">
      <c r="A15" t="s">
        <v>163</v>
      </c>
      <c r="B15" t="s">
        <v>20</v>
      </c>
      <c r="C15" t="s">
        <v>27</v>
      </c>
      <c r="D15" s="8">
        <v>45946</v>
      </c>
      <c r="H15" t="s">
        <v>28</v>
      </c>
      <c r="I15" t="s">
        <v>106</v>
      </c>
      <c r="O15">
        <v>1</v>
      </c>
      <c r="P15">
        <v>0</v>
      </c>
      <c r="Q15">
        <v>0</v>
      </c>
      <c r="R15">
        <v>0</v>
      </c>
      <c r="S15" t="s">
        <v>1055</v>
      </c>
    </row>
    <row r="16" spans="1:19">
      <c r="A16" t="s">
        <v>171</v>
      </c>
      <c r="B16" t="s">
        <v>20</v>
      </c>
      <c r="C16" t="s">
        <v>27</v>
      </c>
      <c r="D16" s="8">
        <v>45934</v>
      </c>
      <c r="H16" t="s">
        <v>28</v>
      </c>
      <c r="I16" t="s">
        <v>31</v>
      </c>
      <c r="O16">
        <v>1</v>
      </c>
      <c r="P16">
        <v>0</v>
      </c>
      <c r="Q16">
        <v>0</v>
      </c>
      <c r="R16">
        <v>0</v>
      </c>
      <c r="S16" t="s">
        <v>1055</v>
      </c>
    </row>
    <row r="17" spans="1:19">
      <c r="A17" t="s">
        <v>222</v>
      </c>
      <c r="B17" t="s">
        <v>20</v>
      </c>
      <c r="C17" t="s">
        <v>27</v>
      </c>
      <c r="D17" s="8">
        <v>45935</v>
      </c>
      <c r="H17" t="s">
        <v>28</v>
      </c>
      <c r="I17" t="s">
        <v>31</v>
      </c>
      <c r="O17">
        <v>1</v>
      </c>
      <c r="P17">
        <v>0</v>
      </c>
      <c r="Q17">
        <v>0</v>
      </c>
      <c r="R17">
        <v>0</v>
      </c>
      <c r="S17" t="s">
        <v>1055</v>
      </c>
    </row>
    <row r="18" spans="1:19">
      <c r="A18" t="s">
        <v>230</v>
      </c>
      <c r="B18" t="s">
        <v>20</v>
      </c>
      <c r="C18" t="s">
        <v>27</v>
      </c>
      <c r="D18" s="8">
        <v>45948</v>
      </c>
      <c r="H18" t="s">
        <v>28</v>
      </c>
      <c r="I18" t="s">
        <v>38</v>
      </c>
      <c r="O18">
        <v>1</v>
      </c>
      <c r="P18">
        <v>0</v>
      </c>
      <c r="Q18">
        <v>0</v>
      </c>
      <c r="R18">
        <v>0</v>
      </c>
      <c r="S18" t="s">
        <v>1055</v>
      </c>
    </row>
    <row r="19" spans="1:19">
      <c r="A19" t="s">
        <v>232</v>
      </c>
      <c r="B19" t="s">
        <v>20</v>
      </c>
      <c r="C19" t="s">
        <v>27</v>
      </c>
      <c r="D19" s="8">
        <v>45944</v>
      </c>
      <c r="H19" t="s">
        <v>28</v>
      </c>
      <c r="I19" t="s">
        <v>31</v>
      </c>
      <c r="O19">
        <v>1</v>
      </c>
      <c r="P19">
        <v>0</v>
      </c>
      <c r="Q19">
        <v>0</v>
      </c>
      <c r="R19">
        <v>0</v>
      </c>
      <c r="S19" t="s">
        <v>1055</v>
      </c>
    </row>
    <row r="20" spans="1:19">
      <c r="A20" t="s">
        <v>237</v>
      </c>
      <c r="B20" t="s">
        <v>20</v>
      </c>
      <c r="C20" t="s">
        <v>27</v>
      </c>
      <c r="D20" s="8">
        <v>45938</v>
      </c>
      <c r="H20" t="s">
        <v>28</v>
      </c>
      <c r="I20" t="s">
        <v>68</v>
      </c>
      <c r="O20">
        <v>1</v>
      </c>
      <c r="P20">
        <v>0</v>
      </c>
      <c r="Q20">
        <v>0</v>
      </c>
      <c r="R20">
        <v>0</v>
      </c>
      <c r="S20" t="s">
        <v>1055</v>
      </c>
    </row>
    <row r="21" spans="1:19">
      <c r="A21" t="s">
        <v>244</v>
      </c>
      <c r="B21" t="s">
        <v>20</v>
      </c>
      <c r="C21" t="s">
        <v>21</v>
      </c>
      <c r="D21" s="8">
        <v>45940</v>
      </c>
      <c r="E21" s="8">
        <v>45941</v>
      </c>
      <c r="F21" s="8">
        <v>45943</v>
      </c>
      <c r="G21" s="8">
        <v>45946</v>
      </c>
      <c r="H21" t="s">
        <v>28</v>
      </c>
      <c r="I21" t="s">
        <v>29</v>
      </c>
      <c r="K21">
        <v>1</v>
      </c>
      <c r="L21">
        <v>2</v>
      </c>
      <c r="M21">
        <v>3</v>
      </c>
      <c r="O21">
        <v>1</v>
      </c>
      <c r="P21">
        <v>1</v>
      </c>
      <c r="Q21">
        <v>1</v>
      </c>
      <c r="R21">
        <v>0</v>
      </c>
      <c r="S21" t="s">
        <v>1055</v>
      </c>
    </row>
    <row r="22" spans="1:19">
      <c r="A22" t="s">
        <v>258</v>
      </c>
      <c r="B22" t="s">
        <v>20</v>
      </c>
      <c r="C22" t="s">
        <v>21</v>
      </c>
      <c r="D22" s="8">
        <v>45937</v>
      </c>
      <c r="E22" s="8">
        <v>45940</v>
      </c>
      <c r="F22" s="8">
        <v>45944</v>
      </c>
      <c r="G22" s="8">
        <v>45948</v>
      </c>
      <c r="H22" t="s">
        <v>28</v>
      </c>
      <c r="I22" t="s">
        <v>29</v>
      </c>
      <c r="K22">
        <v>3</v>
      </c>
      <c r="L22">
        <v>4</v>
      </c>
      <c r="M22">
        <v>4</v>
      </c>
      <c r="O22">
        <v>1</v>
      </c>
      <c r="P22">
        <v>1</v>
      </c>
      <c r="Q22">
        <v>1</v>
      </c>
      <c r="R22">
        <v>0</v>
      </c>
      <c r="S22" t="s">
        <v>1055</v>
      </c>
    </row>
    <row r="23" spans="1:19">
      <c r="A23" t="s">
        <v>276</v>
      </c>
      <c r="B23" t="s">
        <v>20</v>
      </c>
      <c r="C23" t="s">
        <v>27</v>
      </c>
      <c r="D23" s="8">
        <v>45940</v>
      </c>
      <c r="H23" t="s">
        <v>28</v>
      </c>
      <c r="I23" t="s">
        <v>68</v>
      </c>
      <c r="O23">
        <v>1</v>
      </c>
      <c r="P23">
        <v>0</v>
      </c>
      <c r="Q23">
        <v>0</v>
      </c>
      <c r="R23">
        <v>0</v>
      </c>
      <c r="S23" t="s">
        <v>1055</v>
      </c>
    </row>
    <row r="24" spans="1:19">
      <c r="A24" t="s">
        <v>290</v>
      </c>
      <c r="B24" t="s">
        <v>20</v>
      </c>
      <c r="C24" t="s">
        <v>27</v>
      </c>
      <c r="D24" s="8">
        <v>45956</v>
      </c>
      <c r="H24" t="s">
        <v>28</v>
      </c>
      <c r="I24" t="s">
        <v>68</v>
      </c>
      <c r="O24">
        <v>1</v>
      </c>
      <c r="P24">
        <v>0</v>
      </c>
      <c r="Q24">
        <v>0</v>
      </c>
      <c r="R24">
        <v>0</v>
      </c>
      <c r="S24" t="s">
        <v>1055</v>
      </c>
    </row>
    <row r="25" spans="1:19">
      <c r="A25" t="s">
        <v>300</v>
      </c>
      <c r="B25" t="s">
        <v>20</v>
      </c>
      <c r="C25" t="s">
        <v>27</v>
      </c>
      <c r="D25" s="8">
        <v>45948</v>
      </c>
      <c r="H25" t="s">
        <v>28</v>
      </c>
      <c r="I25" t="s">
        <v>31</v>
      </c>
      <c r="O25">
        <v>1</v>
      </c>
      <c r="P25">
        <v>0</v>
      </c>
      <c r="Q25">
        <v>0</v>
      </c>
      <c r="R25">
        <v>0</v>
      </c>
      <c r="S25" t="s">
        <v>1055</v>
      </c>
    </row>
    <row r="26" spans="1:19">
      <c r="A26" t="s">
        <v>311</v>
      </c>
      <c r="B26" t="s">
        <v>20</v>
      </c>
      <c r="C26" t="s">
        <v>27</v>
      </c>
      <c r="D26" s="8">
        <v>45956</v>
      </c>
      <c r="H26" t="s">
        <v>28</v>
      </c>
      <c r="I26" t="s">
        <v>29</v>
      </c>
      <c r="O26">
        <v>1</v>
      </c>
      <c r="P26">
        <v>0</v>
      </c>
      <c r="Q26">
        <v>0</v>
      </c>
      <c r="R26">
        <v>0</v>
      </c>
      <c r="S26" t="s">
        <v>1055</v>
      </c>
    </row>
    <row r="27" spans="1:19">
      <c r="A27" t="s">
        <v>312</v>
      </c>
      <c r="B27" t="s">
        <v>20</v>
      </c>
      <c r="C27" t="s">
        <v>35</v>
      </c>
      <c r="D27" s="8">
        <v>45940</v>
      </c>
      <c r="E27" s="8">
        <v>45944</v>
      </c>
      <c r="F27" s="8">
        <v>45949</v>
      </c>
      <c r="G27" s="8">
        <v>45954</v>
      </c>
      <c r="H27" t="s">
        <v>28</v>
      </c>
      <c r="I27" t="s">
        <v>29</v>
      </c>
      <c r="K27">
        <v>4</v>
      </c>
      <c r="L27">
        <v>5</v>
      </c>
      <c r="M27">
        <v>5</v>
      </c>
      <c r="O27">
        <v>1</v>
      </c>
      <c r="P27">
        <v>1</v>
      </c>
      <c r="Q27">
        <v>1</v>
      </c>
      <c r="R27">
        <v>0</v>
      </c>
      <c r="S27" t="s">
        <v>1055</v>
      </c>
    </row>
    <row r="28" spans="1:19">
      <c r="A28" t="s">
        <v>315</v>
      </c>
      <c r="B28" t="s">
        <v>20</v>
      </c>
      <c r="C28" t="s">
        <v>35</v>
      </c>
      <c r="D28" s="8">
        <v>45957</v>
      </c>
      <c r="E28" s="8">
        <v>45958</v>
      </c>
      <c r="F28" s="8">
        <v>45963</v>
      </c>
      <c r="G28" s="8">
        <v>45967</v>
      </c>
      <c r="H28" t="s">
        <v>28</v>
      </c>
      <c r="I28" t="s">
        <v>31</v>
      </c>
      <c r="K28">
        <v>1</v>
      </c>
      <c r="L28">
        <v>5</v>
      </c>
      <c r="M28">
        <v>4</v>
      </c>
      <c r="O28">
        <v>1</v>
      </c>
      <c r="P28">
        <v>1</v>
      </c>
      <c r="Q28">
        <v>1</v>
      </c>
      <c r="R28">
        <v>0</v>
      </c>
      <c r="S28" t="s">
        <v>1055</v>
      </c>
    </row>
    <row r="29" spans="1:19">
      <c r="A29" t="s">
        <v>319</v>
      </c>
      <c r="B29" t="s">
        <v>20</v>
      </c>
      <c r="C29" t="s">
        <v>27</v>
      </c>
      <c r="D29" s="8">
        <v>45945</v>
      </c>
      <c r="H29" t="s">
        <v>28</v>
      </c>
      <c r="I29" t="s">
        <v>31</v>
      </c>
      <c r="O29">
        <v>1</v>
      </c>
      <c r="P29">
        <v>0</v>
      </c>
      <c r="Q29">
        <v>0</v>
      </c>
      <c r="R29">
        <v>0</v>
      </c>
      <c r="S29" t="s">
        <v>1055</v>
      </c>
    </row>
    <row r="30" spans="1:19">
      <c r="A30" t="s">
        <v>384</v>
      </c>
      <c r="B30" t="s">
        <v>20</v>
      </c>
      <c r="C30" t="s">
        <v>21</v>
      </c>
      <c r="D30" s="8">
        <v>45944</v>
      </c>
      <c r="E30" s="8">
        <v>45947</v>
      </c>
      <c r="F30" s="8">
        <v>45951</v>
      </c>
      <c r="G30" s="8">
        <v>45956</v>
      </c>
      <c r="H30" t="s">
        <v>28</v>
      </c>
      <c r="I30" t="s">
        <v>38</v>
      </c>
      <c r="K30">
        <v>3</v>
      </c>
      <c r="L30">
        <v>4</v>
      </c>
      <c r="M30">
        <v>5</v>
      </c>
      <c r="O30">
        <v>1</v>
      </c>
      <c r="P30">
        <v>1</v>
      </c>
      <c r="Q30">
        <v>1</v>
      </c>
      <c r="R30">
        <v>0</v>
      </c>
      <c r="S30" t="s">
        <v>1055</v>
      </c>
    </row>
    <row r="31" spans="1:19">
      <c r="A31" t="s">
        <v>408</v>
      </c>
      <c r="B31" t="s">
        <v>20</v>
      </c>
      <c r="C31" t="s">
        <v>21</v>
      </c>
      <c r="D31" s="8">
        <v>45958</v>
      </c>
      <c r="E31" s="8">
        <v>45962</v>
      </c>
      <c r="F31" s="8">
        <v>45965</v>
      </c>
      <c r="G31" s="8">
        <v>45967</v>
      </c>
      <c r="H31" t="s">
        <v>28</v>
      </c>
      <c r="I31" t="s">
        <v>38</v>
      </c>
      <c r="K31">
        <v>4</v>
      </c>
      <c r="L31">
        <v>3</v>
      </c>
      <c r="M31">
        <v>2</v>
      </c>
      <c r="O31">
        <v>1</v>
      </c>
      <c r="P31">
        <v>1</v>
      </c>
      <c r="Q31">
        <v>1</v>
      </c>
      <c r="R31">
        <v>0</v>
      </c>
      <c r="S31" t="s">
        <v>1055</v>
      </c>
    </row>
    <row r="32" spans="1:19">
      <c r="A32" t="s">
        <v>411</v>
      </c>
      <c r="B32" t="s">
        <v>20</v>
      </c>
      <c r="C32" t="s">
        <v>27</v>
      </c>
      <c r="D32" s="8">
        <v>45944</v>
      </c>
      <c r="H32" t="s">
        <v>28</v>
      </c>
      <c r="I32" t="s">
        <v>68</v>
      </c>
      <c r="O32">
        <v>1</v>
      </c>
      <c r="P32">
        <v>0</v>
      </c>
      <c r="Q32">
        <v>0</v>
      </c>
      <c r="R32">
        <v>0</v>
      </c>
      <c r="S32" t="s">
        <v>1055</v>
      </c>
    </row>
    <row r="33" spans="1:19">
      <c r="A33" t="s">
        <v>440</v>
      </c>
      <c r="B33" t="s">
        <v>20</v>
      </c>
      <c r="C33" t="s">
        <v>27</v>
      </c>
      <c r="D33" s="8">
        <v>45936</v>
      </c>
      <c r="H33" t="s">
        <v>28</v>
      </c>
      <c r="I33" t="s">
        <v>29</v>
      </c>
      <c r="O33">
        <v>1</v>
      </c>
      <c r="P33">
        <v>0</v>
      </c>
      <c r="Q33">
        <v>0</v>
      </c>
      <c r="R33">
        <v>0</v>
      </c>
      <c r="S33" t="s">
        <v>1055</v>
      </c>
    </row>
    <row r="34" spans="1:19">
      <c r="A34" t="s">
        <v>441</v>
      </c>
      <c r="B34" t="s">
        <v>20</v>
      </c>
      <c r="C34" t="s">
        <v>35</v>
      </c>
      <c r="D34" s="8">
        <v>45940</v>
      </c>
      <c r="E34" s="8">
        <v>45945</v>
      </c>
      <c r="F34" s="8">
        <v>45946</v>
      </c>
      <c r="G34" s="8">
        <v>45952</v>
      </c>
      <c r="H34" t="s">
        <v>28</v>
      </c>
      <c r="I34" t="s">
        <v>29</v>
      </c>
      <c r="K34">
        <v>5</v>
      </c>
      <c r="L34">
        <v>1</v>
      </c>
      <c r="M34">
        <v>6</v>
      </c>
      <c r="O34">
        <v>1</v>
      </c>
      <c r="P34">
        <v>1</v>
      </c>
      <c r="Q34">
        <v>1</v>
      </c>
      <c r="R34">
        <v>0</v>
      </c>
      <c r="S34" t="s">
        <v>1055</v>
      </c>
    </row>
    <row r="35" spans="1:19">
      <c r="A35" t="s">
        <v>477</v>
      </c>
      <c r="B35" t="s">
        <v>20</v>
      </c>
      <c r="C35" t="s">
        <v>35</v>
      </c>
      <c r="D35" s="8">
        <v>45954</v>
      </c>
      <c r="E35" s="8">
        <v>45956</v>
      </c>
      <c r="F35" s="8">
        <v>45959</v>
      </c>
      <c r="G35" s="8">
        <v>45965</v>
      </c>
      <c r="H35" t="s">
        <v>28</v>
      </c>
      <c r="I35" t="s">
        <v>29</v>
      </c>
      <c r="K35">
        <v>2</v>
      </c>
      <c r="L35">
        <v>3</v>
      </c>
      <c r="M35">
        <v>6</v>
      </c>
      <c r="O35">
        <v>1</v>
      </c>
      <c r="P35">
        <v>1</v>
      </c>
      <c r="Q35">
        <v>1</v>
      </c>
      <c r="R35">
        <v>0</v>
      </c>
      <c r="S35" t="s">
        <v>1055</v>
      </c>
    </row>
    <row r="36" spans="1:19">
      <c r="A36" t="s">
        <v>484</v>
      </c>
      <c r="B36" t="s">
        <v>20</v>
      </c>
      <c r="C36" t="s">
        <v>27</v>
      </c>
      <c r="D36" s="8">
        <v>45956</v>
      </c>
      <c r="H36" t="s">
        <v>28</v>
      </c>
      <c r="I36" t="s">
        <v>29</v>
      </c>
      <c r="O36">
        <v>1</v>
      </c>
      <c r="P36">
        <v>0</v>
      </c>
      <c r="Q36">
        <v>0</v>
      </c>
      <c r="R36">
        <v>0</v>
      </c>
      <c r="S36" t="s">
        <v>1055</v>
      </c>
    </row>
    <row r="37" spans="1:19">
      <c r="A37" t="s">
        <v>494</v>
      </c>
      <c r="B37" t="s">
        <v>20</v>
      </c>
      <c r="C37" t="s">
        <v>27</v>
      </c>
      <c r="D37" s="8">
        <v>45940</v>
      </c>
      <c r="H37" t="s">
        <v>28</v>
      </c>
      <c r="I37" t="s">
        <v>38</v>
      </c>
      <c r="O37">
        <v>1</v>
      </c>
      <c r="P37">
        <v>0</v>
      </c>
      <c r="Q37">
        <v>0</v>
      </c>
      <c r="R37">
        <v>0</v>
      </c>
      <c r="S37" t="s">
        <v>1055</v>
      </c>
    </row>
    <row r="38" spans="1:19">
      <c r="A38" t="s">
        <v>505</v>
      </c>
      <c r="B38" t="s">
        <v>20</v>
      </c>
      <c r="C38" t="s">
        <v>27</v>
      </c>
      <c r="D38" s="8">
        <v>45948</v>
      </c>
      <c r="H38" t="s">
        <v>28</v>
      </c>
      <c r="I38" t="s">
        <v>38</v>
      </c>
      <c r="O38">
        <v>1</v>
      </c>
      <c r="P38">
        <v>0</v>
      </c>
      <c r="Q38">
        <v>0</v>
      </c>
      <c r="R38">
        <v>0</v>
      </c>
      <c r="S38" t="s">
        <v>1055</v>
      </c>
    </row>
    <row r="39" spans="1:19">
      <c r="A39" t="s">
        <v>510</v>
      </c>
      <c r="B39" t="s">
        <v>20</v>
      </c>
      <c r="C39" t="s">
        <v>21</v>
      </c>
      <c r="D39" s="8">
        <v>45955</v>
      </c>
      <c r="E39" s="8">
        <v>45958</v>
      </c>
      <c r="F39" s="8">
        <v>45963</v>
      </c>
      <c r="G39" s="8">
        <v>45965</v>
      </c>
      <c r="H39" t="s">
        <v>28</v>
      </c>
      <c r="I39" t="s">
        <v>29</v>
      </c>
      <c r="K39">
        <v>3</v>
      </c>
      <c r="L39">
        <v>5</v>
      </c>
      <c r="M39">
        <v>2</v>
      </c>
      <c r="O39">
        <v>1</v>
      </c>
      <c r="P39">
        <v>1</v>
      </c>
      <c r="Q39">
        <v>1</v>
      </c>
      <c r="R39">
        <v>0</v>
      </c>
      <c r="S39" t="s">
        <v>1055</v>
      </c>
    </row>
    <row r="40" spans="1:19">
      <c r="A40" t="s">
        <v>512</v>
      </c>
      <c r="B40" t="s">
        <v>20</v>
      </c>
      <c r="C40" t="s">
        <v>21</v>
      </c>
      <c r="D40" s="8">
        <v>45943</v>
      </c>
      <c r="E40" s="8">
        <v>45946</v>
      </c>
      <c r="F40" s="8">
        <v>45950</v>
      </c>
      <c r="G40" s="8">
        <v>45955</v>
      </c>
      <c r="H40" t="s">
        <v>28</v>
      </c>
      <c r="I40" t="s">
        <v>31</v>
      </c>
      <c r="K40">
        <v>3</v>
      </c>
      <c r="L40">
        <v>4</v>
      </c>
      <c r="M40">
        <v>5</v>
      </c>
      <c r="O40">
        <v>1</v>
      </c>
      <c r="P40">
        <v>1</v>
      </c>
      <c r="Q40">
        <v>1</v>
      </c>
      <c r="R40">
        <v>0</v>
      </c>
      <c r="S40" t="s">
        <v>1055</v>
      </c>
    </row>
    <row r="41" spans="1:19">
      <c r="A41" t="s">
        <v>541</v>
      </c>
      <c r="B41" t="s">
        <v>20</v>
      </c>
      <c r="C41" t="s">
        <v>27</v>
      </c>
      <c r="D41" s="8">
        <v>45961</v>
      </c>
      <c r="H41" t="s">
        <v>28</v>
      </c>
      <c r="I41" t="s">
        <v>68</v>
      </c>
      <c r="O41">
        <v>1</v>
      </c>
      <c r="P41">
        <v>0</v>
      </c>
      <c r="Q41">
        <v>0</v>
      </c>
      <c r="R41">
        <v>0</v>
      </c>
      <c r="S41" t="s">
        <v>1055</v>
      </c>
    </row>
    <row r="42" spans="1:19">
      <c r="A42" t="s">
        <v>543</v>
      </c>
      <c r="B42" t="s">
        <v>20</v>
      </c>
      <c r="C42" t="s">
        <v>27</v>
      </c>
      <c r="D42" s="8">
        <v>45935</v>
      </c>
      <c r="H42" t="s">
        <v>28</v>
      </c>
      <c r="I42" t="s">
        <v>38</v>
      </c>
      <c r="O42">
        <v>1</v>
      </c>
      <c r="P42">
        <v>0</v>
      </c>
      <c r="Q42">
        <v>0</v>
      </c>
      <c r="R42">
        <v>0</v>
      </c>
      <c r="S42" t="s">
        <v>1055</v>
      </c>
    </row>
    <row r="43" spans="1:19">
      <c r="A43" t="s">
        <v>545</v>
      </c>
      <c r="B43" t="s">
        <v>20</v>
      </c>
      <c r="C43" t="s">
        <v>27</v>
      </c>
      <c r="D43" s="8">
        <v>45961</v>
      </c>
      <c r="H43" t="s">
        <v>28</v>
      </c>
      <c r="I43" t="s">
        <v>29</v>
      </c>
      <c r="O43">
        <v>1</v>
      </c>
      <c r="P43">
        <v>0</v>
      </c>
      <c r="Q43">
        <v>0</v>
      </c>
      <c r="R43">
        <v>0</v>
      </c>
      <c r="S43" t="s">
        <v>1055</v>
      </c>
    </row>
    <row r="44" spans="1:19">
      <c r="A44" t="s">
        <v>555</v>
      </c>
      <c r="B44" t="s">
        <v>20</v>
      </c>
      <c r="C44" t="s">
        <v>27</v>
      </c>
      <c r="D44" s="8">
        <v>45960</v>
      </c>
      <c r="H44" t="s">
        <v>28</v>
      </c>
      <c r="I44" t="s">
        <v>106</v>
      </c>
      <c r="O44">
        <v>1</v>
      </c>
      <c r="P44">
        <v>0</v>
      </c>
      <c r="Q44">
        <v>0</v>
      </c>
      <c r="R44">
        <v>0</v>
      </c>
      <c r="S44" t="s">
        <v>1055</v>
      </c>
    </row>
    <row r="45" spans="1:19">
      <c r="A45" t="s">
        <v>561</v>
      </c>
      <c r="B45" t="s">
        <v>20</v>
      </c>
      <c r="C45" t="s">
        <v>27</v>
      </c>
      <c r="D45" s="8">
        <v>45958</v>
      </c>
      <c r="H45" t="s">
        <v>28</v>
      </c>
      <c r="I45" t="s">
        <v>68</v>
      </c>
      <c r="O45">
        <v>1</v>
      </c>
      <c r="P45">
        <v>0</v>
      </c>
      <c r="Q45">
        <v>0</v>
      </c>
      <c r="R45">
        <v>0</v>
      </c>
      <c r="S45" t="s">
        <v>1055</v>
      </c>
    </row>
    <row r="46" spans="1:19">
      <c r="A46" t="s">
        <v>565</v>
      </c>
      <c r="B46" t="s">
        <v>20</v>
      </c>
      <c r="C46" t="s">
        <v>27</v>
      </c>
      <c r="D46" s="8">
        <v>45946</v>
      </c>
      <c r="H46" t="s">
        <v>28</v>
      </c>
      <c r="I46" t="s">
        <v>31</v>
      </c>
      <c r="O46">
        <v>1</v>
      </c>
      <c r="P46">
        <v>0</v>
      </c>
      <c r="Q46">
        <v>0</v>
      </c>
      <c r="R46">
        <v>0</v>
      </c>
      <c r="S46" t="s">
        <v>1055</v>
      </c>
    </row>
    <row r="47" spans="1:19">
      <c r="A47" t="s">
        <v>572</v>
      </c>
      <c r="B47" t="s">
        <v>20</v>
      </c>
      <c r="C47" t="s">
        <v>21</v>
      </c>
      <c r="D47" s="8">
        <v>45951</v>
      </c>
      <c r="E47" s="8">
        <v>45953</v>
      </c>
      <c r="F47" s="8">
        <v>45957</v>
      </c>
      <c r="G47" s="8">
        <v>45960</v>
      </c>
      <c r="H47" t="s">
        <v>28</v>
      </c>
      <c r="I47" t="s">
        <v>106</v>
      </c>
      <c r="K47">
        <v>2</v>
      </c>
      <c r="L47">
        <v>4</v>
      </c>
      <c r="M47">
        <v>3</v>
      </c>
      <c r="O47">
        <v>1</v>
      </c>
      <c r="P47">
        <v>1</v>
      </c>
      <c r="Q47">
        <v>1</v>
      </c>
      <c r="R47">
        <v>0</v>
      </c>
      <c r="S47" t="s">
        <v>1055</v>
      </c>
    </row>
    <row r="48" spans="1:19">
      <c r="A48" t="s">
        <v>621</v>
      </c>
      <c r="B48" t="s">
        <v>20</v>
      </c>
      <c r="C48" t="s">
        <v>21</v>
      </c>
      <c r="D48" s="8">
        <v>45944</v>
      </c>
      <c r="E48" s="8">
        <v>45947</v>
      </c>
      <c r="F48" s="8">
        <v>45948</v>
      </c>
      <c r="G48" s="8">
        <v>45951</v>
      </c>
      <c r="H48" t="s">
        <v>28</v>
      </c>
      <c r="I48" t="s">
        <v>106</v>
      </c>
      <c r="K48">
        <v>3</v>
      </c>
      <c r="L48">
        <v>1</v>
      </c>
      <c r="M48">
        <v>3</v>
      </c>
      <c r="O48">
        <v>1</v>
      </c>
      <c r="P48">
        <v>1</v>
      </c>
      <c r="Q48">
        <v>1</v>
      </c>
      <c r="R48">
        <v>0</v>
      </c>
      <c r="S48" t="s">
        <v>1055</v>
      </c>
    </row>
    <row r="49" spans="1:19">
      <c r="A49" t="s">
        <v>625</v>
      </c>
      <c r="B49" t="s">
        <v>20</v>
      </c>
      <c r="C49" t="s">
        <v>35</v>
      </c>
      <c r="D49" s="8">
        <v>45944</v>
      </c>
      <c r="E49" s="8">
        <v>45948</v>
      </c>
      <c r="F49" s="8">
        <v>45949</v>
      </c>
      <c r="G49" s="8">
        <v>45956</v>
      </c>
      <c r="H49" t="s">
        <v>28</v>
      </c>
      <c r="I49" t="s">
        <v>29</v>
      </c>
      <c r="K49">
        <v>4</v>
      </c>
      <c r="L49">
        <v>1</v>
      </c>
      <c r="M49">
        <v>7</v>
      </c>
      <c r="O49">
        <v>1</v>
      </c>
      <c r="P49">
        <v>1</v>
      </c>
      <c r="Q49">
        <v>1</v>
      </c>
      <c r="R49">
        <v>0</v>
      </c>
      <c r="S49" t="s">
        <v>1055</v>
      </c>
    </row>
    <row r="50" spans="1:19">
      <c r="A50" t="s">
        <v>629</v>
      </c>
      <c r="B50" t="s">
        <v>20</v>
      </c>
      <c r="C50" t="s">
        <v>21</v>
      </c>
      <c r="D50" s="8">
        <v>45936</v>
      </c>
      <c r="E50" s="8">
        <v>45937</v>
      </c>
      <c r="F50" s="8">
        <v>45938</v>
      </c>
      <c r="G50" s="8">
        <v>45940</v>
      </c>
      <c r="H50" t="s">
        <v>28</v>
      </c>
      <c r="I50" t="s">
        <v>29</v>
      </c>
      <c r="K50">
        <v>1</v>
      </c>
      <c r="L50">
        <v>1</v>
      </c>
      <c r="M50">
        <v>2</v>
      </c>
      <c r="O50">
        <v>1</v>
      </c>
      <c r="P50">
        <v>1</v>
      </c>
      <c r="Q50">
        <v>1</v>
      </c>
      <c r="R50">
        <v>0</v>
      </c>
      <c r="S50" t="s">
        <v>1055</v>
      </c>
    </row>
    <row r="51" spans="1:19">
      <c r="A51" t="s">
        <v>660</v>
      </c>
      <c r="B51" t="s">
        <v>20</v>
      </c>
      <c r="C51" t="s">
        <v>27</v>
      </c>
      <c r="D51" s="8">
        <v>45945</v>
      </c>
      <c r="H51" t="s">
        <v>28</v>
      </c>
      <c r="I51" t="s">
        <v>106</v>
      </c>
      <c r="O51">
        <v>1</v>
      </c>
      <c r="P51">
        <v>0</v>
      </c>
      <c r="Q51">
        <v>0</v>
      </c>
      <c r="R51">
        <v>0</v>
      </c>
      <c r="S51" t="s">
        <v>1055</v>
      </c>
    </row>
    <row r="52" spans="1:19">
      <c r="A52" t="s">
        <v>664</v>
      </c>
      <c r="B52" t="s">
        <v>20</v>
      </c>
      <c r="C52" t="s">
        <v>27</v>
      </c>
      <c r="D52" s="8">
        <v>45940</v>
      </c>
      <c r="H52" t="s">
        <v>28</v>
      </c>
      <c r="I52" t="s">
        <v>68</v>
      </c>
      <c r="O52">
        <v>1</v>
      </c>
      <c r="P52">
        <v>0</v>
      </c>
      <c r="Q52">
        <v>0</v>
      </c>
      <c r="R52">
        <v>0</v>
      </c>
      <c r="S52" t="s">
        <v>1055</v>
      </c>
    </row>
    <row r="53" spans="1:19">
      <c r="A53" t="s">
        <v>710</v>
      </c>
      <c r="B53" t="s">
        <v>20</v>
      </c>
      <c r="C53" t="s">
        <v>27</v>
      </c>
      <c r="D53" s="8">
        <v>45956</v>
      </c>
      <c r="H53" t="s">
        <v>28</v>
      </c>
      <c r="I53" t="s">
        <v>29</v>
      </c>
      <c r="O53">
        <v>1</v>
      </c>
      <c r="P53">
        <v>0</v>
      </c>
      <c r="Q53">
        <v>0</v>
      </c>
      <c r="R53">
        <v>0</v>
      </c>
      <c r="S53" t="s">
        <v>1055</v>
      </c>
    </row>
    <row r="54" spans="1:19">
      <c r="A54" t="s">
        <v>716</v>
      </c>
      <c r="B54" t="s">
        <v>20</v>
      </c>
      <c r="C54" t="s">
        <v>27</v>
      </c>
      <c r="D54" s="8">
        <v>45939</v>
      </c>
      <c r="H54" t="s">
        <v>28</v>
      </c>
      <c r="I54" t="s">
        <v>106</v>
      </c>
      <c r="O54">
        <v>1</v>
      </c>
      <c r="P54">
        <v>0</v>
      </c>
      <c r="Q54">
        <v>0</v>
      </c>
      <c r="R54">
        <v>0</v>
      </c>
      <c r="S54" t="s">
        <v>1055</v>
      </c>
    </row>
    <row r="55" spans="1:19">
      <c r="A55" t="s">
        <v>720</v>
      </c>
      <c r="B55" t="s">
        <v>20</v>
      </c>
      <c r="C55" t="s">
        <v>27</v>
      </c>
      <c r="D55" s="8">
        <v>45955</v>
      </c>
      <c r="H55" t="s">
        <v>28</v>
      </c>
      <c r="I55" t="s">
        <v>29</v>
      </c>
      <c r="O55">
        <v>1</v>
      </c>
      <c r="P55">
        <v>0</v>
      </c>
      <c r="Q55">
        <v>0</v>
      </c>
      <c r="R55">
        <v>0</v>
      </c>
      <c r="S55" t="s">
        <v>1055</v>
      </c>
    </row>
    <row r="56" spans="1:19">
      <c r="A56" t="s">
        <v>733</v>
      </c>
      <c r="B56" t="s">
        <v>20</v>
      </c>
      <c r="C56" t="s">
        <v>27</v>
      </c>
      <c r="D56" s="8">
        <v>45945</v>
      </c>
      <c r="H56" t="s">
        <v>28</v>
      </c>
      <c r="I56" t="s">
        <v>68</v>
      </c>
      <c r="O56">
        <v>1</v>
      </c>
      <c r="P56">
        <v>0</v>
      </c>
      <c r="Q56">
        <v>0</v>
      </c>
      <c r="R56">
        <v>0</v>
      </c>
      <c r="S56" t="s">
        <v>1055</v>
      </c>
    </row>
    <row r="57" spans="1:19">
      <c r="A57" t="s">
        <v>735</v>
      </c>
      <c r="B57" t="s">
        <v>20</v>
      </c>
      <c r="C57" t="s">
        <v>35</v>
      </c>
      <c r="D57" s="8">
        <v>45949</v>
      </c>
      <c r="E57" s="8">
        <v>45954</v>
      </c>
      <c r="F57" s="8">
        <v>45956</v>
      </c>
      <c r="G57" s="8">
        <v>45959</v>
      </c>
      <c r="H57" t="s">
        <v>28</v>
      </c>
      <c r="I57" t="s">
        <v>31</v>
      </c>
      <c r="K57">
        <v>5</v>
      </c>
      <c r="L57">
        <v>2</v>
      </c>
      <c r="M57">
        <v>3</v>
      </c>
      <c r="O57">
        <v>1</v>
      </c>
      <c r="P57">
        <v>1</v>
      </c>
      <c r="Q57">
        <v>1</v>
      </c>
      <c r="R57">
        <v>0</v>
      </c>
      <c r="S57" t="s">
        <v>1055</v>
      </c>
    </row>
    <row r="58" spans="1:19">
      <c r="A58" t="s">
        <v>779</v>
      </c>
      <c r="B58" t="s">
        <v>20</v>
      </c>
      <c r="C58" t="s">
        <v>21</v>
      </c>
      <c r="D58" s="8">
        <v>45952</v>
      </c>
      <c r="E58" s="8">
        <v>45957</v>
      </c>
      <c r="F58" s="8">
        <v>45959</v>
      </c>
      <c r="G58" s="8">
        <v>45961</v>
      </c>
      <c r="H58" t="s">
        <v>28</v>
      </c>
      <c r="I58" t="s">
        <v>106</v>
      </c>
      <c r="K58">
        <v>5</v>
      </c>
      <c r="L58">
        <v>2</v>
      </c>
      <c r="M58">
        <v>2</v>
      </c>
      <c r="O58">
        <v>1</v>
      </c>
      <c r="P58">
        <v>1</v>
      </c>
      <c r="Q58">
        <v>1</v>
      </c>
      <c r="R58">
        <v>0</v>
      </c>
      <c r="S58" t="s">
        <v>1055</v>
      </c>
    </row>
    <row r="59" spans="1:19">
      <c r="A59" t="s">
        <v>810</v>
      </c>
      <c r="B59" t="s">
        <v>20</v>
      </c>
      <c r="C59" t="s">
        <v>27</v>
      </c>
      <c r="D59" s="8">
        <v>45946</v>
      </c>
      <c r="H59" t="s">
        <v>28</v>
      </c>
      <c r="I59" t="s">
        <v>68</v>
      </c>
      <c r="O59">
        <v>1</v>
      </c>
      <c r="P59">
        <v>0</v>
      </c>
      <c r="Q59">
        <v>0</v>
      </c>
      <c r="R59">
        <v>0</v>
      </c>
      <c r="S59" t="s">
        <v>1055</v>
      </c>
    </row>
    <row r="60" spans="1:19">
      <c r="A60" t="s">
        <v>833</v>
      </c>
      <c r="B60" t="s">
        <v>20</v>
      </c>
      <c r="C60" t="s">
        <v>27</v>
      </c>
      <c r="D60" s="8">
        <v>45961</v>
      </c>
      <c r="H60" t="s">
        <v>28</v>
      </c>
      <c r="I60" t="s">
        <v>29</v>
      </c>
      <c r="O60">
        <v>1</v>
      </c>
      <c r="P60">
        <v>0</v>
      </c>
      <c r="Q60">
        <v>0</v>
      </c>
      <c r="R60">
        <v>0</v>
      </c>
      <c r="S60" t="s">
        <v>1055</v>
      </c>
    </row>
    <row r="61" spans="1:19">
      <c r="A61" t="s">
        <v>846</v>
      </c>
      <c r="B61" t="s">
        <v>20</v>
      </c>
      <c r="C61" t="s">
        <v>27</v>
      </c>
      <c r="D61" s="8">
        <v>45952</v>
      </c>
      <c r="H61" t="s">
        <v>28</v>
      </c>
      <c r="I61" t="s">
        <v>29</v>
      </c>
      <c r="O61">
        <v>1</v>
      </c>
      <c r="P61">
        <v>0</v>
      </c>
      <c r="Q61">
        <v>0</v>
      </c>
      <c r="R61">
        <v>0</v>
      </c>
      <c r="S61" t="s">
        <v>1055</v>
      </c>
    </row>
    <row r="62" spans="1:19">
      <c r="A62" t="s">
        <v>873</v>
      </c>
      <c r="B62" t="s">
        <v>20</v>
      </c>
      <c r="C62" t="s">
        <v>27</v>
      </c>
      <c r="D62" s="8">
        <v>45945</v>
      </c>
      <c r="H62" t="s">
        <v>28</v>
      </c>
      <c r="I62" t="s">
        <v>38</v>
      </c>
      <c r="O62">
        <v>1</v>
      </c>
      <c r="P62">
        <v>0</v>
      </c>
      <c r="Q62">
        <v>0</v>
      </c>
      <c r="R62">
        <v>0</v>
      </c>
      <c r="S62" t="s">
        <v>1055</v>
      </c>
    </row>
    <row r="63" spans="1:19">
      <c r="A63" t="s">
        <v>898</v>
      </c>
      <c r="B63" t="s">
        <v>20</v>
      </c>
      <c r="C63" t="s">
        <v>27</v>
      </c>
      <c r="D63" s="8">
        <v>45951</v>
      </c>
      <c r="H63" t="s">
        <v>28</v>
      </c>
      <c r="I63" t="s">
        <v>31</v>
      </c>
      <c r="O63">
        <v>1</v>
      </c>
      <c r="P63">
        <v>0</v>
      </c>
      <c r="Q63">
        <v>0</v>
      </c>
      <c r="R63">
        <v>0</v>
      </c>
      <c r="S63" t="s">
        <v>1055</v>
      </c>
    </row>
    <row r="64" spans="1:19">
      <c r="A64" t="s">
        <v>914</v>
      </c>
      <c r="B64" t="s">
        <v>20</v>
      </c>
      <c r="C64" t="s">
        <v>27</v>
      </c>
      <c r="D64" s="8">
        <v>45937</v>
      </c>
      <c r="H64" t="s">
        <v>28</v>
      </c>
      <c r="I64" t="s">
        <v>68</v>
      </c>
      <c r="O64">
        <v>1</v>
      </c>
      <c r="P64">
        <v>0</v>
      </c>
      <c r="Q64">
        <v>0</v>
      </c>
      <c r="R64">
        <v>0</v>
      </c>
      <c r="S64" t="s">
        <v>1055</v>
      </c>
    </row>
    <row r="65" spans="1:19">
      <c r="A65" t="s">
        <v>916</v>
      </c>
      <c r="B65" t="s">
        <v>20</v>
      </c>
      <c r="C65" t="s">
        <v>27</v>
      </c>
      <c r="D65" s="8">
        <v>45937</v>
      </c>
      <c r="H65" t="s">
        <v>28</v>
      </c>
      <c r="I65" t="s">
        <v>31</v>
      </c>
      <c r="O65">
        <v>1</v>
      </c>
      <c r="P65">
        <v>0</v>
      </c>
      <c r="Q65">
        <v>0</v>
      </c>
      <c r="R65">
        <v>0</v>
      </c>
      <c r="S65" t="s">
        <v>1055</v>
      </c>
    </row>
    <row r="66" spans="1:19">
      <c r="A66" t="s">
        <v>923</v>
      </c>
      <c r="B66" t="s">
        <v>20</v>
      </c>
      <c r="C66" t="s">
        <v>27</v>
      </c>
      <c r="D66" s="8">
        <v>45956</v>
      </c>
      <c r="H66" t="s">
        <v>28</v>
      </c>
      <c r="I66" t="s">
        <v>38</v>
      </c>
      <c r="O66">
        <v>1</v>
      </c>
      <c r="P66">
        <v>0</v>
      </c>
      <c r="Q66">
        <v>0</v>
      </c>
      <c r="R66">
        <v>0</v>
      </c>
      <c r="S66" t="s">
        <v>1055</v>
      </c>
    </row>
    <row r="67" spans="1:19">
      <c r="A67" t="s">
        <v>928</v>
      </c>
      <c r="B67" t="s">
        <v>20</v>
      </c>
      <c r="C67" t="s">
        <v>21</v>
      </c>
      <c r="D67" s="8">
        <v>45958</v>
      </c>
      <c r="E67" s="8">
        <v>45960</v>
      </c>
      <c r="F67" s="8">
        <v>45963</v>
      </c>
      <c r="G67" s="8">
        <v>45967</v>
      </c>
      <c r="H67" t="s">
        <v>28</v>
      </c>
      <c r="I67" t="s">
        <v>106</v>
      </c>
      <c r="K67">
        <v>2</v>
      </c>
      <c r="L67">
        <v>3</v>
      </c>
      <c r="M67">
        <v>4</v>
      </c>
      <c r="O67">
        <v>1</v>
      </c>
      <c r="P67">
        <v>1</v>
      </c>
      <c r="Q67">
        <v>1</v>
      </c>
      <c r="R67">
        <v>0</v>
      </c>
      <c r="S67" t="s">
        <v>1055</v>
      </c>
    </row>
    <row r="68" spans="1:19">
      <c r="A68" t="s">
        <v>929</v>
      </c>
      <c r="B68" t="s">
        <v>20</v>
      </c>
      <c r="C68" t="s">
        <v>27</v>
      </c>
      <c r="D68" s="8">
        <v>45935</v>
      </c>
      <c r="H68" t="s">
        <v>28</v>
      </c>
      <c r="I68" t="s">
        <v>106</v>
      </c>
      <c r="O68">
        <v>1</v>
      </c>
      <c r="P68">
        <v>0</v>
      </c>
      <c r="Q68">
        <v>0</v>
      </c>
      <c r="R68">
        <v>0</v>
      </c>
      <c r="S68" t="s">
        <v>1055</v>
      </c>
    </row>
    <row r="69" spans="1:19">
      <c r="A69" t="s">
        <v>931</v>
      </c>
      <c r="B69" t="s">
        <v>20</v>
      </c>
      <c r="C69" t="s">
        <v>27</v>
      </c>
      <c r="D69" s="8">
        <v>45948</v>
      </c>
      <c r="H69" t="s">
        <v>28</v>
      </c>
      <c r="I69" t="s">
        <v>29</v>
      </c>
      <c r="O69">
        <v>1</v>
      </c>
      <c r="P69">
        <v>0</v>
      </c>
      <c r="Q69">
        <v>0</v>
      </c>
      <c r="R69">
        <v>0</v>
      </c>
      <c r="S69" t="s">
        <v>1055</v>
      </c>
    </row>
    <row r="70" spans="1:19">
      <c r="A70" t="s">
        <v>954</v>
      </c>
      <c r="B70" t="s">
        <v>20</v>
      </c>
      <c r="C70" t="s">
        <v>27</v>
      </c>
      <c r="D70" s="8">
        <v>45947</v>
      </c>
      <c r="H70" t="s">
        <v>28</v>
      </c>
      <c r="I70" t="s">
        <v>29</v>
      </c>
      <c r="O70">
        <v>1</v>
      </c>
      <c r="P70">
        <v>0</v>
      </c>
      <c r="Q70">
        <v>0</v>
      </c>
      <c r="R70">
        <v>0</v>
      </c>
      <c r="S70" t="s">
        <v>1055</v>
      </c>
    </row>
    <row r="71" spans="1:19">
      <c r="A71" t="s">
        <v>966</v>
      </c>
      <c r="B71" t="s">
        <v>20</v>
      </c>
      <c r="C71" t="s">
        <v>21</v>
      </c>
      <c r="D71" s="8">
        <v>45947</v>
      </c>
      <c r="E71" s="8">
        <v>45951</v>
      </c>
      <c r="F71" s="8">
        <v>45953</v>
      </c>
      <c r="G71" s="8">
        <v>45957</v>
      </c>
      <c r="H71" t="s">
        <v>28</v>
      </c>
      <c r="I71" t="s">
        <v>38</v>
      </c>
      <c r="K71">
        <v>4</v>
      </c>
      <c r="L71">
        <v>2</v>
      </c>
      <c r="M71">
        <v>4</v>
      </c>
      <c r="O71">
        <v>1</v>
      </c>
      <c r="P71">
        <v>1</v>
      </c>
      <c r="Q71">
        <v>1</v>
      </c>
      <c r="R71">
        <v>0</v>
      </c>
      <c r="S71" t="s">
        <v>1055</v>
      </c>
    </row>
    <row r="72" spans="1:19">
      <c r="A72" t="s">
        <v>980</v>
      </c>
      <c r="B72" t="s">
        <v>20</v>
      </c>
      <c r="C72" t="s">
        <v>27</v>
      </c>
      <c r="D72" s="8">
        <v>45961</v>
      </c>
      <c r="H72" t="s">
        <v>28</v>
      </c>
      <c r="I72" t="s">
        <v>29</v>
      </c>
      <c r="O72">
        <v>1</v>
      </c>
      <c r="P72">
        <v>0</v>
      </c>
      <c r="Q72">
        <v>0</v>
      </c>
      <c r="R72">
        <v>0</v>
      </c>
      <c r="S72" t="s">
        <v>1055</v>
      </c>
    </row>
    <row r="73" spans="1:19">
      <c r="A73" t="s">
        <v>992</v>
      </c>
      <c r="B73" t="s">
        <v>20</v>
      </c>
      <c r="C73" t="s">
        <v>27</v>
      </c>
      <c r="D73" s="8">
        <v>45945</v>
      </c>
      <c r="H73" t="s">
        <v>28</v>
      </c>
      <c r="I73" t="s">
        <v>38</v>
      </c>
      <c r="O73">
        <v>1</v>
      </c>
      <c r="P73">
        <v>0</v>
      </c>
      <c r="Q73">
        <v>0</v>
      </c>
      <c r="R73">
        <v>0</v>
      </c>
      <c r="S73" t="s">
        <v>1055</v>
      </c>
    </row>
    <row r="74" spans="1:19">
      <c r="A74" t="s">
        <v>1015</v>
      </c>
      <c r="B74" t="s">
        <v>20</v>
      </c>
      <c r="C74" t="s">
        <v>27</v>
      </c>
      <c r="D74" s="8">
        <v>45944</v>
      </c>
      <c r="H74" t="s">
        <v>28</v>
      </c>
      <c r="I74" t="s">
        <v>68</v>
      </c>
      <c r="O74">
        <v>1</v>
      </c>
      <c r="P74">
        <v>0</v>
      </c>
      <c r="Q74">
        <v>0</v>
      </c>
      <c r="R74">
        <v>0</v>
      </c>
      <c r="S74" t="s">
        <v>1055</v>
      </c>
    </row>
    <row r="75" spans="1:19">
      <c r="A75" t="s">
        <v>1031</v>
      </c>
      <c r="B75" t="s">
        <v>20</v>
      </c>
      <c r="C75" t="s">
        <v>27</v>
      </c>
      <c r="D75" s="8">
        <v>45959</v>
      </c>
      <c r="H75" t="s">
        <v>28</v>
      </c>
      <c r="I75" t="s">
        <v>38</v>
      </c>
      <c r="O75">
        <v>1</v>
      </c>
      <c r="P75">
        <v>0</v>
      </c>
      <c r="Q75">
        <v>0</v>
      </c>
      <c r="R75">
        <v>0</v>
      </c>
      <c r="S75" t="s">
        <v>1055</v>
      </c>
    </row>
    <row r="76" spans="1:19">
      <c r="A76" t="s">
        <v>19</v>
      </c>
      <c r="B76" t="s">
        <v>20</v>
      </c>
      <c r="C76" t="s">
        <v>21</v>
      </c>
      <c r="D76" s="8">
        <v>45951</v>
      </c>
      <c r="E76" s="8">
        <v>45955</v>
      </c>
      <c r="F76" s="8">
        <v>45959</v>
      </c>
      <c r="G76" s="8">
        <v>45964</v>
      </c>
      <c r="H76" t="s">
        <v>22</v>
      </c>
      <c r="J76" s="8">
        <v>45989</v>
      </c>
      <c r="K76">
        <v>4</v>
      </c>
      <c r="L76">
        <v>4</v>
      </c>
      <c r="M76">
        <v>5</v>
      </c>
      <c r="N76">
        <v>2</v>
      </c>
      <c r="O76">
        <v>1</v>
      </c>
      <c r="P76">
        <v>1</v>
      </c>
      <c r="Q76">
        <v>1</v>
      </c>
      <c r="R76">
        <v>1</v>
      </c>
      <c r="S76" t="s">
        <v>1056</v>
      </c>
    </row>
    <row r="77" spans="1:19">
      <c r="A77" t="s">
        <v>48</v>
      </c>
      <c r="B77" t="s">
        <v>20</v>
      </c>
      <c r="C77" t="s">
        <v>35</v>
      </c>
      <c r="D77" s="8">
        <v>45944</v>
      </c>
      <c r="E77" s="8">
        <v>45945</v>
      </c>
      <c r="F77" s="8">
        <v>45948</v>
      </c>
      <c r="G77" s="8">
        <v>45953</v>
      </c>
      <c r="H77" t="s">
        <v>22</v>
      </c>
      <c r="J77" s="8">
        <v>45979</v>
      </c>
      <c r="K77">
        <v>1</v>
      </c>
      <c r="L77">
        <v>3</v>
      </c>
      <c r="M77">
        <v>5</v>
      </c>
      <c r="N77">
        <v>0</v>
      </c>
      <c r="O77">
        <v>1</v>
      </c>
      <c r="P77">
        <v>1</v>
      </c>
      <c r="Q77">
        <v>1</v>
      </c>
      <c r="R77">
        <v>1</v>
      </c>
      <c r="S77" t="s">
        <v>1056</v>
      </c>
    </row>
    <row r="78" spans="1:19">
      <c r="A78" t="s">
        <v>49</v>
      </c>
      <c r="B78" t="s">
        <v>20</v>
      </c>
      <c r="C78" t="s">
        <v>21</v>
      </c>
      <c r="D78" s="8">
        <v>45936</v>
      </c>
      <c r="E78" s="8">
        <v>45937</v>
      </c>
      <c r="F78" s="8">
        <v>45942</v>
      </c>
      <c r="G78" s="8">
        <v>45947</v>
      </c>
      <c r="H78" t="s">
        <v>22</v>
      </c>
      <c r="J78" s="8">
        <v>45972</v>
      </c>
      <c r="K78">
        <v>1</v>
      </c>
      <c r="L78">
        <v>5</v>
      </c>
      <c r="M78">
        <v>5</v>
      </c>
      <c r="N78">
        <v>5</v>
      </c>
      <c r="O78">
        <v>1</v>
      </c>
      <c r="P78">
        <v>1</v>
      </c>
      <c r="Q78">
        <v>1</v>
      </c>
      <c r="R78">
        <v>1</v>
      </c>
      <c r="S78" t="s">
        <v>1056</v>
      </c>
    </row>
    <row r="79" spans="1:19">
      <c r="A79" t="s">
        <v>52</v>
      </c>
      <c r="B79" t="s">
        <v>20</v>
      </c>
      <c r="C79" t="s">
        <v>35</v>
      </c>
      <c r="D79" s="8">
        <v>45961</v>
      </c>
      <c r="E79" s="8">
        <v>45962</v>
      </c>
      <c r="F79" s="8">
        <v>45963</v>
      </c>
      <c r="G79" s="8">
        <v>45966</v>
      </c>
      <c r="H79" t="s">
        <v>22</v>
      </c>
      <c r="J79" s="8">
        <v>45995</v>
      </c>
      <c r="K79">
        <v>1</v>
      </c>
      <c r="L79">
        <v>1</v>
      </c>
      <c r="M79">
        <v>3</v>
      </c>
      <c r="N79">
        <v>3</v>
      </c>
      <c r="O79">
        <v>1</v>
      </c>
      <c r="P79">
        <v>1</v>
      </c>
      <c r="Q79">
        <v>1</v>
      </c>
      <c r="R79">
        <v>1</v>
      </c>
      <c r="S79" t="s">
        <v>1056</v>
      </c>
    </row>
    <row r="80" spans="1:19">
      <c r="A80" t="s">
        <v>54</v>
      </c>
      <c r="B80" t="s">
        <v>20</v>
      </c>
      <c r="C80" t="s">
        <v>21</v>
      </c>
      <c r="D80" s="8">
        <v>45939</v>
      </c>
      <c r="E80" s="8">
        <v>45941</v>
      </c>
      <c r="F80" s="8">
        <v>45945</v>
      </c>
      <c r="G80" s="8">
        <v>45949</v>
      </c>
      <c r="H80" t="s">
        <v>22</v>
      </c>
      <c r="J80" s="8">
        <v>45963</v>
      </c>
      <c r="K80">
        <v>2</v>
      </c>
      <c r="L80">
        <v>4</v>
      </c>
      <c r="M80">
        <v>4</v>
      </c>
      <c r="N80">
        <v>3</v>
      </c>
      <c r="O80">
        <v>1</v>
      </c>
      <c r="P80">
        <v>1</v>
      </c>
      <c r="Q80">
        <v>1</v>
      </c>
      <c r="R80">
        <v>1</v>
      </c>
      <c r="S80" t="s">
        <v>1056</v>
      </c>
    </row>
    <row r="81" spans="1:19">
      <c r="A81" t="s">
        <v>58</v>
      </c>
      <c r="B81" t="s">
        <v>20</v>
      </c>
      <c r="C81" t="s">
        <v>21</v>
      </c>
      <c r="D81" s="8">
        <v>45948</v>
      </c>
      <c r="E81" s="8">
        <v>45953</v>
      </c>
      <c r="F81" s="8">
        <v>45957</v>
      </c>
      <c r="G81" s="8">
        <v>45959</v>
      </c>
      <c r="H81" t="s">
        <v>22</v>
      </c>
      <c r="J81" s="8">
        <v>45970</v>
      </c>
      <c r="K81">
        <v>5</v>
      </c>
      <c r="L81">
        <v>4</v>
      </c>
      <c r="M81">
        <v>2</v>
      </c>
      <c r="N81">
        <v>3</v>
      </c>
      <c r="O81">
        <v>1</v>
      </c>
      <c r="P81">
        <v>1</v>
      </c>
      <c r="Q81">
        <v>1</v>
      </c>
      <c r="R81">
        <v>1</v>
      </c>
      <c r="S81" t="s">
        <v>1056</v>
      </c>
    </row>
    <row r="82" spans="1:19">
      <c r="A82" t="s">
        <v>63</v>
      </c>
      <c r="B82" t="s">
        <v>20</v>
      </c>
      <c r="C82" t="s">
        <v>21</v>
      </c>
      <c r="D82" s="8">
        <v>45957</v>
      </c>
      <c r="E82" s="8">
        <v>45961</v>
      </c>
      <c r="F82" s="8">
        <v>45966</v>
      </c>
      <c r="G82" s="8">
        <v>45970</v>
      </c>
      <c r="H82" t="s">
        <v>22</v>
      </c>
      <c r="J82" s="8">
        <v>45984</v>
      </c>
      <c r="K82">
        <v>4</v>
      </c>
      <c r="L82">
        <v>5</v>
      </c>
      <c r="M82">
        <v>4</v>
      </c>
      <c r="N82">
        <v>3</v>
      </c>
      <c r="O82">
        <v>1</v>
      </c>
      <c r="P82">
        <v>1</v>
      </c>
      <c r="Q82">
        <v>1</v>
      </c>
      <c r="R82">
        <v>1</v>
      </c>
      <c r="S82" t="s">
        <v>1056</v>
      </c>
    </row>
    <row r="83" spans="1:19">
      <c r="A83" t="s">
        <v>69</v>
      </c>
      <c r="B83" t="s">
        <v>20</v>
      </c>
      <c r="C83" t="s">
        <v>21</v>
      </c>
      <c r="D83" s="8">
        <v>45958</v>
      </c>
      <c r="E83" s="8">
        <v>45961</v>
      </c>
      <c r="F83" s="8">
        <v>45965</v>
      </c>
      <c r="G83" s="8">
        <v>45969</v>
      </c>
      <c r="H83" t="s">
        <v>22</v>
      </c>
      <c r="J83" s="8">
        <v>45990</v>
      </c>
      <c r="K83">
        <v>3</v>
      </c>
      <c r="L83">
        <v>4</v>
      </c>
      <c r="M83">
        <v>4</v>
      </c>
      <c r="N83">
        <v>2</v>
      </c>
      <c r="O83">
        <v>1</v>
      </c>
      <c r="P83">
        <v>1</v>
      </c>
      <c r="Q83">
        <v>1</v>
      </c>
      <c r="R83">
        <v>1</v>
      </c>
      <c r="S83" t="s">
        <v>1056</v>
      </c>
    </row>
    <row r="84" spans="1:19">
      <c r="A84" t="s">
        <v>81</v>
      </c>
      <c r="B84" t="s">
        <v>20</v>
      </c>
      <c r="C84" t="s">
        <v>35</v>
      </c>
      <c r="D84" s="8">
        <v>45950</v>
      </c>
      <c r="E84" s="8">
        <v>45954</v>
      </c>
      <c r="F84" s="8">
        <v>45958</v>
      </c>
      <c r="G84" s="8">
        <v>45963</v>
      </c>
      <c r="H84" t="s">
        <v>22</v>
      </c>
      <c r="J84" s="8">
        <v>45983</v>
      </c>
      <c r="K84">
        <v>4</v>
      </c>
      <c r="L84">
        <v>4</v>
      </c>
      <c r="M84">
        <v>5</v>
      </c>
      <c r="N84">
        <v>6</v>
      </c>
      <c r="O84">
        <v>1</v>
      </c>
      <c r="P84">
        <v>1</v>
      </c>
      <c r="Q84">
        <v>1</v>
      </c>
      <c r="R84">
        <v>1</v>
      </c>
      <c r="S84" t="s">
        <v>1056</v>
      </c>
    </row>
    <row r="85" spans="1:19">
      <c r="A85" t="s">
        <v>82</v>
      </c>
      <c r="B85" t="s">
        <v>20</v>
      </c>
      <c r="C85" t="s">
        <v>35</v>
      </c>
      <c r="D85" s="8">
        <v>45952</v>
      </c>
      <c r="E85" s="8">
        <v>45954</v>
      </c>
      <c r="F85" s="8">
        <v>45955</v>
      </c>
      <c r="G85" s="8">
        <v>45961</v>
      </c>
      <c r="H85" t="s">
        <v>22</v>
      </c>
      <c r="J85" s="8">
        <v>45975</v>
      </c>
      <c r="K85">
        <v>2</v>
      </c>
      <c r="L85">
        <v>1</v>
      </c>
      <c r="M85">
        <v>6</v>
      </c>
      <c r="N85">
        <v>6</v>
      </c>
      <c r="O85">
        <v>1</v>
      </c>
      <c r="P85">
        <v>1</v>
      </c>
      <c r="Q85">
        <v>1</v>
      </c>
      <c r="R85">
        <v>1</v>
      </c>
      <c r="S85" t="s">
        <v>1056</v>
      </c>
    </row>
    <row r="86" spans="1:19">
      <c r="A86" t="s">
        <v>84</v>
      </c>
      <c r="B86" t="s">
        <v>20</v>
      </c>
      <c r="C86" t="s">
        <v>35</v>
      </c>
      <c r="D86" s="8">
        <v>45941</v>
      </c>
      <c r="E86" s="8">
        <v>45944</v>
      </c>
      <c r="F86" s="8">
        <v>45949</v>
      </c>
      <c r="G86" s="8">
        <v>45953</v>
      </c>
      <c r="H86" t="s">
        <v>22</v>
      </c>
      <c r="J86" s="8">
        <v>45976</v>
      </c>
      <c r="K86">
        <v>3</v>
      </c>
      <c r="L86">
        <v>5</v>
      </c>
      <c r="M86">
        <v>4</v>
      </c>
      <c r="N86">
        <v>4</v>
      </c>
      <c r="O86">
        <v>1</v>
      </c>
      <c r="P86">
        <v>1</v>
      </c>
      <c r="Q86">
        <v>1</v>
      </c>
      <c r="R86">
        <v>1</v>
      </c>
      <c r="S86" t="s">
        <v>1056</v>
      </c>
    </row>
    <row r="87" spans="1:19">
      <c r="A87" t="s">
        <v>87</v>
      </c>
      <c r="B87" t="s">
        <v>20</v>
      </c>
      <c r="C87" t="s">
        <v>35</v>
      </c>
      <c r="D87" s="8">
        <v>45958</v>
      </c>
      <c r="E87" s="8">
        <v>45959</v>
      </c>
      <c r="F87" s="8">
        <v>45962</v>
      </c>
      <c r="G87" s="8">
        <v>45968</v>
      </c>
      <c r="H87" t="s">
        <v>22</v>
      </c>
      <c r="J87" s="8">
        <v>45998</v>
      </c>
      <c r="K87">
        <v>1</v>
      </c>
      <c r="L87">
        <v>3</v>
      </c>
      <c r="M87">
        <v>6</v>
      </c>
      <c r="N87">
        <v>3</v>
      </c>
      <c r="O87">
        <v>1</v>
      </c>
      <c r="P87">
        <v>1</v>
      </c>
      <c r="Q87">
        <v>1</v>
      </c>
      <c r="R87">
        <v>1</v>
      </c>
      <c r="S87" t="s">
        <v>1056</v>
      </c>
    </row>
    <row r="88" spans="1:19">
      <c r="A88" t="s">
        <v>89</v>
      </c>
      <c r="B88" t="s">
        <v>20</v>
      </c>
      <c r="C88" t="s">
        <v>35</v>
      </c>
      <c r="D88" s="8">
        <v>45936</v>
      </c>
      <c r="E88" s="8">
        <v>45941</v>
      </c>
      <c r="F88" s="8">
        <v>45946</v>
      </c>
      <c r="G88" s="8">
        <v>45953</v>
      </c>
      <c r="H88" t="s">
        <v>22</v>
      </c>
      <c r="J88" s="8">
        <v>45968</v>
      </c>
      <c r="K88">
        <v>5</v>
      </c>
      <c r="L88">
        <v>5</v>
      </c>
      <c r="M88">
        <v>7</v>
      </c>
      <c r="N88">
        <v>1</v>
      </c>
      <c r="O88">
        <v>1</v>
      </c>
      <c r="P88">
        <v>1</v>
      </c>
      <c r="Q88">
        <v>1</v>
      </c>
      <c r="R88">
        <v>1</v>
      </c>
      <c r="S88" t="s">
        <v>1056</v>
      </c>
    </row>
    <row r="89" spans="1:19">
      <c r="A89" t="s">
        <v>91</v>
      </c>
      <c r="B89" t="s">
        <v>20</v>
      </c>
      <c r="C89" t="s">
        <v>21</v>
      </c>
      <c r="D89" s="8">
        <v>45937</v>
      </c>
      <c r="E89" s="8">
        <v>45941</v>
      </c>
      <c r="F89" s="8">
        <v>45944</v>
      </c>
      <c r="G89" s="8">
        <v>45948</v>
      </c>
      <c r="H89" t="s">
        <v>22</v>
      </c>
      <c r="J89" s="8">
        <v>45975</v>
      </c>
      <c r="K89">
        <v>4</v>
      </c>
      <c r="L89">
        <v>3</v>
      </c>
      <c r="M89">
        <v>4</v>
      </c>
      <c r="N89">
        <v>2</v>
      </c>
      <c r="O89">
        <v>1</v>
      </c>
      <c r="P89">
        <v>1</v>
      </c>
      <c r="Q89">
        <v>1</v>
      </c>
      <c r="R89">
        <v>1</v>
      </c>
      <c r="S89" t="s">
        <v>1056</v>
      </c>
    </row>
    <row r="90" spans="1:19">
      <c r="A90" t="s">
        <v>95</v>
      </c>
      <c r="B90" t="s">
        <v>20</v>
      </c>
      <c r="C90" t="s">
        <v>35</v>
      </c>
      <c r="D90" s="8">
        <v>45941</v>
      </c>
      <c r="E90" s="8">
        <v>45946</v>
      </c>
      <c r="F90" s="8">
        <v>45949</v>
      </c>
      <c r="G90" s="8">
        <v>45956</v>
      </c>
      <c r="H90" t="s">
        <v>22</v>
      </c>
      <c r="J90" s="8">
        <v>45984</v>
      </c>
      <c r="K90">
        <v>5</v>
      </c>
      <c r="L90">
        <v>3</v>
      </c>
      <c r="M90">
        <v>7</v>
      </c>
      <c r="N90">
        <v>3</v>
      </c>
      <c r="O90">
        <v>1</v>
      </c>
      <c r="P90">
        <v>1</v>
      </c>
      <c r="Q90">
        <v>1</v>
      </c>
      <c r="R90">
        <v>1</v>
      </c>
      <c r="S90" t="s">
        <v>1056</v>
      </c>
    </row>
    <row r="91" spans="1:19">
      <c r="A91" t="s">
        <v>98</v>
      </c>
      <c r="B91" t="s">
        <v>20</v>
      </c>
      <c r="C91" t="s">
        <v>21</v>
      </c>
      <c r="D91" s="8">
        <v>45950</v>
      </c>
      <c r="E91" s="8">
        <v>45955</v>
      </c>
      <c r="F91" s="8">
        <v>45958</v>
      </c>
      <c r="G91" s="8">
        <v>45962</v>
      </c>
      <c r="H91" t="s">
        <v>22</v>
      </c>
      <c r="J91" s="8">
        <v>45984</v>
      </c>
      <c r="K91">
        <v>5</v>
      </c>
      <c r="L91">
        <v>3</v>
      </c>
      <c r="M91">
        <v>4</v>
      </c>
      <c r="N91">
        <v>4</v>
      </c>
      <c r="O91">
        <v>1</v>
      </c>
      <c r="P91">
        <v>1</v>
      </c>
      <c r="Q91">
        <v>1</v>
      </c>
      <c r="R91">
        <v>1</v>
      </c>
      <c r="S91" t="s">
        <v>1056</v>
      </c>
    </row>
    <row r="92" spans="1:19">
      <c r="A92" t="s">
        <v>107</v>
      </c>
      <c r="B92" t="s">
        <v>20</v>
      </c>
      <c r="C92" t="s">
        <v>21</v>
      </c>
      <c r="D92" s="8">
        <v>45937</v>
      </c>
      <c r="E92" s="8">
        <v>45940</v>
      </c>
      <c r="F92" s="8">
        <v>45943</v>
      </c>
      <c r="G92" s="8">
        <v>45947</v>
      </c>
      <c r="H92" t="s">
        <v>22</v>
      </c>
      <c r="J92" s="8">
        <v>45975</v>
      </c>
      <c r="K92">
        <v>3</v>
      </c>
      <c r="L92">
        <v>3</v>
      </c>
      <c r="M92">
        <v>4</v>
      </c>
      <c r="N92">
        <v>0</v>
      </c>
      <c r="O92">
        <v>1</v>
      </c>
      <c r="P92">
        <v>1</v>
      </c>
      <c r="Q92">
        <v>1</v>
      </c>
      <c r="R92">
        <v>1</v>
      </c>
      <c r="S92" t="s">
        <v>1056</v>
      </c>
    </row>
    <row r="93" spans="1:19">
      <c r="A93" t="s">
        <v>108</v>
      </c>
      <c r="B93" t="s">
        <v>20</v>
      </c>
      <c r="C93" t="s">
        <v>35</v>
      </c>
      <c r="D93" s="8">
        <v>45933</v>
      </c>
      <c r="E93" s="8">
        <v>45936</v>
      </c>
      <c r="F93" s="8">
        <v>45941</v>
      </c>
      <c r="G93" s="8">
        <v>45948</v>
      </c>
      <c r="H93" t="s">
        <v>22</v>
      </c>
      <c r="J93" s="8">
        <v>45970</v>
      </c>
      <c r="K93">
        <v>3</v>
      </c>
      <c r="L93">
        <v>5</v>
      </c>
      <c r="M93">
        <v>7</v>
      </c>
      <c r="N93">
        <v>1</v>
      </c>
      <c r="O93">
        <v>1</v>
      </c>
      <c r="P93">
        <v>1</v>
      </c>
      <c r="Q93">
        <v>1</v>
      </c>
      <c r="R93">
        <v>1</v>
      </c>
      <c r="S93" t="s">
        <v>1056</v>
      </c>
    </row>
    <row r="94" spans="1:19">
      <c r="A94" t="s">
        <v>133</v>
      </c>
      <c r="B94" t="s">
        <v>20</v>
      </c>
      <c r="C94" t="s">
        <v>35</v>
      </c>
      <c r="D94" s="8">
        <v>45942</v>
      </c>
      <c r="E94" s="8">
        <v>45944</v>
      </c>
      <c r="F94" s="8">
        <v>45948</v>
      </c>
      <c r="G94" s="8">
        <v>45951</v>
      </c>
      <c r="H94" t="s">
        <v>22</v>
      </c>
      <c r="J94" s="8">
        <v>45963</v>
      </c>
      <c r="K94">
        <v>2</v>
      </c>
      <c r="L94">
        <v>4</v>
      </c>
      <c r="M94">
        <v>3</v>
      </c>
      <c r="N94">
        <v>1</v>
      </c>
      <c r="O94">
        <v>1</v>
      </c>
      <c r="P94">
        <v>1</v>
      </c>
      <c r="Q94">
        <v>1</v>
      </c>
      <c r="R94">
        <v>1</v>
      </c>
      <c r="S94" t="s">
        <v>1056</v>
      </c>
    </row>
    <row r="95" spans="1:19">
      <c r="A95" t="s">
        <v>161</v>
      </c>
      <c r="B95" t="s">
        <v>20</v>
      </c>
      <c r="C95" t="s">
        <v>35</v>
      </c>
      <c r="D95" s="8">
        <v>45937</v>
      </c>
      <c r="E95" s="8">
        <v>45939</v>
      </c>
      <c r="F95" s="8">
        <v>45944</v>
      </c>
      <c r="G95" s="8">
        <v>45949</v>
      </c>
      <c r="H95" t="s">
        <v>22</v>
      </c>
      <c r="J95" s="8">
        <v>45960</v>
      </c>
      <c r="K95">
        <v>2</v>
      </c>
      <c r="L95">
        <v>5</v>
      </c>
      <c r="M95">
        <v>5</v>
      </c>
      <c r="N95">
        <v>4</v>
      </c>
      <c r="O95">
        <v>1</v>
      </c>
      <c r="P95">
        <v>1</v>
      </c>
      <c r="Q95">
        <v>1</v>
      </c>
      <c r="R95">
        <v>1</v>
      </c>
      <c r="S95" t="s">
        <v>1056</v>
      </c>
    </row>
    <row r="96" spans="1:19">
      <c r="A96" t="s">
        <v>172</v>
      </c>
      <c r="B96" t="s">
        <v>20</v>
      </c>
      <c r="C96" t="s">
        <v>21</v>
      </c>
      <c r="D96" s="8">
        <v>45957</v>
      </c>
      <c r="E96" s="8">
        <v>45960</v>
      </c>
      <c r="F96" s="8">
        <v>45962</v>
      </c>
      <c r="G96" s="8">
        <v>45967</v>
      </c>
      <c r="H96" t="s">
        <v>22</v>
      </c>
      <c r="J96" s="8">
        <v>45990</v>
      </c>
      <c r="K96">
        <v>3</v>
      </c>
      <c r="L96">
        <v>2</v>
      </c>
      <c r="M96">
        <v>5</v>
      </c>
      <c r="N96">
        <v>5</v>
      </c>
      <c r="O96">
        <v>1</v>
      </c>
      <c r="P96">
        <v>1</v>
      </c>
      <c r="Q96">
        <v>1</v>
      </c>
      <c r="R96">
        <v>1</v>
      </c>
      <c r="S96" t="s">
        <v>1056</v>
      </c>
    </row>
    <row r="97" spans="1:19">
      <c r="A97" t="s">
        <v>173</v>
      </c>
      <c r="B97" t="s">
        <v>20</v>
      </c>
      <c r="C97" t="s">
        <v>21</v>
      </c>
      <c r="D97" s="8">
        <v>45937</v>
      </c>
      <c r="E97" s="8">
        <v>45942</v>
      </c>
      <c r="F97" s="8">
        <v>45943</v>
      </c>
      <c r="G97" s="8">
        <v>45946</v>
      </c>
      <c r="H97" t="s">
        <v>22</v>
      </c>
      <c r="J97" s="8">
        <v>45971</v>
      </c>
      <c r="K97">
        <v>5</v>
      </c>
      <c r="L97">
        <v>1</v>
      </c>
      <c r="M97">
        <v>3</v>
      </c>
      <c r="N97">
        <v>0</v>
      </c>
      <c r="O97">
        <v>1</v>
      </c>
      <c r="P97">
        <v>1</v>
      </c>
      <c r="Q97">
        <v>1</v>
      </c>
      <c r="R97">
        <v>1</v>
      </c>
      <c r="S97" t="s">
        <v>1056</v>
      </c>
    </row>
    <row r="98" spans="1:19">
      <c r="A98" t="s">
        <v>177</v>
      </c>
      <c r="B98" t="s">
        <v>20</v>
      </c>
      <c r="C98" t="s">
        <v>35</v>
      </c>
      <c r="D98" s="8">
        <v>45936</v>
      </c>
      <c r="E98" s="8">
        <v>45939</v>
      </c>
      <c r="F98" s="8">
        <v>45942</v>
      </c>
      <c r="G98" s="8">
        <v>45944</v>
      </c>
      <c r="H98" t="s">
        <v>22</v>
      </c>
      <c r="J98" s="8">
        <v>45971</v>
      </c>
      <c r="K98">
        <v>3</v>
      </c>
      <c r="L98">
        <v>3</v>
      </c>
      <c r="M98">
        <v>2</v>
      </c>
      <c r="N98">
        <v>6</v>
      </c>
      <c r="O98">
        <v>1</v>
      </c>
      <c r="P98">
        <v>1</v>
      </c>
      <c r="Q98">
        <v>1</v>
      </c>
      <c r="R98">
        <v>1</v>
      </c>
      <c r="S98" t="s">
        <v>1056</v>
      </c>
    </row>
    <row r="99" spans="1:19">
      <c r="A99" t="s">
        <v>179</v>
      </c>
      <c r="B99" t="s">
        <v>20</v>
      </c>
      <c r="C99" t="s">
        <v>35</v>
      </c>
      <c r="D99" s="8">
        <v>45931</v>
      </c>
      <c r="E99" s="8">
        <v>45933</v>
      </c>
      <c r="F99" s="8">
        <v>45934</v>
      </c>
      <c r="G99" s="8">
        <v>45938</v>
      </c>
      <c r="H99" t="s">
        <v>22</v>
      </c>
      <c r="J99" s="8">
        <v>45951</v>
      </c>
      <c r="K99">
        <v>2</v>
      </c>
      <c r="L99">
        <v>1</v>
      </c>
      <c r="M99">
        <v>4</v>
      </c>
      <c r="N99">
        <v>6</v>
      </c>
      <c r="O99">
        <v>1</v>
      </c>
      <c r="P99">
        <v>1</v>
      </c>
      <c r="Q99">
        <v>1</v>
      </c>
      <c r="R99">
        <v>1</v>
      </c>
      <c r="S99" t="s">
        <v>1056</v>
      </c>
    </row>
    <row r="100" spans="1:19">
      <c r="A100" t="s">
        <v>183</v>
      </c>
      <c r="B100" t="s">
        <v>20</v>
      </c>
      <c r="C100" t="s">
        <v>35</v>
      </c>
      <c r="D100" s="8">
        <v>45939</v>
      </c>
      <c r="E100" s="8">
        <v>45940</v>
      </c>
      <c r="F100" s="8">
        <v>45945</v>
      </c>
      <c r="G100" s="8">
        <v>45948</v>
      </c>
      <c r="H100" t="s">
        <v>22</v>
      </c>
      <c r="J100" s="8">
        <v>45978</v>
      </c>
      <c r="K100">
        <v>1</v>
      </c>
      <c r="L100">
        <v>5</v>
      </c>
      <c r="M100">
        <v>3</v>
      </c>
      <c r="N100">
        <v>2</v>
      </c>
      <c r="O100">
        <v>1</v>
      </c>
      <c r="P100">
        <v>1</v>
      </c>
      <c r="Q100">
        <v>1</v>
      </c>
      <c r="R100">
        <v>1</v>
      </c>
      <c r="S100" t="s">
        <v>1056</v>
      </c>
    </row>
    <row r="101" spans="1:19">
      <c r="A101" t="s">
        <v>188</v>
      </c>
      <c r="B101" t="s">
        <v>20</v>
      </c>
      <c r="C101" t="s">
        <v>35</v>
      </c>
      <c r="D101" s="8">
        <v>45953</v>
      </c>
      <c r="E101" s="8">
        <v>45955</v>
      </c>
      <c r="F101" s="8">
        <v>45959</v>
      </c>
      <c r="G101" s="8">
        <v>45963</v>
      </c>
      <c r="H101" t="s">
        <v>22</v>
      </c>
      <c r="J101" s="8">
        <v>45978</v>
      </c>
      <c r="K101">
        <v>2</v>
      </c>
      <c r="L101">
        <v>4</v>
      </c>
      <c r="M101">
        <v>4</v>
      </c>
      <c r="N101">
        <v>4</v>
      </c>
      <c r="O101">
        <v>1</v>
      </c>
      <c r="P101">
        <v>1</v>
      </c>
      <c r="Q101">
        <v>1</v>
      </c>
      <c r="R101">
        <v>1</v>
      </c>
      <c r="S101" t="s">
        <v>1056</v>
      </c>
    </row>
    <row r="102" spans="1:19">
      <c r="A102" t="s">
        <v>196</v>
      </c>
      <c r="B102" t="s">
        <v>20</v>
      </c>
      <c r="C102" t="s">
        <v>35</v>
      </c>
      <c r="D102" s="8">
        <v>45958</v>
      </c>
      <c r="E102" s="8">
        <v>45961</v>
      </c>
      <c r="F102" s="8">
        <v>45964</v>
      </c>
      <c r="G102" s="8">
        <v>45970</v>
      </c>
      <c r="H102" t="s">
        <v>22</v>
      </c>
      <c r="J102" s="8">
        <v>45990</v>
      </c>
      <c r="K102">
        <v>3</v>
      </c>
      <c r="L102">
        <v>3</v>
      </c>
      <c r="M102">
        <v>6</v>
      </c>
      <c r="N102">
        <v>5</v>
      </c>
      <c r="O102">
        <v>1</v>
      </c>
      <c r="P102">
        <v>1</v>
      </c>
      <c r="Q102">
        <v>1</v>
      </c>
      <c r="R102">
        <v>1</v>
      </c>
      <c r="S102" t="s">
        <v>1056</v>
      </c>
    </row>
    <row r="103" spans="1:19">
      <c r="A103" t="s">
        <v>209</v>
      </c>
      <c r="B103" t="s">
        <v>20</v>
      </c>
      <c r="C103" t="s">
        <v>21</v>
      </c>
      <c r="D103" s="8">
        <v>45958</v>
      </c>
      <c r="E103" s="8">
        <v>45963</v>
      </c>
      <c r="F103" s="8">
        <v>45967</v>
      </c>
      <c r="G103" s="8">
        <v>45972</v>
      </c>
      <c r="H103" t="s">
        <v>22</v>
      </c>
      <c r="J103" s="8">
        <v>45999</v>
      </c>
      <c r="K103">
        <v>5</v>
      </c>
      <c r="L103">
        <v>4</v>
      </c>
      <c r="M103">
        <v>5</v>
      </c>
      <c r="N103">
        <v>3</v>
      </c>
      <c r="O103">
        <v>1</v>
      </c>
      <c r="P103">
        <v>1</v>
      </c>
      <c r="Q103">
        <v>1</v>
      </c>
      <c r="R103">
        <v>1</v>
      </c>
      <c r="S103" t="s">
        <v>1056</v>
      </c>
    </row>
    <row r="104" spans="1:19">
      <c r="A104" t="s">
        <v>214</v>
      </c>
      <c r="B104" t="s">
        <v>20</v>
      </c>
      <c r="C104" t="s">
        <v>21</v>
      </c>
      <c r="D104" s="8">
        <v>45943</v>
      </c>
      <c r="E104" s="8">
        <v>45947</v>
      </c>
      <c r="F104" s="8">
        <v>45948</v>
      </c>
      <c r="G104" s="8">
        <v>45955</v>
      </c>
      <c r="H104" t="s">
        <v>22</v>
      </c>
      <c r="J104" s="8">
        <v>45980</v>
      </c>
      <c r="K104">
        <v>4</v>
      </c>
      <c r="L104">
        <v>1</v>
      </c>
      <c r="M104">
        <v>7</v>
      </c>
      <c r="N104">
        <v>4</v>
      </c>
      <c r="O104">
        <v>1</v>
      </c>
      <c r="P104">
        <v>1</v>
      </c>
      <c r="Q104">
        <v>1</v>
      </c>
      <c r="R104">
        <v>1</v>
      </c>
      <c r="S104" t="s">
        <v>1056</v>
      </c>
    </row>
    <row r="105" spans="1:19">
      <c r="A105" t="s">
        <v>217</v>
      </c>
      <c r="B105" t="s">
        <v>20</v>
      </c>
      <c r="C105" t="s">
        <v>21</v>
      </c>
      <c r="D105" s="8">
        <v>45949</v>
      </c>
      <c r="E105" s="8">
        <v>45953</v>
      </c>
      <c r="F105" s="8">
        <v>45958</v>
      </c>
      <c r="G105" s="8">
        <v>45961</v>
      </c>
      <c r="H105" t="s">
        <v>22</v>
      </c>
      <c r="J105" s="8">
        <v>45984</v>
      </c>
      <c r="K105">
        <v>4</v>
      </c>
      <c r="L105">
        <v>5</v>
      </c>
      <c r="M105">
        <v>3</v>
      </c>
      <c r="N105">
        <v>3</v>
      </c>
      <c r="O105">
        <v>1</v>
      </c>
      <c r="P105">
        <v>1</v>
      </c>
      <c r="Q105">
        <v>1</v>
      </c>
      <c r="R105">
        <v>1</v>
      </c>
      <c r="S105" t="s">
        <v>1056</v>
      </c>
    </row>
    <row r="106" spans="1:19">
      <c r="A106" t="s">
        <v>226</v>
      </c>
      <c r="B106" t="s">
        <v>20</v>
      </c>
      <c r="C106" t="s">
        <v>21</v>
      </c>
      <c r="D106" s="8">
        <v>45940</v>
      </c>
      <c r="E106" s="8">
        <v>45944</v>
      </c>
      <c r="F106" s="8">
        <v>45949</v>
      </c>
      <c r="G106" s="8">
        <v>45954</v>
      </c>
      <c r="H106" t="s">
        <v>22</v>
      </c>
      <c r="J106" s="8">
        <v>45965</v>
      </c>
      <c r="K106">
        <v>4</v>
      </c>
      <c r="L106">
        <v>5</v>
      </c>
      <c r="M106">
        <v>5</v>
      </c>
      <c r="N106">
        <v>5</v>
      </c>
      <c r="O106">
        <v>1</v>
      </c>
      <c r="P106">
        <v>1</v>
      </c>
      <c r="Q106">
        <v>1</v>
      </c>
      <c r="R106">
        <v>1</v>
      </c>
      <c r="S106" t="s">
        <v>1056</v>
      </c>
    </row>
    <row r="107" spans="1:19">
      <c r="A107" t="s">
        <v>246</v>
      </c>
      <c r="B107" t="s">
        <v>20</v>
      </c>
      <c r="C107" t="s">
        <v>35</v>
      </c>
      <c r="D107" s="8">
        <v>45949</v>
      </c>
      <c r="E107" s="8">
        <v>45953</v>
      </c>
      <c r="F107" s="8">
        <v>45956</v>
      </c>
      <c r="G107" s="8">
        <v>45959</v>
      </c>
      <c r="H107" t="s">
        <v>22</v>
      </c>
      <c r="J107" s="8">
        <v>45970</v>
      </c>
      <c r="K107">
        <v>4</v>
      </c>
      <c r="L107">
        <v>3</v>
      </c>
      <c r="M107">
        <v>3</v>
      </c>
      <c r="N107">
        <v>2</v>
      </c>
      <c r="O107">
        <v>1</v>
      </c>
      <c r="P107">
        <v>1</v>
      </c>
      <c r="Q107">
        <v>1</v>
      </c>
      <c r="R107">
        <v>1</v>
      </c>
      <c r="S107" t="s">
        <v>1056</v>
      </c>
    </row>
    <row r="108" spans="1:19">
      <c r="A108" t="s">
        <v>254</v>
      </c>
      <c r="B108" t="s">
        <v>20</v>
      </c>
      <c r="C108" t="s">
        <v>21</v>
      </c>
      <c r="D108" s="8">
        <v>45954</v>
      </c>
      <c r="E108" s="8">
        <v>45959</v>
      </c>
      <c r="F108" s="8">
        <v>45961</v>
      </c>
      <c r="G108" s="8">
        <v>45963</v>
      </c>
      <c r="H108" t="s">
        <v>22</v>
      </c>
      <c r="J108" s="8">
        <v>45991</v>
      </c>
      <c r="K108">
        <v>5</v>
      </c>
      <c r="L108">
        <v>2</v>
      </c>
      <c r="M108">
        <v>2</v>
      </c>
      <c r="N108">
        <v>3</v>
      </c>
      <c r="O108">
        <v>1</v>
      </c>
      <c r="P108">
        <v>1</v>
      </c>
      <c r="Q108">
        <v>1</v>
      </c>
      <c r="R108">
        <v>1</v>
      </c>
      <c r="S108" t="s">
        <v>1056</v>
      </c>
    </row>
    <row r="109" spans="1:19">
      <c r="A109" t="s">
        <v>255</v>
      </c>
      <c r="B109" t="s">
        <v>20</v>
      </c>
      <c r="C109" t="s">
        <v>21</v>
      </c>
      <c r="D109" s="8">
        <v>45934</v>
      </c>
      <c r="E109" s="8">
        <v>45935</v>
      </c>
      <c r="F109" s="8">
        <v>45937</v>
      </c>
      <c r="G109" s="8">
        <v>45943</v>
      </c>
      <c r="H109" t="s">
        <v>22</v>
      </c>
      <c r="J109" s="8">
        <v>45970</v>
      </c>
      <c r="K109">
        <v>1</v>
      </c>
      <c r="L109">
        <v>2</v>
      </c>
      <c r="M109">
        <v>6</v>
      </c>
      <c r="N109">
        <v>1</v>
      </c>
      <c r="O109">
        <v>1</v>
      </c>
      <c r="P109">
        <v>1</v>
      </c>
      <c r="Q109">
        <v>1</v>
      </c>
      <c r="R109">
        <v>1</v>
      </c>
      <c r="S109" t="s">
        <v>1056</v>
      </c>
    </row>
    <row r="110" spans="1:19">
      <c r="A110" t="s">
        <v>260</v>
      </c>
      <c r="B110" t="s">
        <v>20</v>
      </c>
      <c r="C110" t="s">
        <v>35</v>
      </c>
      <c r="D110" s="8">
        <v>45937</v>
      </c>
      <c r="E110" s="8">
        <v>45940</v>
      </c>
      <c r="F110" s="8">
        <v>45943</v>
      </c>
      <c r="G110" s="8">
        <v>45949</v>
      </c>
      <c r="H110" t="s">
        <v>22</v>
      </c>
      <c r="J110" s="8">
        <v>45960</v>
      </c>
      <c r="K110">
        <v>3</v>
      </c>
      <c r="L110">
        <v>3</v>
      </c>
      <c r="M110">
        <v>6</v>
      </c>
      <c r="N110">
        <v>4</v>
      </c>
      <c r="O110">
        <v>1</v>
      </c>
      <c r="P110">
        <v>1</v>
      </c>
      <c r="Q110">
        <v>1</v>
      </c>
      <c r="R110">
        <v>1</v>
      </c>
      <c r="S110" t="s">
        <v>1056</v>
      </c>
    </row>
    <row r="111" spans="1:19">
      <c r="A111" t="s">
        <v>262</v>
      </c>
      <c r="B111" t="s">
        <v>20</v>
      </c>
      <c r="C111" t="s">
        <v>21</v>
      </c>
      <c r="D111" s="8">
        <v>45952</v>
      </c>
      <c r="E111" s="8">
        <v>45954</v>
      </c>
      <c r="F111" s="8">
        <v>45955</v>
      </c>
      <c r="G111" s="8">
        <v>45958</v>
      </c>
      <c r="H111" t="s">
        <v>22</v>
      </c>
      <c r="J111" s="8">
        <v>45979</v>
      </c>
      <c r="K111">
        <v>2</v>
      </c>
      <c r="L111">
        <v>1</v>
      </c>
      <c r="M111">
        <v>3</v>
      </c>
      <c r="N111">
        <v>2</v>
      </c>
      <c r="O111">
        <v>1</v>
      </c>
      <c r="P111">
        <v>1</v>
      </c>
      <c r="Q111">
        <v>1</v>
      </c>
      <c r="R111">
        <v>1</v>
      </c>
      <c r="S111" t="s">
        <v>1056</v>
      </c>
    </row>
    <row r="112" spans="1:19">
      <c r="A112" t="s">
        <v>298</v>
      </c>
      <c r="B112" t="s">
        <v>20</v>
      </c>
      <c r="C112" t="s">
        <v>21</v>
      </c>
      <c r="D112" s="8">
        <v>45944</v>
      </c>
      <c r="E112" s="8">
        <v>45948</v>
      </c>
      <c r="F112" s="8">
        <v>45951</v>
      </c>
      <c r="G112" s="8">
        <v>45956</v>
      </c>
      <c r="H112" t="s">
        <v>22</v>
      </c>
      <c r="J112" s="8">
        <v>45971</v>
      </c>
      <c r="K112">
        <v>4</v>
      </c>
      <c r="L112">
        <v>3</v>
      </c>
      <c r="M112">
        <v>5</v>
      </c>
      <c r="N112">
        <v>5</v>
      </c>
      <c r="O112">
        <v>1</v>
      </c>
      <c r="P112">
        <v>1</v>
      </c>
      <c r="Q112">
        <v>1</v>
      </c>
      <c r="R112">
        <v>1</v>
      </c>
      <c r="S112" t="s">
        <v>1056</v>
      </c>
    </row>
    <row r="113" spans="1:19">
      <c r="A113" t="s">
        <v>304</v>
      </c>
      <c r="B113" t="s">
        <v>20</v>
      </c>
      <c r="C113" t="s">
        <v>35</v>
      </c>
      <c r="D113" s="8">
        <v>45960</v>
      </c>
      <c r="E113" s="8">
        <v>45965</v>
      </c>
      <c r="F113" s="8">
        <v>45967</v>
      </c>
      <c r="G113" s="8">
        <v>45969</v>
      </c>
      <c r="H113" t="s">
        <v>22</v>
      </c>
      <c r="J113" s="8">
        <v>45984</v>
      </c>
      <c r="K113">
        <v>5</v>
      </c>
      <c r="L113">
        <v>2</v>
      </c>
      <c r="M113">
        <v>2</v>
      </c>
      <c r="N113">
        <v>6</v>
      </c>
      <c r="O113">
        <v>1</v>
      </c>
      <c r="P113">
        <v>1</v>
      </c>
      <c r="Q113">
        <v>1</v>
      </c>
      <c r="R113">
        <v>1</v>
      </c>
      <c r="S113" t="s">
        <v>1056</v>
      </c>
    </row>
    <row r="114" spans="1:19">
      <c r="A114" t="s">
        <v>320</v>
      </c>
      <c r="B114" t="s">
        <v>20</v>
      </c>
      <c r="C114" t="s">
        <v>35</v>
      </c>
      <c r="D114" s="8">
        <v>45934</v>
      </c>
      <c r="E114" s="8">
        <v>45935</v>
      </c>
      <c r="F114" s="8">
        <v>45940</v>
      </c>
      <c r="G114" s="8">
        <v>45947</v>
      </c>
      <c r="H114" t="s">
        <v>22</v>
      </c>
      <c r="J114" s="8">
        <v>45958</v>
      </c>
      <c r="K114">
        <v>1</v>
      </c>
      <c r="L114">
        <v>5</v>
      </c>
      <c r="M114">
        <v>7</v>
      </c>
      <c r="N114">
        <v>2</v>
      </c>
      <c r="O114">
        <v>1</v>
      </c>
      <c r="P114">
        <v>1</v>
      </c>
      <c r="Q114">
        <v>1</v>
      </c>
      <c r="R114">
        <v>1</v>
      </c>
      <c r="S114" t="s">
        <v>1056</v>
      </c>
    </row>
    <row r="115" spans="1:19">
      <c r="A115" t="s">
        <v>335</v>
      </c>
      <c r="B115" t="s">
        <v>20</v>
      </c>
      <c r="C115" t="s">
        <v>21</v>
      </c>
      <c r="D115" s="8">
        <v>45959</v>
      </c>
      <c r="E115" s="8">
        <v>45963</v>
      </c>
      <c r="F115" s="8">
        <v>45968</v>
      </c>
      <c r="G115" s="8">
        <v>45973</v>
      </c>
      <c r="H115" t="s">
        <v>22</v>
      </c>
      <c r="J115" s="8">
        <v>45990</v>
      </c>
      <c r="K115">
        <v>4</v>
      </c>
      <c r="L115">
        <v>5</v>
      </c>
      <c r="M115">
        <v>5</v>
      </c>
      <c r="N115">
        <v>5</v>
      </c>
      <c r="O115">
        <v>1</v>
      </c>
      <c r="P115">
        <v>1</v>
      </c>
      <c r="Q115">
        <v>1</v>
      </c>
      <c r="R115">
        <v>1</v>
      </c>
      <c r="S115" t="s">
        <v>1056</v>
      </c>
    </row>
    <row r="116" spans="1:19">
      <c r="A116" t="s">
        <v>344</v>
      </c>
      <c r="B116" t="s">
        <v>20</v>
      </c>
      <c r="C116" t="s">
        <v>35</v>
      </c>
      <c r="D116" s="8">
        <v>45961</v>
      </c>
      <c r="E116" s="8">
        <v>45965</v>
      </c>
      <c r="F116" s="8">
        <v>45969</v>
      </c>
      <c r="G116" s="8">
        <v>45975</v>
      </c>
      <c r="H116" t="s">
        <v>22</v>
      </c>
      <c r="J116" s="8">
        <v>45992</v>
      </c>
      <c r="K116">
        <v>4</v>
      </c>
      <c r="L116">
        <v>4</v>
      </c>
      <c r="M116">
        <v>6</v>
      </c>
      <c r="N116">
        <v>6</v>
      </c>
      <c r="O116">
        <v>1</v>
      </c>
      <c r="P116">
        <v>1</v>
      </c>
      <c r="Q116">
        <v>1</v>
      </c>
      <c r="R116">
        <v>1</v>
      </c>
      <c r="S116" t="s">
        <v>1056</v>
      </c>
    </row>
    <row r="117" spans="1:19">
      <c r="A117" t="s">
        <v>346</v>
      </c>
      <c r="B117" t="s">
        <v>20</v>
      </c>
      <c r="C117" t="s">
        <v>21</v>
      </c>
      <c r="D117" s="8">
        <v>45957</v>
      </c>
      <c r="E117" s="8">
        <v>45960</v>
      </c>
      <c r="F117" s="8">
        <v>45962</v>
      </c>
      <c r="G117" s="8">
        <v>45965</v>
      </c>
      <c r="H117" t="s">
        <v>22</v>
      </c>
      <c r="J117" s="8">
        <v>45984</v>
      </c>
      <c r="K117">
        <v>3</v>
      </c>
      <c r="L117">
        <v>2</v>
      </c>
      <c r="M117">
        <v>3</v>
      </c>
      <c r="N117">
        <v>6</v>
      </c>
      <c r="O117">
        <v>1</v>
      </c>
      <c r="P117">
        <v>1</v>
      </c>
      <c r="Q117">
        <v>1</v>
      </c>
      <c r="R117">
        <v>1</v>
      </c>
      <c r="S117" t="s">
        <v>1056</v>
      </c>
    </row>
    <row r="118" spans="1:19">
      <c r="A118" t="s">
        <v>347</v>
      </c>
      <c r="B118" t="s">
        <v>20</v>
      </c>
      <c r="C118" t="s">
        <v>21</v>
      </c>
      <c r="D118" s="8">
        <v>45958</v>
      </c>
      <c r="E118" s="8">
        <v>45959</v>
      </c>
      <c r="F118" s="8">
        <v>45964</v>
      </c>
      <c r="G118" s="8">
        <v>45970</v>
      </c>
      <c r="H118" t="s">
        <v>22</v>
      </c>
      <c r="J118" s="8">
        <v>45982</v>
      </c>
      <c r="K118">
        <v>1</v>
      </c>
      <c r="L118">
        <v>5</v>
      </c>
      <c r="M118">
        <v>6</v>
      </c>
      <c r="N118">
        <v>4</v>
      </c>
      <c r="O118">
        <v>1</v>
      </c>
      <c r="P118">
        <v>1</v>
      </c>
      <c r="Q118">
        <v>1</v>
      </c>
      <c r="R118">
        <v>1</v>
      </c>
      <c r="S118" t="s">
        <v>1056</v>
      </c>
    </row>
    <row r="119" spans="1:19">
      <c r="A119" t="s">
        <v>348</v>
      </c>
      <c r="B119" t="s">
        <v>20</v>
      </c>
      <c r="C119" t="s">
        <v>21</v>
      </c>
      <c r="D119" s="8">
        <v>45949</v>
      </c>
      <c r="E119" s="8">
        <v>45954</v>
      </c>
      <c r="F119" s="8">
        <v>45958</v>
      </c>
      <c r="G119" s="8">
        <v>45963</v>
      </c>
      <c r="H119" t="s">
        <v>22</v>
      </c>
      <c r="J119" s="8">
        <v>45985</v>
      </c>
      <c r="K119">
        <v>5</v>
      </c>
      <c r="L119">
        <v>4</v>
      </c>
      <c r="M119">
        <v>5</v>
      </c>
      <c r="N119">
        <v>5</v>
      </c>
      <c r="O119">
        <v>1</v>
      </c>
      <c r="P119">
        <v>1</v>
      </c>
      <c r="Q119">
        <v>1</v>
      </c>
      <c r="R119">
        <v>1</v>
      </c>
      <c r="S119" t="s">
        <v>1056</v>
      </c>
    </row>
    <row r="120" spans="1:19">
      <c r="A120" t="s">
        <v>351</v>
      </c>
      <c r="B120" t="s">
        <v>20</v>
      </c>
      <c r="C120" t="s">
        <v>21</v>
      </c>
      <c r="D120" s="8">
        <v>45931</v>
      </c>
      <c r="E120" s="8">
        <v>45933</v>
      </c>
      <c r="F120" s="8">
        <v>45937</v>
      </c>
      <c r="G120" s="8">
        <v>45939</v>
      </c>
      <c r="H120" t="s">
        <v>22</v>
      </c>
      <c r="J120" s="8">
        <v>45965</v>
      </c>
      <c r="K120">
        <v>2</v>
      </c>
      <c r="L120">
        <v>4</v>
      </c>
      <c r="M120">
        <v>2</v>
      </c>
      <c r="N120">
        <v>6</v>
      </c>
      <c r="O120">
        <v>1</v>
      </c>
      <c r="P120">
        <v>1</v>
      </c>
      <c r="Q120">
        <v>1</v>
      </c>
      <c r="R120">
        <v>1</v>
      </c>
      <c r="S120" t="s">
        <v>1056</v>
      </c>
    </row>
    <row r="121" spans="1:19">
      <c r="A121" t="s">
        <v>365</v>
      </c>
      <c r="B121" t="s">
        <v>20</v>
      </c>
      <c r="C121" t="s">
        <v>35</v>
      </c>
      <c r="D121" s="8">
        <v>45960</v>
      </c>
      <c r="E121" s="8">
        <v>45965</v>
      </c>
      <c r="F121" s="8">
        <v>45969</v>
      </c>
      <c r="G121" s="8">
        <v>45976</v>
      </c>
      <c r="H121" t="s">
        <v>22</v>
      </c>
      <c r="J121" s="8">
        <v>45992</v>
      </c>
      <c r="K121">
        <v>5</v>
      </c>
      <c r="L121">
        <v>4</v>
      </c>
      <c r="M121">
        <v>7</v>
      </c>
      <c r="N121">
        <v>2</v>
      </c>
      <c r="O121">
        <v>1</v>
      </c>
      <c r="P121">
        <v>1</v>
      </c>
      <c r="Q121">
        <v>1</v>
      </c>
      <c r="R121">
        <v>1</v>
      </c>
      <c r="S121" t="s">
        <v>1056</v>
      </c>
    </row>
    <row r="122" spans="1:19">
      <c r="A122" t="s">
        <v>371</v>
      </c>
      <c r="B122" t="s">
        <v>20</v>
      </c>
      <c r="C122" t="s">
        <v>21</v>
      </c>
      <c r="D122" s="8">
        <v>45957</v>
      </c>
      <c r="E122" s="8">
        <v>45960</v>
      </c>
      <c r="F122" s="8">
        <v>45965</v>
      </c>
      <c r="G122" s="8">
        <v>45968</v>
      </c>
      <c r="H122" t="s">
        <v>22</v>
      </c>
      <c r="J122" s="8">
        <v>45991</v>
      </c>
      <c r="K122">
        <v>3</v>
      </c>
      <c r="L122">
        <v>5</v>
      </c>
      <c r="M122">
        <v>3</v>
      </c>
      <c r="N122">
        <v>3</v>
      </c>
      <c r="O122">
        <v>1</v>
      </c>
      <c r="P122">
        <v>1</v>
      </c>
      <c r="Q122">
        <v>1</v>
      </c>
      <c r="R122">
        <v>1</v>
      </c>
      <c r="S122" t="s">
        <v>1056</v>
      </c>
    </row>
    <row r="123" spans="1:19">
      <c r="A123" t="s">
        <v>390</v>
      </c>
      <c r="B123" t="s">
        <v>20</v>
      </c>
      <c r="C123" t="s">
        <v>21</v>
      </c>
      <c r="D123" s="8">
        <v>45943</v>
      </c>
      <c r="E123" s="8">
        <v>45944</v>
      </c>
      <c r="F123" s="8">
        <v>45948</v>
      </c>
      <c r="G123" s="8">
        <v>45951</v>
      </c>
      <c r="H123" t="s">
        <v>22</v>
      </c>
      <c r="J123" s="8">
        <v>45971</v>
      </c>
      <c r="K123">
        <v>1</v>
      </c>
      <c r="L123">
        <v>4</v>
      </c>
      <c r="M123">
        <v>3</v>
      </c>
      <c r="N123">
        <v>3</v>
      </c>
      <c r="O123">
        <v>1</v>
      </c>
      <c r="P123">
        <v>1</v>
      </c>
      <c r="Q123">
        <v>1</v>
      </c>
      <c r="R123">
        <v>1</v>
      </c>
      <c r="S123" t="s">
        <v>1056</v>
      </c>
    </row>
    <row r="124" spans="1:19">
      <c r="A124" t="s">
        <v>397</v>
      </c>
      <c r="B124" t="s">
        <v>20</v>
      </c>
      <c r="C124" t="s">
        <v>21</v>
      </c>
      <c r="D124" s="8">
        <v>45941</v>
      </c>
      <c r="E124" s="8">
        <v>45946</v>
      </c>
      <c r="F124" s="8">
        <v>45948</v>
      </c>
      <c r="G124" s="8">
        <v>45950</v>
      </c>
      <c r="H124" t="s">
        <v>22</v>
      </c>
      <c r="J124" s="8">
        <v>45978</v>
      </c>
      <c r="K124">
        <v>5</v>
      </c>
      <c r="L124">
        <v>2</v>
      </c>
      <c r="M124">
        <v>2</v>
      </c>
      <c r="N124">
        <v>5</v>
      </c>
      <c r="O124">
        <v>1</v>
      </c>
      <c r="P124">
        <v>1</v>
      </c>
      <c r="Q124">
        <v>1</v>
      </c>
      <c r="R124">
        <v>1</v>
      </c>
      <c r="S124" t="s">
        <v>1056</v>
      </c>
    </row>
    <row r="125" spans="1:19">
      <c r="A125" t="s">
        <v>399</v>
      </c>
      <c r="B125" t="s">
        <v>20</v>
      </c>
      <c r="C125" t="s">
        <v>21</v>
      </c>
      <c r="D125" s="8">
        <v>45941</v>
      </c>
      <c r="E125" s="8">
        <v>45945</v>
      </c>
      <c r="F125" s="8">
        <v>45946</v>
      </c>
      <c r="G125" s="8">
        <v>45951</v>
      </c>
      <c r="H125" t="s">
        <v>22</v>
      </c>
      <c r="J125" s="8">
        <v>45974</v>
      </c>
      <c r="K125">
        <v>4</v>
      </c>
      <c r="L125">
        <v>1</v>
      </c>
      <c r="M125">
        <v>5</v>
      </c>
      <c r="N125">
        <v>3</v>
      </c>
      <c r="O125">
        <v>1</v>
      </c>
      <c r="P125">
        <v>1</v>
      </c>
      <c r="Q125">
        <v>1</v>
      </c>
      <c r="R125">
        <v>1</v>
      </c>
      <c r="S125" t="s">
        <v>1056</v>
      </c>
    </row>
    <row r="126" spans="1:19">
      <c r="A126" t="s">
        <v>406</v>
      </c>
      <c r="B126" t="s">
        <v>20</v>
      </c>
      <c r="C126" t="s">
        <v>21</v>
      </c>
      <c r="D126" s="8">
        <v>45931</v>
      </c>
      <c r="E126" s="8">
        <v>45933</v>
      </c>
      <c r="F126" s="8">
        <v>45934</v>
      </c>
      <c r="G126" s="8">
        <v>45939</v>
      </c>
      <c r="H126" t="s">
        <v>22</v>
      </c>
      <c r="J126" s="8">
        <v>45967</v>
      </c>
      <c r="K126">
        <v>2</v>
      </c>
      <c r="L126">
        <v>1</v>
      </c>
      <c r="M126">
        <v>5</v>
      </c>
      <c r="N126">
        <v>2</v>
      </c>
      <c r="O126">
        <v>1</v>
      </c>
      <c r="P126">
        <v>1</v>
      </c>
      <c r="Q126">
        <v>1</v>
      </c>
      <c r="R126">
        <v>1</v>
      </c>
      <c r="S126" t="s">
        <v>1056</v>
      </c>
    </row>
    <row r="127" spans="1:19">
      <c r="A127" t="s">
        <v>421</v>
      </c>
      <c r="B127" t="s">
        <v>20</v>
      </c>
      <c r="C127" t="s">
        <v>21</v>
      </c>
      <c r="D127" s="8">
        <v>45955</v>
      </c>
      <c r="E127" s="8">
        <v>45956</v>
      </c>
      <c r="F127" s="8">
        <v>45959</v>
      </c>
      <c r="G127" s="8">
        <v>45961</v>
      </c>
      <c r="H127" t="s">
        <v>22</v>
      </c>
      <c r="J127" s="8">
        <v>45979</v>
      </c>
      <c r="K127">
        <v>1</v>
      </c>
      <c r="L127">
        <v>3</v>
      </c>
      <c r="M127">
        <v>2</v>
      </c>
      <c r="N127">
        <v>3</v>
      </c>
      <c r="O127">
        <v>1</v>
      </c>
      <c r="P127">
        <v>1</v>
      </c>
      <c r="Q127">
        <v>1</v>
      </c>
      <c r="R127">
        <v>1</v>
      </c>
      <c r="S127" t="s">
        <v>1056</v>
      </c>
    </row>
    <row r="128" spans="1:19">
      <c r="A128" t="s">
        <v>424</v>
      </c>
      <c r="B128" t="s">
        <v>20</v>
      </c>
      <c r="C128" t="s">
        <v>21</v>
      </c>
      <c r="D128" s="8">
        <v>45939</v>
      </c>
      <c r="E128" s="8">
        <v>45941</v>
      </c>
      <c r="F128" s="8">
        <v>45942</v>
      </c>
      <c r="G128" s="8">
        <v>45944</v>
      </c>
      <c r="H128" t="s">
        <v>22</v>
      </c>
      <c r="J128" s="8">
        <v>45969</v>
      </c>
      <c r="K128">
        <v>2</v>
      </c>
      <c r="L128">
        <v>1</v>
      </c>
      <c r="M128">
        <v>2</v>
      </c>
      <c r="N128">
        <v>4</v>
      </c>
      <c r="O128">
        <v>1</v>
      </c>
      <c r="P128">
        <v>1</v>
      </c>
      <c r="Q128">
        <v>1</v>
      </c>
      <c r="R128">
        <v>1</v>
      </c>
      <c r="S128" t="s">
        <v>1056</v>
      </c>
    </row>
    <row r="129" spans="1:19">
      <c r="A129" t="s">
        <v>429</v>
      </c>
      <c r="B129" t="s">
        <v>20</v>
      </c>
      <c r="C129" t="s">
        <v>21</v>
      </c>
      <c r="D129" s="8">
        <v>45945</v>
      </c>
      <c r="E129" s="8">
        <v>45947</v>
      </c>
      <c r="F129" s="8">
        <v>45949</v>
      </c>
      <c r="G129" s="8">
        <v>45952</v>
      </c>
      <c r="H129" t="s">
        <v>22</v>
      </c>
      <c r="J129" s="8">
        <v>45963</v>
      </c>
      <c r="K129">
        <v>2</v>
      </c>
      <c r="L129">
        <v>2</v>
      </c>
      <c r="M129">
        <v>3</v>
      </c>
      <c r="N129">
        <v>6</v>
      </c>
      <c r="O129">
        <v>1</v>
      </c>
      <c r="P129">
        <v>1</v>
      </c>
      <c r="Q129">
        <v>1</v>
      </c>
      <c r="R129">
        <v>1</v>
      </c>
      <c r="S129" t="s">
        <v>1056</v>
      </c>
    </row>
    <row r="130" spans="1:19">
      <c r="A130" t="s">
        <v>442</v>
      </c>
      <c r="B130" t="s">
        <v>20</v>
      </c>
      <c r="C130" t="s">
        <v>35</v>
      </c>
      <c r="D130" s="8">
        <v>45948</v>
      </c>
      <c r="E130" s="8">
        <v>45951</v>
      </c>
      <c r="F130" s="8">
        <v>45955</v>
      </c>
      <c r="G130" s="8">
        <v>45962</v>
      </c>
      <c r="H130" t="s">
        <v>22</v>
      </c>
      <c r="J130" s="8">
        <v>45984</v>
      </c>
      <c r="K130">
        <v>3</v>
      </c>
      <c r="L130">
        <v>4</v>
      </c>
      <c r="M130">
        <v>7</v>
      </c>
      <c r="N130">
        <v>1</v>
      </c>
      <c r="O130">
        <v>1</v>
      </c>
      <c r="P130">
        <v>1</v>
      </c>
      <c r="Q130">
        <v>1</v>
      </c>
      <c r="R130">
        <v>1</v>
      </c>
      <c r="S130" t="s">
        <v>1056</v>
      </c>
    </row>
    <row r="131" spans="1:19">
      <c r="A131" t="s">
        <v>443</v>
      </c>
      <c r="B131" t="s">
        <v>20</v>
      </c>
      <c r="C131" t="s">
        <v>35</v>
      </c>
      <c r="D131" s="8">
        <v>45931</v>
      </c>
      <c r="E131" s="8">
        <v>45935</v>
      </c>
      <c r="F131" s="8">
        <v>45939</v>
      </c>
      <c r="G131" s="8">
        <v>45942</v>
      </c>
      <c r="H131" t="s">
        <v>22</v>
      </c>
      <c r="J131" s="8">
        <v>45962</v>
      </c>
      <c r="K131">
        <v>4</v>
      </c>
      <c r="L131">
        <v>4</v>
      </c>
      <c r="M131">
        <v>3</v>
      </c>
      <c r="N131">
        <v>1</v>
      </c>
      <c r="O131">
        <v>1</v>
      </c>
      <c r="P131">
        <v>1</v>
      </c>
      <c r="Q131">
        <v>1</v>
      </c>
      <c r="R131">
        <v>1</v>
      </c>
      <c r="S131" t="s">
        <v>1056</v>
      </c>
    </row>
    <row r="132" spans="1:19">
      <c r="A132" t="s">
        <v>452</v>
      </c>
      <c r="B132" t="s">
        <v>20</v>
      </c>
      <c r="C132" t="s">
        <v>21</v>
      </c>
      <c r="D132" s="8">
        <v>45961</v>
      </c>
      <c r="E132" s="8">
        <v>45965</v>
      </c>
      <c r="F132" s="8">
        <v>45970</v>
      </c>
      <c r="G132" s="8">
        <v>45976</v>
      </c>
      <c r="H132" t="s">
        <v>22</v>
      </c>
      <c r="J132" s="8">
        <v>45995</v>
      </c>
      <c r="K132">
        <v>4</v>
      </c>
      <c r="L132">
        <v>5</v>
      </c>
      <c r="M132">
        <v>6</v>
      </c>
      <c r="N132">
        <v>5</v>
      </c>
      <c r="O132">
        <v>1</v>
      </c>
      <c r="P132">
        <v>1</v>
      </c>
      <c r="Q132">
        <v>1</v>
      </c>
      <c r="R132">
        <v>1</v>
      </c>
      <c r="S132" t="s">
        <v>1056</v>
      </c>
    </row>
    <row r="133" spans="1:19">
      <c r="A133" t="s">
        <v>453</v>
      </c>
      <c r="B133" t="s">
        <v>20</v>
      </c>
      <c r="C133" t="s">
        <v>21</v>
      </c>
      <c r="D133" s="8">
        <v>45934</v>
      </c>
      <c r="E133" s="8">
        <v>45938</v>
      </c>
      <c r="F133" s="8">
        <v>45941</v>
      </c>
      <c r="G133" s="8">
        <v>45948</v>
      </c>
      <c r="H133" t="s">
        <v>22</v>
      </c>
      <c r="J133" s="8">
        <v>45967</v>
      </c>
      <c r="K133">
        <v>4</v>
      </c>
      <c r="L133">
        <v>3</v>
      </c>
      <c r="M133">
        <v>7</v>
      </c>
      <c r="N133">
        <v>1</v>
      </c>
      <c r="O133">
        <v>1</v>
      </c>
      <c r="P133">
        <v>1</v>
      </c>
      <c r="Q133">
        <v>1</v>
      </c>
      <c r="R133">
        <v>1</v>
      </c>
      <c r="S133" t="s">
        <v>1056</v>
      </c>
    </row>
    <row r="134" spans="1:19">
      <c r="A134" t="s">
        <v>459</v>
      </c>
      <c r="B134" t="s">
        <v>20</v>
      </c>
      <c r="C134" t="s">
        <v>21</v>
      </c>
      <c r="D134" s="8">
        <v>45953</v>
      </c>
      <c r="E134" s="8">
        <v>45957</v>
      </c>
      <c r="F134" s="8">
        <v>45960</v>
      </c>
      <c r="G134" s="8">
        <v>45963</v>
      </c>
      <c r="H134" t="s">
        <v>22</v>
      </c>
      <c r="J134" s="8">
        <v>45977</v>
      </c>
      <c r="K134">
        <v>4</v>
      </c>
      <c r="L134">
        <v>3</v>
      </c>
      <c r="M134">
        <v>3</v>
      </c>
      <c r="N134">
        <v>6</v>
      </c>
      <c r="O134">
        <v>1</v>
      </c>
      <c r="P134">
        <v>1</v>
      </c>
      <c r="Q134">
        <v>1</v>
      </c>
      <c r="R134">
        <v>1</v>
      </c>
      <c r="S134" t="s">
        <v>1056</v>
      </c>
    </row>
    <row r="135" spans="1:19">
      <c r="A135" t="s">
        <v>462</v>
      </c>
      <c r="B135" t="s">
        <v>20</v>
      </c>
      <c r="C135" t="s">
        <v>35</v>
      </c>
      <c r="D135" s="8">
        <v>45953</v>
      </c>
      <c r="E135" s="8">
        <v>45958</v>
      </c>
      <c r="F135" s="8">
        <v>45960</v>
      </c>
      <c r="G135" s="8">
        <v>45967</v>
      </c>
      <c r="H135" t="s">
        <v>22</v>
      </c>
      <c r="J135" s="8">
        <v>45987</v>
      </c>
      <c r="K135">
        <v>5</v>
      </c>
      <c r="L135">
        <v>2</v>
      </c>
      <c r="M135">
        <v>7</v>
      </c>
      <c r="N135">
        <v>6</v>
      </c>
      <c r="O135">
        <v>1</v>
      </c>
      <c r="P135">
        <v>1</v>
      </c>
      <c r="Q135">
        <v>1</v>
      </c>
      <c r="R135">
        <v>1</v>
      </c>
      <c r="S135" t="s">
        <v>1056</v>
      </c>
    </row>
    <row r="136" spans="1:19">
      <c r="A136" t="s">
        <v>467</v>
      </c>
      <c r="B136" t="s">
        <v>20</v>
      </c>
      <c r="C136" t="s">
        <v>35</v>
      </c>
      <c r="D136" s="8">
        <v>45946</v>
      </c>
      <c r="E136" s="8">
        <v>45950</v>
      </c>
      <c r="F136" s="8">
        <v>45951</v>
      </c>
      <c r="G136" s="8">
        <v>45955</v>
      </c>
      <c r="H136" t="s">
        <v>22</v>
      </c>
      <c r="J136" s="8">
        <v>45985</v>
      </c>
      <c r="K136">
        <v>4</v>
      </c>
      <c r="L136">
        <v>1</v>
      </c>
      <c r="M136">
        <v>4</v>
      </c>
      <c r="N136">
        <v>3</v>
      </c>
      <c r="O136">
        <v>1</v>
      </c>
      <c r="P136">
        <v>1</v>
      </c>
      <c r="Q136">
        <v>1</v>
      </c>
      <c r="R136">
        <v>1</v>
      </c>
      <c r="S136" t="s">
        <v>1056</v>
      </c>
    </row>
    <row r="137" spans="1:19">
      <c r="A137" t="s">
        <v>473</v>
      </c>
      <c r="B137" t="s">
        <v>20</v>
      </c>
      <c r="C137" t="s">
        <v>35</v>
      </c>
      <c r="D137" s="8">
        <v>45937</v>
      </c>
      <c r="E137" s="8">
        <v>45938</v>
      </c>
      <c r="F137" s="8">
        <v>45943</v>
      </c>
      <c r="G137" s="8">
        <v>45945</v>
      </c>
      <c r="H137" t="s">
        <v>22</v>
      </c>
      <c r="J137" s="8">
        <v>45968</v>
      </c>
      <c r="K137">
        <v>1</v>
      </c>
      <c r="L137">
        <v>5</v>
      </c>
      <c r="M137">
        <v>2</v>
      </c>
      <c r="N137">
        <v>1</v>
      </c>
      <c r="O137">
        <v>1</v>
      </c>
      <c r="P137">
        <v>1</v>
      </c>
      <c r="Q137">
        <v>1</v>
      </c>
      <c r="R137">
        <v>1</v>
      </c>
      <c r="S137" t="s">
        <v>1056</v>
      </c>
    </row>
    <row r="138" spans="1:19">
      <c r="A138" t="s">
        <v>476</v>
      </c>
      <c r="B138" t="s">
        <v>20</v>
      </c>
      <c r="C138" t="s">
        <v>21</v>
      </c>
      <c r="D138" s="8">
        <v>45947</v>
      </c>
      <c r="E138" s="8">
        <v>45948</v>
      </c>
      <c r="F138" s="8">
        <v>45949</v>
      </c>
      <c r="G138" s="8">
        <v>45955</v>
      </c>
      <c r="H138" t="s">
        <v>22</v>
      </c>
      <c r="J138" s="8">
        <v>45981</v>
      </c>
      <c r="K138">
        <v>1</v>
      </c>
      <c r="L138">
        <v>1</v>
      </c>
      <c r="M138">
        <v>6</v>
      </c>
      <c r="N138">
        <v>6</v>
      </c>
      <c r="O138">
        <v>1</v>
      </c>
      <c r="P138">
        <v>1</v>
      </c>
      <c r="Q138">
        <v>1</v>
      </c>
      <c r="R138">
        <v>1</v>
      </c>
      <c r="S138" t="s">
        <v>1056</v>
      </c>
    </row>
    <row r="139" spans="1:19">
      <c r="A139" t="s">
        <v>482</v>
      </c>
      <c r="B139" t="s">
        <v>20</v>
      </c>
      <c r="C139" t="s">
        <v>35</v>
      </c>
      <c r="D139" s="8">
        <v>45939</v>
      </c>
      <c r="E139" s="8">
        <v>45944</v>
      </c>
      <c r="F139" s="8">
        <v>45947</v>
      </c>
      <c r="G139" s="8">
        <v>45953</v>
      </c>
      <c r="H139" t="s">
        <v>22</v>
      </c>
      <c r="J139" s="8">
        <v>45979</v>
      </c>
      <c r="K139">
        <v>5</v>
      </c>
      <c r="L139">
        <v>3</v>
      </c>
      <c r="M139">
        <v>6</v>
      </c>
      <c r="N139">
        <v>3</v>
      </c>
      <c r="O139">
        <v>1</v>
      </c>
      <c r="P139">
        <v>1</v>
      </c>
      <c r="Q139">
        <v>1</v>
      </c>
      <c r="R139">
        <v>1</v>
      </c>
      <c r="S139" t="s">
        <v>1056</v>
      </c>
    </row>
    <row r="140" spans="1:19">
      <c r="A140" t="s">
        <v>483</v>
      </c>
      <c r="B140" t="s">
        <v>20</v>
      </c>
      <c r="C140" t="s">
        <v>21</v>
      </c>
      <c r="D140" s="8">
        <v>45955</v>
      </c>
      <c r="E140" s="8">
        <v>45957</v>
      </c>
      <c r="F140" s="8">
        <v>45961</v>
      </c>
      <c r="G140" s="8">
        <v>45965</v>
      </c>
      <c r="H140" t="s">
        <v>22</v>
      </c>
      <c r="J140" s="8">
        <v>45980</v>
      </c>
      <c r="K140">
        <v>2</v>
      </c>
      <c r="L140">
        <v>4</v>
      </c>
      <c r="M140">
        <v>4</v>
      </c>
      <c r="N140">
        <v>0</v>
      </c>
      <c r="O140">
        <v>1</v>
      </c>
      <c r="P140">
        <v>1</v>
      </c>
      <c r="Q140">
        <v>1</v>
      </c>
      <c r="R140">
        <v>1</v>
      </c>
      <c r="S140" t="s">
        <v>1056</v>
      </c>
    </row>
    <row r="141" spans="1:19">
      <c r="A141" t="s">
        <v>491</v>
      </c>
      <c r="B141" t="s">
        <v>20</v>
      </c>
      <c r="C141" t="s">
        <v>35</v>
      </c>
      <c r="D141" s="8">
        <v>45939</v>
      </c>
      <c r="E141" s="8">
        <v>45942</v>
      </c>
      <c r="F141" s="8">
        <v>45944</v>
      </c>
      <c r="G141" s="8">
        <v>45947</v>
      </c>
      <c r="H141" t="s">
        <v>22</v>
      </c>
      <c r="J141" s="8">
        <v>45969</v>
      </c>
      <c r="K141">
        <v>3</v>
      </c>
      <c r="L141">
        <v>2</v>
      </c>
      <c r="M141">
        <v>3</v>
      </c>
      <c r="N141">
        <v>5</v>
      </c>
      <c r="O141">
        <v>1</v>
      </c>
      <c r="P141">
        <v>1</v>
      </c>
      <c r="Q141">
        <v>1</v>
      </c>
      <c r="R141">
        <v>1</v>
      </c>
      <c r="S141" t="s">
        <v>1056</v>
      </c>
    </row>
    <row r="142" spans="1:19">
      <c r="A142" t="s">
        <v>492</v>
      </c>
      <c r="B142" t="s">
        <v>20</v>
      </c>
      <c r="C142" t="s">
        <v>21</v>
      </c>
      <c r="D142" s="8">
        <v>45957</v>
      </c>
      <c r="E142" s="8">
        <v>45958</v>
      </c>
      <c r="F142" s="8">
        <v>45963</v>
      </c>
      <c r="G142" s="8">
        <v>45969</v>
      </c>
      <c r="H142" t="s">
        <v>22</v>
      </c>
      <c r="J142" s="8">
        <v>45983</v>
      </c>
      <c r="K142">
        <v>1</v>
      </c>
      <c r="L142">
        <v>5</v>
      </c>
      <c r="M142">
        <v>6</v>
      </c>
      <c r="N142">
        <v>1</v>
      </c>
      <c r="O142">
        <v>1</v>
      </c>
      <c r="P142">
        <v>1</v>
      </c>
      <c r="Q142">
        <v>1</v>
      </c>
      <c r="R142">
        <v>1</v>
      </c>
      <c r="S142" t="s">
        <v>1056</v>
      </c>
    </row>
    <row r="143" spans="1:19">
      <c r="A143" t="s">
        <v>509</v>
      </c>
      <c r="B143" t="s">
        <v>20</v>
      </c>
      <c r="C143" t="s">
        <v>35</v>
      </c>
      <c r="D143" s="8">
        <v>45948</v>
      </c>
      <c r="E143" s="8">
        <v>45949</v>
      </c>
      <c r="F143" s="8">
        <v>45954</v>
      </c>
      <c r="G143" s="8">
        <v>45959</v>
      </c>
      <c r="H143" t="s">
        <v>22</v>
      </c>
      <c r="J143" s="8">
        <v>45970</v>
      </c>
      <c r="K143">
        <v>1</v>
      </c>
      <c r="L143">
        <v>5</v>
      </c>
      <c r="M143">
        <v>5</v>
      </c>
      <c r="N143">
        <v>2</v>
      </c>
      <c r="O143">
        <v>1</v>
      </c>
      <c r="P143">
        <v>1</v>
      </c>
      <c r="Q143">
        <v>1</v>
      </c>
      <c r="R143">
        <v>1</v>
      </c>
      <c r="S143" t="s">
        <v>1056</v>
      </c>
    </row>
    <row r="144" spans="1:19">
      <c r="A144" t="s">
        <v>517</v>
      </c>
      <c r="B144" t="s">
        <v>20</v>
      </c>
      <c r="C144" t="s">
        <v>21</v>
      </c>
      <c r="D144" s="8">
        <v>45937</v>
      </c>
      <c r="E144" s="8">
        <v>45941</v>
      </c>
      <c r="F144" s="8">
        <v>45942</v>
      </c>
      <c r="G144" s="8">
        <v>45944</v>
      </c>
      <c r="H144" t="s">
        <v>22</v>
      </c>
      <c r="J144" s="8">
        <v>45965</v>
      </c>
      <c r="K144">
        <v>4</v>
      </c>
      <c r="L144">
        <v>1</v>
      </c>
      <c r="M144">
        <v>2</v>
      </c>
      <c r="N144">
        <v>6</v>
      </c>
      <c r="O144">
        <v>1</v>
      </c>
      <c r="P144">
        <v>1</v>
      </c>
      <c r="Q144">
        <v>1</v>
      </c>
      <c r="R144">
        <v>1</v>
      </c>
      <c r="S144" t="s">
        <v>1056</v>
      </c>
    </row>
    <row r="145" spans="1:19">
      <c r="A145" t="s">
        <v>534</v>
      </c>
      <c r="B145" t="s">
        <v>20</v>
      </c>
      <c r="C145" t="s">
        <v>35</v>
      </c>
      <c r="D145" s="8">
        <v>45943</v>
      </c>
      <c r="E145" s="8">
        <v>45948</v>
      </c>
      <c r="F145" s="8">
        <v>45950</v>
      </c>
      <c r="G145" s="8">
        <v>45952</v>
      </c>
      <c r="H145" t="s">
        <v>22</v>
      </c>
      <c r="J145" s="8">
        <v>45976</v>
      </c>
      <c r="K145">
        <v>5</v>
      </c>
      <c r="L145">
        <v>2</v>
      </c>
      <c r="M145">
        <v>2</v>
      </c>
      <c r="N145">
        <v>4</v>
      </c>
      <c r="O145">
        <v>1</v>
      </c>
      <c r="P145">
        <v>1</v>
      </c>
      <c r="Q145">
        <v>1</v>
      </c>
      <c r="R145">
        <v>1</v>
      </c>
      <c r="S145" t="s">
        <v>1056</v>
      </c>
    </row>
    <row r="146" spans="1:19">
      <c r="A146" t="s">
        <v>535</v>
      </c>
      <c r="B146" t="s">
        <v>20</v>
      </c>
      <c r="C146" t="s">
        <v>21</v>
      </c>
      <c r="D146" s="8">
        <v>45952</v>
      </c>
      <c r="E146" s="8">
        <v>45956</v>
      </c>
      <c r="F146" s="8">
        <v>45961</v>
      </c>
      <c r="G146" s="8">
        <v>45967</v>
      </c>
      <c r="H146" t="s">
        <v>22</v>
      </c>
      <c r="J146" s="8">
        <v>45982</v>
      </c>
      <c r="K146">
        <v>4</v>
      </c>
      <c r="L146">
        <v>5</v>
      </c>
      <c r="M146">
        <v>6</v>
      </c>
      <c r="N146">
        <v>5</v>
      </c>
      <c r="O146">
        <v>1</v>
      </c>
      <c r="P146">
        <v>1</v>
      </c>
      <c r="Q146">
        <v>1</v>
      </c>
      <c r="R146">
        <v>1</v>
      </c>
      <c r="S146" t="s">
        <v>1056</v>
      </c>
    </row>
    <row r="147" spans="1:19">
      <c r="A147" t="s">
        <v>546</v>
      </c>
      <c r="B147" t="s">
        <v>20</v>
      </c>
      <c r="C147" t="s">
        <v>21</v>
      </c>
      <c r="D147" s="8">
        <v>45949</v>
      </c>
      <c r="E147" s="8">
        <v>45953</v>
      </c>
      <c r="F147" s="8">
        <v>45955</v>
      </c>
      <c r="G147" s="8">
        <v>45961</v>
      </c>
      <c r="H147" t="s">
        <v>22</v>
      </c>
      <c r="J147" s="8">
        <v>45973</v>
      </c>
      <c r="K147">
        <v>4</v>
      </c>
      <c r="L147">
        <v>2</v>
      </c>
      <c r="M147">
        <v>6</v>
      </c>
      <c r="N147">
        <v>3</v>
      </c>
      <c r="O147">
        <v>1</v>
      </c>
      <c r="P147">
        <v>1</v>
      </c>
      <c r="Q147">
        <v>1</v>
      </c>
      <c r="R147">
        <v>1</v>
      </c>
      <c r="S147" t="s">
        <v>1056</v>
      </c>
    </row>
    <row r="148" spans="1:19">
      <c r="A148" t="s">
        <v>549</v>
      </c>
      <c r="B148" t="s">
        <v>20</v>
      </c>
      <c r="C148" t="s">
        <v>21</v>
      </c>
      <c r="D148" s="8">
        <v>45934</v>
      </c>
      <c r="E148" s="8">
        <v>45935</v>
      </c>
      <c r="F148" s="8">
        <v>45939</v>
      </c>
      <c r="G148" s="8">
        <v>45946</v>
      </c>
      <c r="H148" t="s">
        <v>22</v>
      </c>
      <c r="J148" s="8">
        <v>45956</v>
      </c>
      <c r="K148">
        <v>1</v>
      </c>
      <c r="L148">
        <v>4</v>
      </c>
      <c r="M148">
        <v>7</v>
      </c>
      <c r="N148">
        <v>2</v>
      </c>
      <c r="O148">
        <v>1</v>
      </c>
      <c r="P148">
        <v>1</v>
      </c>
      <c r="Q148">
        <v>1</v>
      </c>
      <c r="R148">
        <v>1</v>
      </c>
      <c r="S148" t="s">
        <v>1056</v>
      </c>
    </row>
    <row r="149" spans="1:19">
      <c r="A149" t="s">
        <v>570</v>
      </c>
      <c r="B149" t="s">
        <v>20</v>
      </c>
      <c r="C149" t="s">
        <v>35</v>
      </c>
      <c r="D149" s="8">
        <v>45953</v>
      </c>
      <c r="E149" s="8">
        <v>45957</v>
      </c>
      <c r="F149" s="8">
        <v>45961</v>
      </c>
      <c r="G149" s="8">
        <v>45964</v>
      </c>
      <c r="H149" t="s">
        <v>22</v>
      </c>
      <c r="J149" s="8">
        <v>45989</v>
      </c>
      <c r="K149">
        <v>4</v>
      </c>
      <c r="L149">
        <v>4</v>
      </c>
      <c r="M149">
        <v>3</v>
      </c>
      <c r="N149">
        <v>3</v>
      </c>
      <c r="O149">
        <v>1</v>
      </c>
      <c r="P149">
        <v>1</v>
      </c>
      <c r="Q149">
        <v>1</v>
      </c>
      <c r="R149">
        <v>1</v>
      </c>
      <c r="S149" t="s">
        <v>1056</v>
      </c>
    </row>
    <row r="150" spans="1:19">
      <c r="A150" t="s">
        <v>577</v>
      </c>
      <c r="B150" t="s">
        <v>20</v>
      </c>
      <c r="C150" t="s">
        <v>35</v>
      </c>
      <c r="D150" s="8">
        <v>45952</v>
      </c>
      <c r="E150" s="8">
        <v>45953</v>
      </c>
      <c r="F150" s="8">
        <v>45955</v>
      </c>
      <c r="G150" s="8">
        <v>45961</v>
      </c>
      <c r="H150" t="s">
        <v>22</v>
      </c>
      <c r="J150" s="8">
        <v>45990</v>
      </c>
      <c r="K150">
        <v>1</v>
      </c>
      <c r="L150">
        <v>2</v>
      </c>
      <c r="M150">
        <v>6</v>
      </c>
      <c r="N150">
        <v>1</v>
      </c>
      <c r="O150">
        <v>1</v>
      </c>
      <c r="P150">
        <v>1</v>
      </c>
      <c r="Q150">
        <v>1</v>
      </c>
      <c r="R150">
        <v>1</v>
      </c>
      <c r="S150" t="s">
        <v>1056</v>
      </c>
    </row>
    <row r="151" spans="1:19">
      <c r="A151" t="s">
        <v>604</v>
      </c>
      <c r="B151" t="s">
        <v>20</v>
      </c>
      <c r="C151" t="s">
        <v>21</v>
      </c>
      <c r="D151" s="8">
        <v>45951</v>
      </c>
      <c r="E151" s="8">
        <v>45954</v>
      </c>
      <c r="F151" s="8">
        <v>45959</v>
      </c>
      <c r="G151" s="8">
        <v>45966</v>
      </c>
      <c r="H151" t="s">
        <v>22</v>
      </c>
      <c r="J151" s="8">
        <v>45987</v>
      </c>
      <c r="K151">
        <v>3</v>
      </c>
      <c r="L151">
        <v>5</v>
      </c>
      <c r="M151">
        <v>7</v>
      </c>
      <c r="N151">
        <v>2</v>
      </c>
      <c r="O151">
        <v>1</v>
      </c>
      <c r="P151">
        <v>1</v>
      </c>
      <c r="Q151">
        <v>1</v>
      </c>
      <c r="R151">
        <v>1</v>
      </c>
      <c r="S151" t="s">
        <v>1056</v>
      </c>
    </row>
    <row r="152" spans="1:19">
      <c r="A152" t="s">
        <v>632</v>
      </c>
      <c r="B152" t="s">
        <v>20</v>
      </c>
      <c r="C152" t="s">
        <v>21</v>
      </c>
      <c r="D152" s="8">
        <v>45933</v>
      </c>
      <c r="E152" s="8">
        <v>45936</v>
      </c>
      <c r="F152" s="8">
        <v>45938</v>
      </c>
      <c r="G152" s="8">
        <v>45942</v>
      </c>
      <c r="H152" t="s">
        <v>22</v>
      </c>
      <c r="J152" s="8">
        <v>45959</v>
      </c>
      <c r="K152">
        <v>3</v>
      </c>
      <c r="L152">
        <v>2</v>
      </c>
      <c r="M152">
        <v>4</v>
      </c>
      <c r="N152">
        <v>4</v>
      </c>
      <c r="O152">
        <v>1</v>
      </c>
      <c r="P152">
        <v>1</v>
      </c>
      <c r="Q152">
        <v>1</v>
      </c>
      <c r="R152">
        <v>1</v>
      </c>
      <c r="S152" t="s">
        <v>1056</v>
      </c>
    </row>
    <row r="153" spans="1:19">
      <c r="A153" t="s">
        <v>639</v>
      </c>
      <c r="B153" t="s">
        <v>20</v>
      </c>
      <c r="C153" t="s">
        <v>21</v>
      </c>
      <c r="D153" s="8">
        <v>45946</v>
      </c>
      <c r="E153" s="8">
        <v>45950</v>
      </c>
      <c r="F153" s="8">
        <v>45955</v>
      </c>
      <c r="G153" s="8">
        <v>45962</v>
      </c>
      <c r="H153" t="s">
        <v>22</v>
      </c>
      <c r="J153" s="8">
        <v>45972</v>
      </c>
      <c r="K153">
        <v>4</v>
      </c>
      <c r="L153">
        <v>5</v>
      </c>
      <c r="M153">
        <v>7</v>
      </c>
      <c r="N153">
        <v>2</v>
      </c>
      <c r="O153">
        <v>1</v>
      </c>
      <c r="P153">
        <v>1</v>
      </c>
      <c r="Q153">
        <v>1</v>
      </c>
      <c r="R153">
        <v>1</v>
      </c>
      <c r="S153" t="s">
        <v>1056</v>
      </c>
    </row>
    <row r="154" spans="1:19">
      <c r="A154" t="s">
        <v>641</v>
      </c>
      <c r="B154" t="s">
        <v>20</v>
      </c>
      <c r="C154" t="s">
        <v>21</v>
      </c>
      <c r="D154" s="8">
        <v>45949</v>
      </c>
      <c r="E154" s="8">
        <v>45953</v>
      </c>
      <c r="F154" s="8">
        <v>45957</v>
      </c>
      <c r="G154" s="8">
        <v>45962</v>
      </c>
      <c r="H154" t="s">
        <v>22</v>
      </c>
      <c r="J154" s="8">
        <v>45987</v>
      </c>
      <c r="K154">
        <v>4</v>
      </c>
      <c r="L154">
        <v>4</v>
      </c>
      <c r="M154">
        <v>5</v>
      </c>
      <c r="N154">
        <v>0</v>
      </c>
      <c r="O154">
        <v>1</v>
      </c>
      <c r="P154">
        <v>1</v>
      </c>
      <c r="Q154">
        <v>1</v>
      </c>
      <c r="R154">
        <v>1</v>
      </c>
      <c r="S154" t="s">
        <v>1056</v>
      </c>
    </row>
    <row r="155" spans="1:19">
      <c r="A155" t="s">
        <v>642</v>
      </c>
      <c r="B155" t="s">
        <v>20</v>
      </c>
      <c r="C155" t="s">
        <v>35</v>
      </c>
      <c r="D155" s="8">
        <v>45935</v>
      </c>
      <c r="E155" s="8">
        <v>45939</v>
      </c>
      <c r="F155" s="8">
        <v>45940</v>
      </c>
      <c r="G155" s="8">
        <v>45945</v>
      </c>
      <c r="H155" t="s">
        <v>22</v>
      </c>
      <c r="J155" s="8">
        <v>45964</v>
      </c>
      <c r="K155">
        <v>4</v>
      </c>
      <c r="L155">
        <v>1</v>
      </c>
      <c r="M155">
        <v>5</v>
      </c>
      <c r="N155">
        <v>1</v>
      </c>
      <c r="O155">
        <v>1</v>
      </c>
      <c r="P155">
        <v>1</v>
      </c>
      <c r="Q155">
        <v>1</v>
      </c>
      <c r="R155">
        <v>1</v>
      </c>
      <c r="S155" t="s">
        <v>1056</v>
      </c>
    </row>
    <row r="156" spans="1:19">
      <c r="A156" t="s">
        <v>648</v>
      </c>
      <c r="B156" t="s">
        <v>20</v>
      </c>
      <c r="C156" t="s">
        <v>21</v>
      </c>
      <c r="D156" s="8">
        <v>45939</v>
      </c>
      <c r="E156" s="8">
        <v>45942</v>
      </c>
      <c r="F156" s="8">
        <v>45943</v>
      </c>
      <c r="G156" s="8">
        <v>45949</v>
      </c>
      <c r="H156" t="s">
        <v>22</v>
      </c>
      <c r="J156" s="8">
        <v>45960</v>
      </c>
      <c r="K156">
        <v>3</v>
      </c>
      <c r="L156">
        <v>1</v>
      </c>
      <c r="M156">
        <v>6</v>
      </c>
      <c r="N156">
        <v>6</v>
      </c>
      <c r="O156">
        <v>1</v>
      </c>
      <c r="P156">
        <v>1</v>
      </c>
      <c r="Q156">
        <v>1</v>
      </c>
      <c r="R156">
        <v>1</v>
      </c>
      <c r="S156" t="s">
        <v>1056</v>
      </c>
    </row>
    <row r="157" spans="1:19">
      <c r="A157" t="s">
        <v>649</v>
      </c>
      <c r="B157" t="s">
        <v>20</v>
      </c>
      <c r="C157" t="s">
        <v>21</v>
      </c>
      <c r="D157" s="8">
        <v>45952</v>
      </c>
      <c r="E157" s="8">
        <v>45957</v>
      </c>
      <c r="F157" s="8">
        <v>45958</v>
      </c>
      <c r="G157" s="8">
        <v>45961</v>
      </c>
      <c r="H157" t="s">
        <v>22</v>
      </c>
      <c r="J157" s="8">
        <v>45989</v>
      </c>
      <c r="K157">
        <v>5</v>
      </c>
      <c r="L157">
        <v>1</v>
      </c>
      <c r="M157">
        <v>3</v>
      </c>
      <c r="N157">
        <v>3</v>
      </c>
      <c r="O157">
        <v>1</v>
      </c>
      <c r="P157">
        <v>1</v>
      </c>
      <c r="Q157">
        <v>1</v>
      </c>
      <c r="R157">
        <v>1</v>
      </c>
      <c r="S157" t="s">
        <v>1056</v>
      </c>
    </row>
    <row r="158" spans="1:19">
      <c r="A158" t="s">
        <v>658</v>
      </c>
      <c r="B158" t="s">
        <v>20</v>
      </c>
      <c r="C158" t="s">
        <v>35</v>
      </c>
      <c r="D158" s="8">
        <v>45936</v>
      </c>
      <c r="E158" s="8">
        <v>45938</v>
      </c>
      <c r="F158" s="8">
        <v>45942</v>
      </c>
      <c r="G158" s="8">
        <v>45949</v>
      </c>
      <c r="H158" t="s">
        <v>22</v>
      </c>
      <c r="J158" s="8">
        <v>45976</v>
      </c>
      <c r="K158">
        <v>2</v>
      </c>
      <c r="L158">
        <v>4</v>
      </c>
      <c r="M158">
        <v>7</v>
      </c>
      <c r="N158">
        <v>0</v>
      </c>
      <c r="O158">
        <v>1</v>
      </c>
      <c r="P158">
        <v>1</v>
      </c>
      <c r="Q158">
        <v>1</v>
      </c>
      <c r="R158">
        <v>1</v>
      </c>
      <c r="S158" t="s">
        <v>1056</v>
      </c>
    </row>
    <row r="159" spans="1:19">
      <c r="A159" t="s">
        <v>659</v>
      </c>
      <c r="B159" t="s">
        <v>20</v>
      </c>
      <c r="C159" t="s">
        <v>21</v>
      </c>
      <c r="D159" s="8">
        <v>45933</v>
      </c>
      <c r="E159" s="8">
        <v>45938</v>
      </c>
      <c r="F159" s="8">
        <v>45940</v>
      </c>
      <c r="G159" s="8">
        <v>45942</v>
      </c>
      <c r="H159" t="s">
        <v>22</v>
      </c>
      <c r="J159" s="8">
        <v>45972</v>
      </c>
      <c r="K159">
        <v>5</v>
      </c>
      <c r="L159">
        <v>2</v>
      </c>
      <c r="M159">
        <v>2</v>
      </c>
      <c r="N159">
        <v>1</v>
      </c>
      <c r="O159">
        <v>1</v>
      </c>
      <c r="P159">
        <v>1</v>
      </c>
      <c r="Q159">
        <v>1</v>
      </c>
      <c r="R159">
        <v>1</v>
      </c>
      <c r="S159" t="s">
        <v>1056</v>
      </c>
    </row>
    <row r="160" spans="1:19">
      <c r="A160" t="s">
        <v>663</v>
      </c>
      <c r="B160" t="s">
        <v>20</v>
      </c>
      <c r="C160" t="s">
        <v>35</v>
      </c>
      <c r="D160" s="8">
        <v>45949</v>
      </c>
      <c r="E160" s="8">
        <v>45950</v>
      </c>
      <c r="F160" s="8">
        <v>45955</v>
      </c>
      <c r="G160" s="8">
        <v>45961</v>
      </c>
      <c r="H160" t="s">
        <v>22</v>
      </c>
      <c r="J160" s="8">
        <v>45982</v>
      </c>
      <c r="K160">
        <v>1</v>
      </c>
      <c r="L160">
        <v>5</v>
      </c>
      <c r="M160">
        <v>6</v>
      </c>
      <c r="N160">
        <v>1</v>
      </c>
      <c r="O160">
        <v>1</v>
      </c>
      <c r="P160">
        <v>1</v>
      </c>
      <c r="Q160">
        <v>1</v>
      </c>
      <c r="R160">
        <v>1</v>
      </c>
      <c r="S160" t="s">
        <v>1056</v>
      </c>
    </row>
    <row r="161" spans="1:19">
      <c r="A161" t="s">
        <v>666</v>
      </c>
      <c r="B161" t="s">
        <v>20</v>
      </c>
      <c r="C161" t="s">
        <v>21</v>
      </c>
      <c r="D161" s="8">
        <v>45961</v>
      </c>
      <c r="E161" s="8">
        <v>45964</v>
      </c>
      <c r="F161" s="8">
        <v>45966</v>
      </c>
      <c r="G161" s="8">
        <v>45968</v>
      </c>
      <c r="H161" t="s">
        <v>22</v>
      </c>
      <c r="J161" s="8">
        <v>45987</v>
      </c>
      <c r="K161">
        <v>3</v>
      </c>
      <c r="L161">
        <v>2</v>
      </c>
      <c r="M161">
        <v>2</v>
      </c>
      <c r="N161">
        <v>3</v>
      </c>
      <c r="O161">
        <v>1</v>
      </c>
      <c r="P161">
        <v>1</v>
      </c>
      <c r="Q161">
        <v>1</v>
      </c>
      <c r="R161">
        <v>1</v>
      </c>
      <c r="S161" t="s">
        <v>1056</v>
      </c>
    </row>
    <row r="162" spans="1:19">
      <c r="A162" t="s">
        <v>670</v>
      </c>
      <c r="B162" t="s">
        <v>20</v>
      </c>
      <c r="C162" t="s">
        <v>35</v>
      </c>
      <c r="D162" s="8">
        <v>45945</v>
      </c>
      <c r="E162" s="8">
        <v>45950</v>
      </c>
      <c r="F162" s="8">
        <v>45953</v>
      </c>
      <c r="G162" s="8">
        <v>45958</v>
      </c>
      <c r="H162" t="s">
        <v>22</v>
      </c>
      <c r="J162" s="8">
        <v>45973</v>
      </c>
      <c r="K162">
        <v>5</v>
      </c>
      <c r="L162">
        <v>3</v>
      </c>
      <c r="M162">
        <v>5</v>
      </c>
      <c r="N162">
        <v>2</v>
      </c>
      <c r="O162">
        <v>1</v>
      </c>
      <c r="P162">
        <v>1</v>
      </c>
      <c r="Q162">
        <v>1</v>
      </c>
      <c r="R162">
        <v>1</v>
      </c>
      <c r="S162" t="s">
        <v>1056</v>
      </c>
    </row>
    <row r="163" spans="1:19">
      <c r="A163" t="s">
        <v>680</v>
      </c>
      <c r="B163" t="s">
        <v>20</v>
      </c>
      <c r="C163" t="s">
        <v>21</v>
      </c>
      <c r="D163" s="8">
        <v>45949</v>
      </c>
      <c r="E163" s="8">
        <v>45953</v>
      </c>
      <c r="F163" s="8">
        <v>45955</v>
      </c>
      <c r="G163" s="8">
        <v>45962</v>
      </c>
      <c r="H163" t="s">
        <v>22</v>
      </c>
      <c r="J163" s="8">
        <v>45992</v>
      </c>
      <c r="K163">
        <v>4</v>
      </c>
      <c r="L163">
        <v>2</v>
      </c>
      <c r="M163">
        <v>7</v>
      </c>
      <c r="N163">
        <v>5</v>
      </c>
      <c r="O163">
        <v>1</v>
      </c>
      <c r="P163">
        <v>1</v>
      </c>
      <c r="Q163">
        <v>1</v>
      </c>
      <c r="R163">
        <v>1</v>
      </c>
      <c r="S163" t="s">
        <v>1056</v>
      </c>
    </row>
    <row r="164" spans="1:19">
      <c r="A164" t="s">
        <v>689</v>
      </c>
      <c r="B164" t="s">
        <v>20</v>
      </c>
      <c r="C164" t="s">
        <v>35</v>
      </c>
      <c r="D164" s="8">
        <v>45943</v>
      </c>
      <c r="E164" s="8">
        <v>45948</v>
      </c>
      <c r="F164" s="8">
        <v>45952</v>
      </c>
      <c r="G164" s="8">
        <v>45959</v>
      </c>
      <c r="H164" t="s">
        <v>22</v>
      </c>
      <c r="J164" s="8">
        <v>45980</v>
      </c>
      <c r="K164">
        <v>5</v>
      </c>
      <c r="L164">
        <v>4</v>
      </c>
      <c r="M164">
        <v>7</v>
      </c>
      <c r="N164">
        <v>2</v>
      </c>
      <c r="O164">
        <v>1</v>
      </c>
      <c r="P164">
        <v>1</v>
      </c>
      <c r="Q164">
        <v>1</v>
      </c>
      <c r="R164">
        <v>1</v>
      </c>
      <c r="S164" t="s">
        <v>1056</v>
      </c>
    </row>
    <row r="165" spans="1:19">
      <c r="A165" t="s">
        <v>693</v>
      </c>
      <c r="B165" t="s">
        <v>20</v>
      </c>
      <c r="C165" t="s">
        <v>21</v>
      </c>
      <c r="D165" s="8">
        <v>45958</v>
      </c>
      <c r="E165" s="8">
        <v>45963</v>
      </c>
      <c r="F165" s="8">
        <v>45967</v>
      </c>
      <c r="G165" s="8">
        <v>45973</v>
      </c>
      <c r="H165" t="s">
        <v>22</v>
      </c>
      <c r="J165" s="8">
        <v>45992</v>
      </c>
      <c r="K165">
        <v>5</v>
      </c>
      <c r="L165">
        <v>4</v>
      </c>
      <c r="M165">
        <v>6</v>
      </c>
      <c r="N165">
        <v>1</v>
      </c>
      <c r="O165">
        <v>1</v>
      </c>
      <c r="P165">
        <v>1</v>
      </c>
      <c r="Q165">
        <v>1</v>
      </c>
      <c r="R165">
        <v>1</v>
      </c>
      <c r="S165" t="s">
        <v>1056</v>
      </c>
    </row>
    <row r="166" spans="1:19">
      <c r="A166" t="s">
        <v>695</v>
      </c>
      <c r="B166" t="s">
        <v>20</v>
      </c>
      <c r="C166" t="s">
        <v>21</v>
      </c>
      <c r="D166" s="8">
        <v>45955</v>
      </c>
      <c r="E166" s="8">
        <v>45956</v>
      </c>
      <c r="F166" s="8">
        <v>45957</v>
      </c>
      <c r="G166" s="8">
        <v>45959</v>
      </c>
      <c r="H166" t="s">
        <v>22</v>
      </c>
      <c r="J166" s="8">
        <v>45979</v>
      </c>
      <c r="K166">
        <v>1</v>
      </c>
      <c r="L166">
        <v>1</v>
      </c>
      <c r="M166">
        <v>2</v>
      </c>
      <c r="N166">
        <v>5</v>
      </c>
      <c r="O166">
        <v>1</v>
      </c>
      <c r="P166">
        <v>1</v>
      </c>
      <c r="Q166">
        <v>1</v>
      </c>
      <c r="R166">
        <v>1</v>
      </c>
      <c r="S166" t="s">
        <v>1056</v>
      </c>
    </row>
    <row r="167" spans="1:19">
      <c r="A167" t="s">
        <v>696</v>
      </c>
      <c r="B167" t="s">
        <v>20</v>
      </c>
      <c r="C167" t="s">
        <v>21</v>
      </c>
      <c r="D167" s="8">
        <v>45954</v>
      </c>
      <c r="E167" s="8">
        <v>45956</v>
      </c>
      <c r="F167" s="8">
        <v>45958</v>
      </c>
      <c r="G167" s="8">
        <v>45964</v>
      </c>
      <c r="H167" t="s">
        <v>22</v>
      </c>
      <c r="J167" s="8">
        <v>45985</v>
      </c>
      <c r="K167">
        <v>2</v>
      </c>
      <c r="L167">
        <v>2</v>
      </c>
      <c r="M167">
        <v>6</v>
      </c>
      <c r="N167">
        <v>4</v>
      </c>
      <c r="O167">
        <v>1</v>
      </c>
      <c r="P167">
        <v>1</v>
      </c>
      <c r="Q167">
        <v>1</v>
      </c>
      <c r="R167">
        <v>1</v>
      </c>
      <c r="S167" t="s">
        <v>1056</v>
      </c>
    </row>
    <row r="168" spans="1:19">
      <c r="A168" t="s">
        <v>704</v>
      </c>
      <c r="B168" t="s">
        <v>20</v>
      </c>
      <c r="C168" t="s">
        <v>21</v>
      </c>
      <c r="D168" s="8">
        <v>45959</v>
      </c>
      <c r="E168" s="8">
        <v>45960</v>
      </c>
      <c r="F168" s="8">
        <v>45965</v>
      </c>
      <c r="G168" s="8">
        <v>45970</v>
      </c>
      <c r="H168" t="s">
        <v>22</v>
      </c>
      <c r="J168" s="8">
        <v>45995</v>
      </c>
      <c r="K168">
        <v>1</v>
      </c>
      <c r="L168">
        <v>5</v>
      </c>
      <c r="M168">
        <v>5</v>
      </c>
      <c r="N168">
        <v>0</v>
      </c>
      <c r="O168">
        <v>1</v>
      </c>
      <c r="P168">
        <v>1</v>
      </c>
      <c r="Q168">
        <v>1</v>
      </c>
      <c r="R168">
        <v>1</v>
      </c>
      <c r="S168" t="s">
        <v>1056</v>
      </c>
    </row>
    <row r="169" spans="1:19">
      <c r="A169" t="s">
        <v>705</v>
      </c>
      <c r="B169" t="s">
        <v>20</v>
      </c>
      <c r="C169" t="s">
        <v>35</v>
      </c>
      <c r="D169" s="8">
        <v>45940</v>
      </c>
      <c r="E169" s="8">
        <v>45945</v>
      </c>
      <c r="F169" s="8">
        <v>45946</v>
      </c>
      <c r="G169" s="8">
        <v>45948</v>
      </c>
      <c r="H169" t="s">
        <v>22</v>
      </c>
      <c r="J169" s="8">
        <v>45959</v>
      </c>
      <c r="K169">
        <v>5</v>
      </c>
      <c r="L169">
        <v>1</v>
      </c>
      <c r="M169">
        <v>2</v>
      </c>
      <c r="N169">
        <v>6</v>
      </c>
      <c r="O169">
        <v>1</v>
      </c>
      <c r="P169">
        <v>1</v>
      </c>
      <c r="Q169">
        <v>1</v>
      </c>
      <c r="R169">
        <v>1</v>
      </c>
      <c r="S169" t="s">
        <v>1056</v>
      </c>
    </row>
    <row r="170" spans="1:19">
      <c r="A170" t="s">
        <v>718</v>
      </c>
      <c r="B170" t="s">
        <v>20</v>
      </c>
      <c r="C170" t="s">
        <v>21</v>
      </c>
      <c r="D170" s="8">
        <v>45955</v>
      </c>
      <c r="E170" s="8">
        <v>45960</v>
      </c>
      <c r="F170" s="8">
        <v>45965</v>
      </c>
      <c r="G170" s="8">
        <v>45969</v>
      </c>
      <c r="H170" t="s">
        <v>22</v>
      </c>
      <c r="J170" s="8">
        <v>45995</v>
      </c>
      <c r="K170">
        <v>5</v>
      </c>
      <c r="L170">
        <v>5</v>
      </c>
      <c r="M170">
        <v>4</v>
      </c>
      <c r="N170">
        <v>5</v>
      </c>
      <c r="O170">
        <v>1</v>
      </c>
      <c r="P170">
        <v>1</v>
      </c>
      <c r="Q170">
        <v>1</v>
      </c>
      <c r="R170">
        <v>1</v>
      </c>
      <c r="S170" t="s">
        <v>1056</v>
      </c>
    </row>
    <row r="171" spans="1:19">
      <c r="A171" t="s">
        <v>722</v>
      </c>
      <c r="B171" t="s">
        <v>20</v>
      </c>
      <c r="C171" t="s">
        <v>35</v>
      </c>
      <c r="D171" s="8">
        <v>45952</v>
      </c>
      <c r="E171" s="8">
        <v>45956</v>
      </c>
      <c r="F171" s="8">
        <v>45957</v>
      </c>
      <c r="G171" s="8">
        <v>45961</v>
      </c>
      <c r="H171" t="s">
        <v>22</v>
      </c>
      <c r="J171" s="8">
        <v>45983</v>
      </c>
      <c r="K171">
        <v>4</v>
      </c>
      <c r="L171">
        <v>1</v>
      </c>
      <c r="M171">
        <v>4</v>
      </c>
      <c r="N171">
        <v>2</v>
      </c>
      <c r="O171">
        <v>1</v>
      </c>
      <c r="P171">
        <v>1</v>
      </c>
      <c r="Q171">
        <v>1</v>
      </c>
      <c r="R171">
        <v>1</v>
      </c>
      <c r="S171" t="s">
        <v>1056</v>
      </c>
    </row>
    <row r="172" spans="1:19">
      <c r="A172" t="s">
        <v>741</v>
      </c>
      <c r="B172" t="s">
        <v>20</v>
      </c>
      <c r="C172" t="s">
        <v>35</v>
      </c>
      <c r="D172" s="8">
        <v>45940</v>
      </c>
      <c r="E172" s="8">
        <v>45945</v>
      </c>
      <c r="F172" s="8">
        <v>45948</v>
      </c>
      <c r="G172" s="8">
        <v>45953</v>
      </c>
      <c r="H172" t="s">
        <v>22</v>
      </c>
      <c r="J172" s="8">
        <v>45968</v>
      </c>
      <c r="K172">
        <v>5</v>
      </c>
      <c r="L172">
        <v>3</v>
      </c>
      <c r="M172">
        <v>5</v>
      </c>
      <c r="N172">
        <v>2</v>
      </c>
      <c r="O172">
        <v>1</v>
      </c>
      <c r="P172">
        <v>1</v>
      </c>
      <c r="Q172">
        <v>1</v>
      </c>
      <c r="R172">
        <v>1</v>
      </c>
      <c r="S172" t="s">
        <v>1056</v>
      </c>
    </row>
    <row r="173" spans="1:19">
      <c r="A173" t="s">
        <v>756</v>
      </c>
      <c r="B173" t="s">
        <v>20</v>
      </c>
      <c r="C173" t="s">
        <v>35</v>
      </c>
      <c r="D173" s="8">
        <v>45957</v>
      </c>
      <c r="E173" s="8">
        <v>45962</v>
      </c>
      <c r="F173" s="8">
        <v>45966</v>
      </c>
      <c r="G173" s="8">
        <v>45968</v>
      </c>
      <c r="H173" t="s">
        <v>22</v>
      </c>
      <c r="J173" s="8">
        <v>45983</v>
      </c>
      <c r="K173">
        <v>5</v>
      </c>
      <c r="L173">
        <v>4</v>
      </c>
      <c r="M173">
        <v>2</v>
      </c>
      <c r="N173">
        <v>4</v>
      </c>
      <c r="O173">
        <v>1</v>
      </c>
      <c r="P173">
        <v>1</v>
      </c>
      <c r="Q173">
        <v>1</v>
      </c>
      <c r="R173">
        <v>1</v>
      </c>
      <c r="S173" t="s">
        <v>1056</v>
      </c>
    </row>
    <row r="174" spans="1:19">
      <c r="A174" t="s">
        <v>769</v>
      </c>
      <c r="B174" t="s">
        <v>20</v>
      </c>
      <c r="C174" t="s">
        <v>21</v>
      </c>
      <c r="D174" s="8">
        <v>45956</v>
      </c>
      <c r="E174" s="8">
        <v>45960</v>
      </c>
      <c r="F174" s="8">
        <v>45965</v>
      </c>
      <c r="G174" s="8">
        <v>45968</v>
      </c>
      <c r="H174" t="s">
        <v>22</v>
      </c>
      <c r="J174" s="8">
        <v>45978</v>
      </c>
      <c r="K174">
        <v>4</v>
      </c>
      <c r="L174">
        <v>5</v>
      </c>
      <c r="M174">
        <v>3</v>
      </c>
      <c r="N174">
        <v>0</v>
      </c>
      <c r="O174">
        <v>1</v>
      </c>
      <c r="P174">
        <v>1</v>
      </c>
      <c r="Q174">
        <v>1</v>
      </c>
      <c r="R174">
        <v>1</v>
      </c>
      <c r="S174" t="s">
        <v>1056</v>
      </c>
    </row>
    <row r="175" spans="1:19">
      <c r="A175" t="s">
        <v>776</v>
      </c>
      <c r="B175" t="s">
        <v>20</v>
      </c>
      <c r="C175" t="s">
        <v>21</v>
      </c>
      <c r="D175" s="8">
        <v>45961</v>
      </c>
      <c r="E175" s="8">
        <v>45965</v>
      </c>
      <c r="F175" s="8">
        <v>45966</v>
      </c>
      <c r="G175" s="8">
        <v>45973</v>
      </c>
      <c r="H175" t="s">
        <v>22</v>
      </c>
      <c r="J175" s="8">
        <v>45993</v>
      </c>
      <c r="K175">
        <v>4</v>
      </c>
      <c r="L175">
        <v>1</v>
      </c>
      <c r="M175">
        <v>7</v>
      </c>
      <c r="N175">
        <v>1</v>
      </c>
      <c r="O175">
        <v>1</v>
      </c>
      <c r="P175">
        <v>1</v>
      </c>
      <c r="Q175">
        <v>1</v>
      </c>
      <c r="R175">
        <v>1</v>
      </c>
      <c r="S175" t="s">
        <v>1056</v>
      </c>
    </row>
    <row r="176" spans="1:19">
      <c r="A176" t="s">
        <v>791</v>
      </c>
      <c r="B176" t="s">
        <v>20</v>
      </c>
      <c r="C176" t="s">
        <v>35</v>
      </c>
      <c r="D176" s="8">
        <v>45931</v>
      </c>
      <c r="E176" s="8">
        <v>45933</v>
      </c>
      <c r="F176" s="8">
        <v>45936</v>
      </c>
      <c r="G176" s="8">
        <v>45939</v>
      </c>
      <c r="H176" t="s">
        <v>22</v>
      </c>
      <c r="J176" s="8">
        <v>45965</v>
      </c>
      <c r="K176">
        <v>2</v>
      </c>
      <c r="L176">
        <v>3</v>
      </c>
      <c r="M176">
        <v>3</v>
      </c>
      <c r="N176">
        <v>6</v>
      </c>
      <c r="O176">
        <v>1</v>
      </c>
      <c r="P176">
        <v>1</v>
      </c>
      <c r="Q176">
        <v>1</v>
      </c>
      <c r="R176">
        <v>1</v>
      </c>
      <c r="S176" t="s">
        <v>1056</v>
      </c>
    </row>
    <row r="177" spans="1:19">
      <c r="A177" t="s">
        <v>812</v>
      </c>
      <c r="B177" t="s">
        <v>20</v>
      </c>
      <c r="C177" t="s">
        <v>21</v>
      </c>
      <c r="D177" s="8">
        <v>45950</v>
      </c>
      <c r="E177" s="8">
        <v>45955</v>
      </c>
      <c r="F177" s="8">
        <v>45956</v>
      </c>
      <c r="G177" s="8">
        <v>45958</v>
      </c>
      <c r="H177" t="s">
        <v>22</v>
      </c>
      <c r="J177" s="8">
        <v>45978</v>
      </c>
      <c r="K177">
        <v>5</v>
      </c>
      <c r="L177">
        <v>1</v>
      </c>
      <c r="M177">
        <v>2</v>
      </c>
      <c r="N177">
        <v>2</v>
      </c>
      <c r="O177">
        <v>1</v>
      </c>
      <c r="P177">
        <v>1</v>
      </c>
      <c r="Q177">
        <v>1</v>
      </c>
      <c r="R177">
        <v>1</v>
      </c>
      <c r="S177" t="s">
        <v>1056</v>
      </c>
    </row>
    <row r="178" spans="1:19">
      <c r="A178" t="s">
        <v>821</v>
      </c>
      <c r="B178" t="s">
        <v>20</v>
      </c>
      <c r="C178" t="s">
        <v>35</v>
      </c>
      <c r="D178" s="8">
        <v>45933</v>
      </c>
      <c r="E178" s="8">
        <v>45935</v>
      </c>
      <c r="F178" s="8">
        <v>45940</v>
      </c>
      <c r="G178" s="8">
        <v>45942</v>
      </c>
      <c r="H178" t="s">
        <v>22</v>
      </c>
      <c r="J178" s="8">
        <v>45958</v>
      </c>
      <c r="K178">
        <v>2</v>
      </c>
      <c r="L178">
        <v>5</v>
      </c>
      <c r="M178">
        <v>2</v>
      </c>
      <c r="N178">
        <v>3</v>
      </c>
      <c r="O178">
        <v>1</v>
      </c>
      <c r="P178">
        <v>1</v>
      </c>
      <c r="Q178">
        <v>1</v>
      </c>
      <c r="R178">
        <v>1</v>
      </c>
      <c r="S178" t="s">
        <v>1056</v>
      </c>
    </row>
    <row r="179" spans="1:19">
      <c r="A179" t="s">
        <v>823</v>
      </c>
      <c r="B179" t="s">
        <v>20</v>
      </c>
      <c r="C179" t="s">
        <v>21</v>
      </c>
      <c r="D179" s="8">
        <v>45957</v>
      </c>
      <c r="E179" s="8">
        <v>45960</v>
      </c>
      <c r="F179" s="8">
        <v>45964</v>
      </c>
      <c r="G179" s="8">
        <v>45969</v>
      </c>
      <c r="H179" t="s">
        <v>22</v>
      </c>
      <c r="J179" s="8">
        <v>45991</v>
      </c>
      <c r="K179">
        <v>3</v>
      </c>
      <c r="L179">
        <v>4</v>
      </c>
      <c r="M179">
        <v>5</v>
      </c>
      <c r="N179">
        <v>5</v>
      </c>
      <c r="O179">
        <v>1</v>
      </c>
      <c r="P179">
        <v>1</v>
      </c>
      <c r="Q179">
        <v>1</v>
      </c>
      <c r="R179">
        <v>1</v>
      </c>
      <c r="S179" t="s">
        <v>1056</v>
      </c>
    </row>
    <row r="180" spans="1:19">
      <c r="A180" t="s">
        <v>826</v>
      </c>
      <c r="B180" t="s">
        <v>20</v>
      </c>
      <c r="C180" t="s">
        <v>35</v>
      </c>
      <c r="D180" s="8">
        <v>45953</v>
      </c>
      <c r="E180" s="8">
        <v>45956</v>
      </c>
      <c r="F180" s="8">
        <v>45959</v>
      </c>
      <c r="G180" s="8">
        <v>45963</v>
      </c>
      <c r="H180" t="s">
        <v>22</v>
      </c>
      <c r="J180" s="8">
        <v>45980</v>
      </c>
      <c r="K180">
        <v>3</v>
      </c>
      <c r="L180">
        <v>3</v>
      </c>
      <c r="M180">
        <v>4</v>
      </c>
      <c r="N180">
        <v>1</v>
      </c>
      <c r="O180">
        <v>1</v>
      </c>
      <c r="P180">
        <v>1</v>
      </c>
      <c r="Q180">
        <v>1</v>
      </c>
      <c r="R180">
        <v>1</v>
      </c>
      <c r="S180" t="s">
        <v>1056</v>
      </c>
    </row>
    <row r="181" spans="1:19">
      <c r="A181" t="s">
        <v>847</v>
      </c>
      <c r="B181" t="s">
        <v>20</v>
      </c>
      <c r="C181" t="s">
        <v>21</v>
      </c>
      <c r="D181" s="8">
        <v>45961</v>
      </c>
      <c r="E181" s="8">
        <v>45966</v>
      </c>
      <c r="F181" s="8">
        <v>45970</v>
      </c>
      <c r="G181" s="8">
        <v>45977</v>
      </c>
      <c r="H181" t="s">
        <v>22</v>
      </c>
      <c r="J181" s="8">
        <v>45995</v>
      </c>
      <c r="K181">
        <v>5</v>
      </c>
      <c r="L181">
        <v>4</v>
      </c>
      <c r="M181">
        <v>7</v>
      </c>
      <c r="N181">
        <v>2</v>
      </c>
      <c r="O181">
        <v>1</v>
      </c>
      <c r="P181">
        <v>1</v>
      </c>
      <c r="Q181">
        <v>1</v>
      </c>
      <c r="R181">
        <v>1</v>
      </c>
      <c r="S181" t="s">
        <v>1056</v>
      </c>
    </row>
    <row r="182" spans="1:19">
      <c r="A182" t="s">
        <v>853</v>
      </c>
      <c r="B182" t="s">
        <v>20</v>
      </c>
      <c r="C182" t="s">
        <v>21</v>
      </c>
      <c r="D182" s="8">
        <v>45949</v>
      </c>
      <c r="E182" s="8">
        <v>45954</v>
      </c>
      <c r="F182" s="8">
        <v>45957</v>
      </c>
      <c r="G182" s="8">
        <v>45961</v>
      </c>
      <c r="H182" t="s">
        <v>22</v>
      </c>
      <c r="J182" s="8">
        <v>45990</v>
      </c>
      <c r="K182">
        <v>5</v>
      </c>
      <c r="L182">
        <v>3</v>
      </c>
      <c r="M182">
        <v>4</v>
      </c>
      <c r="N182">
        <v>2</v>
      </c>
      <c r="O182">
        <v>1</v>
      </c>
      <c r="P182">
        <v>1</v>
      </c>
      <c r="Q182">
        <v>1</v>
      </c>
      <c r="R182">
        <v>1</v>
      </c>
      <c r="S182" t="s">
        <v>1056</v>
      </c>
    </row>
    <row r="183" spans="1:19">
      <c r="A183" t="s">
        <v>861</v>
      </c>
      <c r="B183" t="s">
        <v>20</v>
      </c>
      <c r="C183" t="s">
        <v>21</v>
      </c>
      <c r="D183" s="8">
        <v>45957</v>
      </c>
      <c r="E183" s="8">
        <v>45958</v>
      </c>
      <c r="F183" s="8">
        <v>45961</v>
      </c>
      <c r="G183" s="8">
        <v>45966</v>
      </c>
      <c r="H183" t="s">
        <v>22</v>
      </c>
      <c r="J183" s="8">
        <v>45977</v>
      </c>
      <c r="K183">
        <v>1</v>
      </c>
      <c r="L183">
        <v>3</v>
      </c>
      <c r="M183">
        <v>5</v>
      </c>
      <c r="N183">
        <v>2</v>
      </c>
      <c r="O183">
        <v>1</v>
      </c>
      <c r="P183">
        <v>1</v>
      </c>
      <c r="Q183">
        <v>1</v>
      </c>
      <c r="R183">
        <v>1</v>
      </c>
      <c r="S183" t="s">
        <v>1056</v>
      </c>
    </row>
    <row r="184" spans="1:19">
      <c r="A184" t="s">
        <v>870</v>
      </c>
      <c r="B184" t="s">
        <v>20</v>
      </c>
      <c r="C184" t="s">
        <v>21</v>
      </c>
      <c r="D184" s="8">
        <v>45942</v>
      </c>
      <c r="E184" s="8">
        <v>45947</v>
      </c>
      <c r="F184" s="8">
        <v>45950</v>
      </c>
      <c r="G184" s="8">
        <v>45955</v>
      </c>
      <c r="H184" t="s">
        <v>22</v>
      </c>
      <c r="J184" s="8">
        <v>45982</v>
      </c>
      <c r="K184">
        <v>5</v>
      </c>
      <c r="L184">
        <v>3</v>
      </c>
      <c r="M184">
        <v>5</v>
      </c>
      <c r="N184">
        <v>6</v>
      </c>
      <c r="O184">
        <v>1</v>
      </c>
      <c r="P184">
        <v>1</v>
      </c>
      <c r="Q184">
        <v>1</v>
      </c>
      <c r="R184">
        <v>1</v>
      </c>
      <c r="S184" t="s">
        <v>1056</v>
      </c>
    </row>
    <row r="185" spans="1:19">
      <c r="A185" t="s">
        <v>875</v>
      </c>
      <c r="B185" t="s">
        <v>20</v>
      </c>
      <c r="C185" t="s">
        <v>21</v>
      </c>
      <c r="D185" s="8">
        <v>45938</v>
      </c>
      <c r="E185" s="8">
        <v>45940</v>
      </c>
      <c r="F185" s="8">
        <v>45945</v>
      </c>
      <c r="G185" s="8">
        <v>45948</v>
      </c>
      <c r="H185" t="s">
        <v>22</v>
      </c>
      <c r="J185" s="8">
        <v>45964</v>
      </c>
      <c r="K185">
        <v>2</v>
      </c>
      <c r="L185">
        <v>5</v>
      </c>
      <c r="M185">
        <v>3</v>
      </c>
      <c r="N185">
        <v>0</v>
      </c>
      <c r="O185">
        <v>1</v>
      </c>
      <c r="P185">
        <v>1</v>
      </c>
      <c r="Q185">
        <v>1</v>
      </c>
      <c r="R185">
        <v>1</v>
      </c>
      <c r="S185" t="s">
        <v>1056</v>
      </c>
    </row>
    <row r="186" spans="1:19">
      <c r="A186" t="s">
        <v>879</v>
      </c>
      <c r="B186" t="s">
        <v>20</v>
      </c>
      <c r="C186" t="s">
        <v>21</v>
      </c>
      <c r="D186" s="8">
        <v>45952</v>
      </c>
      <c r="E186" s="8">
        <v>45956</v>
      </c>
      <c r="F186" s="8">
        <v>45960</v>
      </c>
      <c r="G186" s="8">
        <v>45962</v>
      </c>
      <c r="H186" t="s">
        <v>22</v>
      </c>
      <c r="J186" s="8">
        <v>45972</v>
      </c>
      <c r="K186">
        <v>4</v>
      </c>
      <c r="L186">
        <v>4</v>
      </c>
      <c r="M186">
        <v>2</v>
      </c>
      <c r="N186">
        <v>3</v>
      </c>
      <c r="O186">
        <v>1</v>
      </c>
      <c r="P186">
        <v>1</v>
      </c>
      <c r="Q186">
        <v>1</v>
      </c>
      <c r="R186">
        <v>1</v>
      </c>
      <c r="S186" t="s">
        <v>1056</v>
      </c>
    </row>
    <row r="187" spans="1:19">
      <c r="A187" t="s">
        <v>881</v>
      </c>
      <c r="B187" t="s">
        <v>20</v>
      </c>
      <c r="C187" t="s">
        <v>35</v>
      </c>
      <c r="D187" s="8">
        <v>45948</v>
      </c>
      <c r="E187" s="8">
        <v>45949</v>
      </c>
      <c r="F187" s="8">
        <v>45952</v>
      </c>
      <c r="G187" s="8">
        <v>45955</v>
      </c>
      <c r="H187" t="s">
        <v>22</v>
      </c>
      <c r="J187" s="8">
        <v>45974</v>
      </c>
      <c r="K187">
        <v>1</v>
      </c>
      <c r="L187">
        <v>3</v>
      </c>
      <c r="M187">
        <v>3</v>
      </c>
      <c r="N187">
        <v>5</v>
      </c>
      <c r="O187">
        <v>1</v>
      </c>
      <c r="P187">
        <v>1</v>
      </c>
      <c r="Q187">
        <v>1</v>
      </c>
      <c r="R187">
        <v>1</v>
      </c>
      <c r="S187" t="s">
        <v>1056</v>
      </c>
    </row>
    <row r="188" spans="1:19">
      <c r="A188" t="s">
        <v>889</v>
      </c>
      <c r="B188" t="s">
        <v>20</v>
      </c>
      <c r="C188" t="s">
        <v>35</v>
      </c>
      <c r="D188" s="8">
        <v>45961</v>
      </c>
      <c r="E188" s="8">
        <v>45963</v>
      </c>
      <c r="F188" s="8">
        <v>45965</v>
      </c>
      <c r="G188" s="8">
        <v>45970</v>
      </c>
      <c r="H188" t="s">
        <v>22</v>
      </c>
      <c r="J188" s="8">
        <v>45999</v>
      </c>
      <c r="K188">
        <v>2</v>
      </c>
      <c r="L188">
        <v>2</v>
      </c>
      <c r="M188">
        <v>5</v>
      </c>
      <c r="N188">
        <v>1</v>
      </c>
      <c r="O188">
        <v>1</v>
      </c>
      <c r="P188">
        <v>1</v>
      </c>
      <c r="Q188">
        <v>1</v>
      </c>
      <c r="R188">
        <v>1</v>
      </c>
      <c r="S188" t="s">
        <v>1056</v>
      </c>
    </row>
    <row r="189" spans="1:19">
      <c r="A189" t="s">
        <v>890</v>
      </c>
      <c r="B189" t="s">
        <v>20</v>
      </c>
      <c r="C189" t="s">
        <v>21</v>
      </c>
      <c r="D189" s="8">
        <v>45934</v>
      </c>
      <c r="E189" s="8">
        <v>45937</v>
      </c>
      <c r="F189" s="8">
        <v>45941</v>
      </c>
      <c r="G189" s="8">
        <v>45945</v>
      </c>
      <c r="H189" t="s">
        <v>22</v>
      </c>
      <c r="J189" s="8">
        <v>45959</v>
      </c>
      <c r="K189">
        <v>3</v>
      </c>
      <c r="L189">
        <v>4</v>
      </c>
      <c r="M189">
        <v>4</v>
      </c>
      <c r="N189">
        <v>3</v>
      </c>
      <c r="O189">
        <v>1</v>
      </c>
      <c r="P189">
        <v>1</v>
      </c>
      <c r="Q189">
        <v>1</v>
      </c>
      <c r="R189">
        <v>1</v>
      </c>
      <c r="S189" t="s">
        <v>1056</v>
      </c>
    </row>
    <row r="190" spans="1:19">
      <c r="A190" t="s">
        <v>893</v>
      </c>
      <c r="B190" t="s">
        <v>20</v>
      </c>
      <c r="C190" t="s">
        <v>21</v>
      </c>
      <c r="D190" s="8">
        <v>45957</v>
      </c>
      <c r="E190" s="8">
        <v>45960</v>
      </c>
      <c r="F190" s="8">
        <v>45964</v>
      </c>
      <c r="G190" s="8">
        <v>45971</v>
      </c>
      <c r="H190" t="s">
        <v>22</v>
      </c>
      <c r="J190" s="8">
        <v>45997</v>
      </c>
      <c r="K190">
        <v>3</v>
      </c>
      <c r="L190">
        <v>4</v>
      </c>
      <c r="M190">
        <v>7</v>
      </c>
      <c r="N190">
        <v>2</v>
      </c>
      <c r="O190">
        <v>1</v>
      </c>
      <c r="P190">
        <v>1</v>
      </c>
      <c r="Q190">
        <v>1</v>
      </c>
      <c r="R190">
        <v>1</v>
      </c>
      <c r="S190" t="s">
        <v>1056</v>
      </c>
    </row>
    <row r="191" spans="1:19">
      <c r="A191" t="s">
        <v>901</v>
      </c>
      <c r="B191" t="s">
        <v>20</v>
      </c>
      <c r="C191" t="s">
        <v>21</v>
      </c>
      <c r="D191" s="8">
        <v>45931</v>
      </c>
      <c r="E191" s="8">
        <v>45936</v>
      </c>
      <c r="F191" s="8">
        <v>45940</v>
      </c>
      <c r="G191" s="8">
        <v>45942</v>
      </c>
      <c r="H191" t="s">
        <v>22</v>
      </c>
      <c r="J191" s="8">
        <v>45967</v>
      </c>
      <c r="K191">
        <v>5</v>
      </c>
      <c r="L191">
        <v>4</v>
      </c>
      <c r="M191">
        <v>2</v>
      </c>
      <c r="N191">
        <v>5</v>
      </c>
      <c r="O191">
        <v>1</v>
      </c>
      <c r="P191">
        <v>1</v>
      </c>
      <c r="Q191">
        <v>1</v>
      </c>
      <c r="R191">
        <v>1</v>
      </c>
      <c r="S191" t="s">
        <v>1056</v>
      </c>
    </row>
    <row r="192" spans="1:19">
      <c r="A192" t="s">
        <v>905</v>
      </c>
      <c r="B192" t="s">
        <v>20</v>
      </c>
      <c r="C192" t="s">
        <v>21</v>
      </c>
      <c r="D192" s="8">
        <v>45938</v>
      </c>
      <c r="E192" s="8">
        <v>45942</v>
      </c>
      <c r="F192" s="8">
        <v>45943</v>
      </c>
      <c r="G192" s="8">
        <v>45946</v>
      </c>
      <c r="H192" t="s">
        <v>22</v>
      </c>
      <c r="J192" s="8">
        <v>45964</v>
      </c>
      <c r="K192">
        <v>4</v>
      </c>
      <c r="L192">
        <v>1</v>
      </c>
      <c r="M192">
        <v>3</v>
      </c>
      <c r="N192">
        <v>5</v>
      </c>
      <c r="O192">
        <v>1</v>
      </c>
      <c r="P192">
        <v>1</v>
      </c>
      <c r="Q192">
        <v>1</v>
      </c>
      <c r="R192">
        <v>1</v>
      </c>
      <c r="S192" t="s">
        <v>1056</v>
      </c>
    </row>
    <row r="193" spans="1:19">
      <c r="A193" t="s">
        <v>906</v>
      </c>
      <c r="B193" t="s">
        <v>20</v>
      </c>
      <c r="C193" t="s">
        <v>35</v>
      </c>
      <c r="D193" s="8">
        <v>45935</v>
      </c>
      <c r="E193" s="8">
        <v>45936</v>
      </c>
      <c r="F193" s="8">
        <v>45941</v>
      </c>
      <c r="G193" s="8">
        <v>45943</v>
      </c>
      <c r="H193" t="s">
        <v>22</v>
      </c>
      <c r="J193" s="8">
        <v>45969</v>
      </c>
      <c r="K193">
        <v>1</v>
      </c>
      <c r="L193">
        <v>5</v>
      </c>
      <c r="M193">
        <v>2</v>
      </c>
      <c r="N193">
        <v>4</v>
      </c>
      <c r="O193">
        <v>1</v>
      </c>
      <c r="P193">
        <v>1</v>
      </c>
      <c r="Q193">
        <v>1</v>
      </c>
      <c r="R193">
        <v>1</v>
      </c>
      <c r="S193" t="s">
        <v>1056</v>
      </c>
    </row>
    <row r="194" spans="1:19">
      <c r="A194" t="s">
        <v>911</v>
      </c>
      <c r="B194" t="s">
        <v>20</v>
      </c>
      <c r="C194" t="s">
        <v>21</v>
      </c>
      <c r="D194" s="8">
        <v>45957</v>
      </c>
      <c r="E194" s="8">
        <v>45959</v>
      </c>
      <c r="F194" s="8">
        <v>45961</v>
      </c>
      <c r="G194" s="8">
        <v>45966</v>
      </c>
      <c r="H194" t="s">
        <v>22</v>
      </c>
      <c r="J194" s="8">
        <v>45985</v>
      </c>
      <c r="K194">
        <v>2</v>
      </c>
      <c r="L194">
        <v>2</v>
      </c>
      <c r="M194">
        <v>5</v>
      </c>
      <c r="N194">
        <v>4</v>
      </c>
      <c r="O194">
        <v>1</v>
      </c>
      <c r="P194">
        <v>1</v>
      </c>
      <c r="Q194">
        <v>1</v>
      </c>
      <c r="R194">
        <v>1</v>
      </c>
      <c r="S194" t="s">
        <v>1056</v>
      </c>
    </row>
    <row r="195" spans="1:19">
      <c r="A195" t="s">
        <v>943</v>
      </c>
      <c r="B195" t="s">
        <v>20</v>
      </c>
      <c r="C195" t="s">
        <v>21</v>
      </c>
      <c r="D195" s="8">
        <v>45956</v>
      </c>
      <c r="E195" s="8">
        <v>45960</v>
      </c>
      <c r="F195" s="8">
        <v>45965</v>
      </c>
      <c r="G195" s="8">
        <v>45968</v>
      </c>
      <c r="H195" t="s">
        <v>22</v>
      </c>
      <c r="J195" s="8">
        <v>45992</v>
      </c>
      <c r="K195">
        <v>4</v>
      </c>
      <c r="L195">
        <v>5</v>
      </c>
      <c r="M195">
        <v>3</v>
      </c>
      <c r="N195">
        <v>4</v>
      </c>
      <c r="O195">
        <v>1</v>
      </c>
      <c r="P195">
        <v>1</v>
      </c>
      <c r="Q195">
        <v>1</v>
      </c>
      <c r="R195">
        <v>1</v>
      </c>
      <c r="S195" t="s">
        <v>1056</v>
      </c>
    </row>
    <row r="196" spans="1:19">
      <c r="A196" t="s">
        <v>947</v>
      </c>
      <c r="B196" t="s">
        <v>20</v>
      </c>
      <c r="C196" t="s">
        <v>35</v>
      </c>
      <c r="D196" s="8">
        <v>45931</v>
      </c>
      <c r="E196" s="8">
        <v>45934</v>
      </c>
      <c r="F196" s="8">
        <v>45937</v>
      </c>
      <c r="G196" s="8">
        <v>45942</v>
      </c>
      <c r="H196" t="s">
        <v>22</v>
      </c>
      <c r="J196" s="8">
        <v>45953</v>
      </c>
      <c r="K196">
        <v>3</v>
      </c>
      <c r="L196">
        <v>3</v>
      </c>
      <c r="M196">
        <v>5</v>
      </c>
      <c r="N196">
        <v>4</v>
      </c>
      <c r="O196">
        <v>1</v>
      </c>
      <c r="P196">
        <v>1</v>
      </c>
      <c r="Q196">
        <v>1</v>
      </c>
      <c r="R196">
        <v>1</v>
      </c>
      <c r="S196" t="s">
        <v>1056</v>
      </c>
    </row>
    <row r="197" spans="1:19">
      <c r="A197" t="s">
        <v>948</v>
      </c>
      <c r="B197" t="s">
        <v>20</v>
      </c>
      <c r="C197" t="s">
        <v>35</v>
      </c>
      <c r="D197" s="8">
        <v>45936</v>
      </c>
      <c r="E197" s="8">
        <v>45937</v>
      </c>
      <c r="F197" s="8">
        <v>45942</v>
      </c>
      <c r="G197" s="8">
        <v>45948</v>
      </c>
      <c r="H197" t="s">
        <v>22</v>
      </c>
      <c r="J197" s="8">
        <v>45961</v>
      </c>
      <c r="K197">
        <v>1</v>
      </c>
      <c r="L197">
        <v>5</v>
      </c>
      <c r="M197">
        <v>6</v>
      </c>
      <c r="N197">
        <v>1</v>
      </c>
      <c r="O197">
        <v>1</v>
      </c>
      <c r="P197">
        <v>1</v>
      </c>
      <c r="Q197">
        <v>1</v>
      </c>
      <c r="R197">
        <v>1</v>
      </c>
      <c r="S197" t="s">
        <v>1056</v>
      </c>
    </row>
    <row r="198" spans="1:19">
      <c r="A198" t="s">
        <v>968</v>
      </c>
      <c r="B198" t="s">
        <v>20</v>
      </c>
      <c r="C198" t="s">
        <v>21</v>
      </c>
      <c r="D198" s="8">
        <v>45961</v>
      </c>
      <c r="E198" s="8">
        <v>45966</v>
      </c>
      <c r="F198" s="8">
        <v>45971</v>
      </c>
      <c r="G198" s="8">
        <v>45977</v>
      </c>
      <c r="H198" t="s">
        <v>22</v>
      </c>
      <c r="J198" s="8">
        <v>46006</v>
      </c>
      <c r="K198">
        <v>5</v>
      </c>
      <c r="L198">
        <v>5</v>
      </c>
      <c r="M198">
        <v>6</v>
      </c>
      <c r="N198">
        <v>2</v>
      </c>
      <c r="O198">
        <v>1</v>
      </c>
      <c r="P198">
        <v>1</v>
      </c>
      <c r="Q198">
        <v>1</v>
      </c>
      <c r="R198">
        <v>1</v>
      </c>
      <c r="S198" t="s">
        <v>1056</v>
      </c>
    </row>
    <row r="199" spans="1:19">
      <c r="A199" t="s">
        <v>977</v>
      </c>
      <c r="B199" t="s">
        <v>20</v>
      </c>
      <c r="C199" t="s">
        <v>35</v>
      </c>
      <c r="D199" s="8">
        <v>45940</v>
      </c>
      <c r="E199" s="8">
        <v>45944</v>
      </c>
      <c r="F199" s="8">
        <v>45948</v>
      </c>
      <c r="G199" s="8">
        <v>45952</v>
      </c>
      <c r="H199" t="s">
        <v>22</v>
      </c>
      <c r="J199" s="8">
        <v>45974</v>
      </c>
      <c r="K199">
        <v>4</v>
      </c>
      <c r="L199">
        <v>4</v>
      </c>
      <c r="M199">
        <v>4</v>
      </c>
      <c r="N199">
        <v>3</v>
      </c>
      <c r="O199">
        <v>1</v>
      </c>
      <c r="P199">
        <v>1</v>
      </c>
      <c r="Q199">
        <v>1</v>
      </c>
      <c r="R199">
        <v>1</v>
      </c>
      <c r="S199" t="s">
        <v>1056</v>
      </c>
    </row>
    <row r="200" spans="1:19">
      <c r="A200" t="s">
        <v>983</v>
      </c>
      <c r="B200" t="s">
        <v>20</v>
      </c>
      <c r="C200" t="s">
        <v>35</v>
      </c>
      <c r="D200" s="8">
        <v>45946</v>
      </c>
      <c r="E200" s="8">
        <v>45951</v>
      </c>
      <c r="F200" s="8">
        <v>45954</v>
      </c>
      <c r="G200" s="8">
        <v>45957</v>
      </c>
      <c r="H200" t="s">
        <v>22</v>
      </c>
      <c r="J200" s="8">
        <v>45982</v>
      </c>
      <c r="K200">
        <v>5</v>
      </c>
      <c r="L200">
        <v>3</v>
      </c>
      <c r="M200">
        <v>3</v>
      </c>
      <c r="N200">
        <v>3</v>
      </c>
      <c r="O200">
        <v>1</v>
      </c>
      <c r="P200">
        <v>1</v>
      </c>
      <c r="Q200">
        <v>1</v>
      </c>
      <c r="R200">
        <v>1</v>
      </c>
      <c r="S200" t="s">
        <v>1056</v>
      </c>
    </row>
    <row r="201" spans="1:19">
      <c r="A201" t="s">
        <v>986</v>
      </c>
      <c r="B201" t="s">
        <v>20</v>
      </c>
      <c r="C201" t="s">
        <v>21</v>
      </c>
      <c r="D201" s="8">
        <v>45944</v>
      </c>
      <c r="E201" s="8">
        <v>45946</v>
      </c>
      <c r="F201" s="8">
        <v>45947</v>
      </c>
      <c r="G201" s="8">
        <v>45949</v>
      </c>
      <c r="H201" t="s">
        <v>22</v>
      </c>
      <c r="J201" s="8">
        <v>45964</v>
      </c>
      <c r="K201">
        <v>2</v>
      </c>
      <c r="L201">
        <v>1</v>
      </c>
      <c r="M201">
        <v>2</v>
      </c>
      <c r="N201">
        <v>6</v>
      </c>
      <c r="O201">
        <v>1</v>
      </c>
      <c r="P201">
        <v>1</v>
      </c>
      <c r="Q201">
        <v>1</v>
      </c>
      <c r="R201">
        <v>1</v>
      </c>
      <c r="S201" t="s">
        <v>1056</v>
      </c>
    </row>
    <row r="202" spans="1:19">
      <c r="A202" t="s">
        <v>987</v>
      </c>
      <c r="B202" t="s">
        <v>20</v>
      </c>
      <c r="C202" t="s">
        <v>35</v>
      </c>
      <c r="D202" s="8">
        <v>45952</v>
      </c>
      <c r="E202" s="8">
        <v>45953</v>
      </c>
      <c r="F202" s="8">
        <v>45956</v>
      </c>
      <c r="G202" s="8">
        <v>45961</v>
      </c>
      <c r="H202" t="s">
        <v>22</v>
      </c>
      <c r="J202" s="8">
        <v>45974</v>
      </c>
      <c r="K202">
        <v>1</v>
      </c>
      <c r="L202">
        <v>3</v>
      </c>
      <c r="M202">
        <v>5</v>
      </c>
      <c r="N202">
        <v>1</v>
      </c>
      <c r="O202">
        <v>1</v>
      </c>
      <c r="P202">
        <v>1</v>
      </c>
      <c r="Q202">
        <v>1</v>
      </c>
      <c r="R202">
        <v>1</v>
      </c>
      <c r="S202" t="s">
        <v>1056</v>
      </c>
    </row>
    <row r="203" spans="1:19">
      <c r="A203" t="s">
        <v>988</v>
      </c>
      <c r="B203" t="s">
        <v>20</v>
      </c>
      <c r="C203" t="s">
        <v>21</v>
      </c>
      <c r="D203" s="8">
        <v>45934</v>
      </c>
      <c r="E203" s="8">
        <v>45938</v>
      </c>
      <c r="F203" s="8">
        <v>45942</v>
      </c>
      <c r="G203" s="8">
        <v>45948</v>
      </c>
      <c r="H203" t="s">
        <v>22</v>
      </c>
      <c r="J203" s="8">
        <v>45962</v>
      </c>
      <c r="K203">
        <v>4</v>
      </c>
      <c r="L203">
        <v>4</v>
      </c>
      <c r="M203">
        <v>6</v>
      </c>
      <c r="N203">
        <v>2</v>
      </c>
      <c r="O203">
        <v>1</v>
      </c>
      <c r="P203">
        <v>1</v>
      </c>
      <c r="Q203">
        <v>1</v>
      </c>
      <c r="R203">
        <v>1</v>
      </c>
      <c r="S203" t="s">
        <v>1056</v>
      </c>
    </row>
    <row r="204" spans="1:19">
      <c r="A204" t="s">
        <v>991</v>
      </c>
      <c r="B204" t="s">
        <v>20</v>
      </c>
      <c r="C204" t="s">
        <v>21</v>
      </c>
      <c r="D204" s="8">
        <v>45960</v>
      </c>
      <c r="E204" s="8">
        <v>45963</v>
      </c>
      <c r="F204" s="8">
        <v>45964</v>
      </c>
      <c r="G204" s="8">
        <v>45970</v>
      </c>
      <c r="H204" t="s">
        <v>22</v>
      </c>
      <c r="J204" s="8">
        <v>45985</v>
      </c>
      <c r="K204">
        <v>3</v>
      </c>
      <c r="L204">
        <v>1</v>
      </c>
      <c r="M204">
        <v>6</v>
      </c>
      <c r="N204">
        <v>1</v>
      </c>
      <c r="O204">
        <v>1</v>
      </c>
      <c r="P204">
        <v>1</v>
      </c>
      <c r="Q204">
        <v>1</v>
      </c>
      <c r="R204">
        <v>1</v>
      </c>
      <c r="S204" t="s">
        <v>1056</v>
      </c>
    </row>
    <row r="205" spans="1:19">
      <c r="A205" t="s">
        <v>1002</v>
      </c>
      <c r="B205" t="s">
        <v>20</v>
      </c>
      <c r="C205" t="s">
        <v>21</v>
      </c>
      <c r="D205" s="8">
        <v>45950</v>
      </c>
      <c r="E205" s="8">
        <v>45955</v>
      </c>
      <c r="F205" s="8">
        <v>45959</v>
      </c>
      <c r="G205" s="8">
        <v>45965</v>
      </c>
      <c r="H205" t="s">
        <v>22</v>
      </c>
      <c r="J205" s="8">
        <v>45994</v>
      </c>
      <c r="K205">
        <v>5</v>
      </c>
      <c r="L205">
        <v>4</v>
      </c>
      <c r="M205">
        <v>6</v>
      </c>
      <c r="N205">
        <v>6</v>
      </c>
      <c r="O205">
        <v>1</v>
      </c>
      <c r="P205">
        <v>1</v>
      </c>
      <c r="Q205">
        <v>1</v>
      </c>
      <c r="R205">
        <v>1</v>
      </c>
      <c r="S205" t="s">
        <v>1056</v>
      </c>
    </row>
    <row r="206" spans="1:19">
      <c r="A206" t="s">
        <v>1016</v>
      </c>
      <c r="B206" t="s">
        <v>20</v>
      </c>
      <c r="C206" t="s">
        <v>21</v>
      </c>
      <c r="D206" s="8">
        <v>45934</v>
      </c>
      <c r="E206" s="8">
        <v>45939</v>
      </c>
      <c r="F206" s="8">
        <v>45940</v>
      </c>
      <c r="G206" s="8">
        <v>45946</v>
      </c>
      <c r="H206" t="s">
        <v>22</v>
      </c>
      <c r="J206" s="8">
        <v>45959</v>
      </c>
      <c r="K206">
        <v>5</v>
      </c>
      <c r="L206">
        <v>1</v>
      </c>
      <c r="M206">
        <v>6</v>
      </c>
      <c r="N206">
        <v>2</v>
      </c>
      <c r="O206">
        <v>1</v>
      </c>
      <c r="P206">
        <v>1</v>
      </c>
      <c r="Q206">
        <v>1</v>
      </c>
      <c r="R206">
        <v>1</v>
      </c>
      <c r="S206" t="s">
        <v>1056</v>
      </c>
    </row>
    <row r="207" spans="1:19">
      <c r="A207" t="s">
        <v>1017</v>
      </c>
      <c r="B207" t="s">
        <v>20</v>
      </c>
      <c r="C207" t="s">
        <v>35</v>
      </c>
      <c r="D207" s="8">
        <v>45956</v>
      </c>
      <c r="E207" s="8">
        <v>45961</v>
      </c>
      <c r="F207" s="8">
        <v>45962</v>
      </c>
      <c r="G207" s="8">
        <v>45966</v>
      </c>
      <c r="H207" t="s">
        <v>22</v>
      </c>
      <c r="J207" s="8">
        <v>45989</v>
      </c>
      <c r="K207">
        <v>5</v>
      </c>
      <c r="L207">
        <v>1</v>
      </c>
      <c r="M207">
        <v>4</v>
      </c>
      <c r="N207">
        <v>2</v>
      </c>
      <c r="O207">
        <v>1</v>
      </c>
      <c r="P207">
        <v>1</v>
      </c>
      <c r="Q207">
        <v>1</v>
      </c>
      <c r="R207">
        <v>1</v>
      </c>
      <c r="S207" t="s">
        <v>1056</v>
      </c>
    </row>
    <row r="208" spans="1:19">
      <c r="A208" t="s">
        <v>1021</v>
      </c>
      <c r="B208" t="s">
        <v>20</v>
      </c>
      <c r="C208" t="s">
        <v>21</v>
      </c>
      <c r="D208" s="8">
        <v>45951</v>
      </c>
      <c r="E208" s="8">
        <v>45954</v>
      </c>
      <c r="F208" s="8">
        <v>45956</v>
      </c>
      <c r="G208" s="8">
        <v>45962</v>
      </c>
      <c r="H208" t="s">
        <v>22</v>
      </c>
      <c r="J208" s="8">
        <v>45980</v>
      </c>
      <c r="K208">
        <v>3</v>
      </c>
      <c r="L208">
        <v>2</v>
      </c>
      <c r="M208">
        <v>6</v>
      </c>
      <c r="N208">
        <v>4</v>
      </c>
      <c r="O208">
        <v>1</v>
      </c>
      <c r="P208">
        <v>1</v>
      </c>
      <c r="Q208">
        <v>1</v>
      </c>
      <c r="R208">
        <v>1</v>
      </c>
      <c r="S208" t="s">
        <v>1056</v>
      </c>
    </row>
    <row r="209" spans="1:19">
      <c r="A209" t="s">
        <v>1030</v>
      </c>
      <c r="B209" t="s">
        <v>20</v>
      </c>
      <c r="C209" t="s">
        <v>21</v>
      </c>
      <c r="D209" s="8">
        <v>45945</v>
      </c>
      <c r="E209" s="8">
        <v>45950</v>
      </c>
      <c r="F209" s="8">
        <v>45954</v>
      </c>
      <c r="G209" s="8">
        <v>45960</v>
      </c>
      <c r="H209" t="s">
        <v>22</v>
      </c>
      <c r="J209" s="8">
        <v>45980</v>
      </c>
      <c r="K209">
        <v>5</v>
      </c>
      <c r="L209">
        <v>4</v>
      </c>
      <c r="M209">
        <v>6</v>
      </c>
      <c r="N209">
        <v>3</v>
      </c>
      <c r="O209">
        <v>1</v>
      </c>
      <c r="P209">
        <v>1</v>
      </c>
      <c r="Q209">
        <v>1</v>
      </c>
      <c r="R209">
        <v>1</v>
      </c>
      <c r="S209" t="s">
        <v>1056</v>
      </c>
    </row>
    <row r="210" spans="1:19">
      <c r="A210" t="s">
        <v>39</v>
      </c>
      <c r="B210" t="s">
        <v>20</v>
      </c>
      <c r="C210" t="s">
        <v>35</v>
      </c>
      <c r="D210" s="8">
        <v>45944</v>
      </c>
      <c r="E210" s="8">
        <v>45947</v>
      </c>
      <c r="F210" s="8">
        <v>45950</v>
      </c>
      <c r="G210" s="8">
        <v>45955</v>
      </c>
      <c r="H210" t="s">
        <v>22</v>
      </c>
      <c r="J210" s="8">
        <v>45966</v>
      </c>
      <c r="K210">
        <v>3</v>
      </c>
      <c r="L210">
        <v>3</v>
      </c>
      <c r="M210">
        <v>5</v>
      </c>
      <c r="N210">
        <v>8</v>
      </c>
      <c r="O210">
        <v>1</v>
      </c>
      <c r="P210">
        <v>1</v>
      </c>
      <c r="Q210">
        <v>1</v>
      </c>
      <c r="R210">
        <v>1</v>
      </c>
      <c r="S210" t="s">
        <v>1057</v>
      </c>
    </row>
    <row r="211" spans="1:19">
      <c r="A211" t="s">
        <v>76</v>
      </c>
      <c r="B211" t="s">
        <v>20</v>
      </c>
      <c r="C211" t="s">
        <v>35</v>
      </c>
      <c r="D211" s="8">
        <v>45945</v>
      </c>
      <c r="E211" s="8">
        <v>45950</v>
      </c>
      <c r="F211" s="8">
        <v>45952</v>
      </c>
      <c r="G211" s="8">
        <v>45956</v>
      </c>
      <c r="H211" t="s">
        <v>22</v>
      </c>
      <c r="J211" s="8">
        <v>45984</v>
      </c>
      <c r="K211">
        <v>5</v>
      </c>
      <c r="L211">
        <v>2</v>
      </c>
      <c r="M211">
        <v>4</v>
      </c>
      <c r="N211">
        <v>8</v>
      </c>
      <c r="O211">
        <v>1</v>
      </c>
      <c r="P211">
        <v>1</v>
      </c>
      <c r="Q211">
        <v>1</v>
      </c>
      <c r="R211">
        <v>1</v>
      </c>
      <c r="S211" t="s">
        <v>1057</v>
      </c>
    </row>
    <row r="212" spans="1:19">
      <c r="A212" t="s">
        <v>103</v>
      </c>
      <c r="B212" t="s">
        <v>20</v>
      </c>
      <c r="C212" t="s">
        <v>21</v>
      </c>
      <c r="D212" s="8">
        <v>45931</v>
      </c>
      <c r="E212" s="8">
        <v>45934</v>
      </c>
      <c r="F212" s="8">
        <v>45936</v>
      </c>
      <c r="G212" s="8">
        <v>45938</v>
      </c>
      <c r="H212" t="s">
        <v>22</v>
      </c>
      <c r="J212" s="8">
        <v>45953</v>
      </c>
      <c r="K212">
        <v>3</v>
      </c>
      <c r="L212">
        <v>2</v>
      </c>
      <c r="M212">
        <v>2</v>
      </c>
      <c r="N212">
        <v>7</v>
      </c>
      <c r="O212">
        <v>1</v>
      </c>
      <c r="P212">
        <v>1</v>
      </c>
      <c r="Q212">
        <v>1</v>
      </c>
      <c r="R212">
        <v>1</v>
      </c>
      <c r="S212" t="s">
        <v>1057</v>
      </c>
    </row>
    <row r="213" spans="1:19">
      <c r="A213" t="s">
        <v>186</v>
      </c>
      <c r="B213" t="s">
        <v>20</v>
      </c>
      <c r="C213" t="s">
        <v>21</v>
      </c>
      <c r="D213" s="8">
        <v>45948</v>
      </c>
      <c r="E213" s="8">
        <v>45949</v>
      </c>
      <c r="F213" s="8">
        <v>45951</v>
      </c>
      <c r="G213" s="8">
        <v>45957</v>
      </c>
      <c r="H213" t="s">
        <v>22</v>
      </c>
      <c r="J213" s="8">
        <v>45974</v>
      </c>
      <c r="K213">
        <v>1</v>
      </c>
      <c r="L213">
        <v>2</v>
      </c>
      <c r="M213">
        <v>6</v>
      </c>
      <c r="N213">
        <v>7</v>
      </c>
      <c r="O213">
        <v>1</v>
      </c>
      <c r="P213">
        <v>1</v>
      </c>
      <c r="Q213">
        <v>1</v>
      </c>
      <c r="R213">
        <v>1</v>
      </c>
      <c r="S213" t="s">
        <v>1057</v>
      </c>
    </row>
    <row r="214" spans="1:19">
      <c r="A214" t="s">
        <v>231</v>
      </c>
      <c r="B214" t="s">
        <v>20</v>
      </c>
      <c r="C214" t="s">
        <v>21</v>
      </c>
      <c r="D214" s="8">
        <v>45955</v>
      </c>
      <c r="E214" s="8">
        <v>45956</v>
      </c>
      <c r="F214" s="8">
        <v>45960</v>
      </c>
      <c r="G214" s="8">
        <v>45967</v>
      </c>
      <c r="H214" t="s">
        <v>22</v>
      </c>
      <c r="J214" s="8">
        <v>45983</v>
      </c>
      <c r="K214">
        <v>1</v>
      </c>
      <c r="L214">
        <v>4</v>
      </c>
      <c r="M214">
        <v>7</v>
      </c>
      <c r="N214">
        <v>8</v>
      </c>
      <c r="O214">
        <v>1</v>
      </c>
      <c r="P214">
        <v>1</v>
      </c>
      <c r="Q214">
        <v>1</v>
      </c>
      <c r="R214">
        <v>1</v>
      </c>
      <c r="S214" t="s">
        <v>1057</v>
      </c>
    </row>
    <row r="215" spans="1:19">
      <c r="A215" t="s">
        <v>240</v>
      </c>
      <c r="B215" t="s">
        <v>20</v>
      </c>
      <c r="C215" t="s">
        <v>21</v>
      </c>
      <c r="D215" s="8">
        <v>45943</v>
      </c>
      <c r="E215" s="8">
        <v>45944</v>
      </c>
      <c r="F215" s="8">
        <v>45948</v>
      </c>
      <c r="G215" s="8">
        <v>45955</v>
      </c>
      <c r="H215" t="s">
        <v>22</v>
      </c>
      <c r="J215" s="8">
        <v>45974</v>
      </c>
      <c r="K215">
        <v>1</v>
      </c>
      <c r="L215">
        <v>4</v>
      </c>
      <c r="M215">
        <v>7</v>
      </c>
      <c r="N215">
        <v>7</v>
      </c>
      <c r="O215">
        <v>1</v>
      </c>
      <c r="P215">
        <v>1</v>
      </c>
      <c r="Q215">
        <v>1</v>
      </c>
      <c r="R215">
        <v>1</v>
      </c>
      <c r="S215" t="s">
        <v>1057</v>
      </c>
    </row>
    <row r="216" spans="1:19">
      <c r="A216" t="s">
        <v>313</v>
      </c>
      <c r="B216" t="s">
        <v>20</v>
      </c>
      <c r="C216" t="s">
        <v>21</v>
      </c>
      <c r="D216" s="8">
        <v>45950</v>
      </c>
      <c r="E216" s="8">
        <v>45951</v>
      </c>
      <c r="F216" s="8">
        <v>45955</v>
      </c>
      <c r="G216" s="8">
        <v>45960</v>
      </c>
      <c r="H216" t="s">
        <v>22</v>
      </c>
      <c r="J216" s="8">
        <v>45977</v>
      </c>
      <c r="K216">
        <v>1</v>
      </c>
      <c r="L216">
        <v>4</v>
      </c>
      <c r="M216">
        <v>5</v>
      </c>
      <c r="N216">
        <v>8</v>
      </c>
      <c r="O216">
        <v>1</v>
      </c>
      <c r="P216">
        <v>1</v>
      </c>
      <c r="Q216">
        <v>1</v>
      </c>
      <c r="R216">
        <v>1</v>
      </c>
      <c r="S216" t="s">
        <v>1057</v>
      </c>
    </row>
    <row r="217" spans="1:19">
      <c r="A217" t="s">
        <v>334</v>
      </c>
      <c r="B217" t="s">
        <v>20</v>
      </c>
      <c r="C217" t="s">
        <v>21</v>
      </c>
      <c r="D217" s="8">
        <v>45932</v>
      </c>
      <c r="E217" s="8">
        <v>45933</v>
      </c>
      <c r="F217" s="8">
        <v>45934</v>
      </c>
      <c r="G217" s="8">
        <v>45940</v>
      </c>
      <c r="H217" t="s">
        <v>22</v>
      </c>
      <c r="J217" s="8">
        <v>45968</v>
      </c>
      <c r="K217">
        <v>1</v>
      </c>
      <c r="L217">
        <v>1</v>
      </c>
      <c r="M217">
        <v>6</v>
      </c>
      <c r="N217">
        <v>8</v>
      </c>
      <c r="O217">
        <v>1</v>
      </c>
      <c r="P217">
        <v>1</v>
      </c>
      <c r="Q217">
        <v>1</v>
      </c>
      <c r="R217">
        <v>1</v>
      </c>
      <c r="S217" t="s">
        <v>1057</v>
      </c>
    </row>
    <row r="218" spans="1:19">
      <c r="A218" t="s">
        <v>434</v>
      </c>
      <c r="B218" t="s">
        <v>20</v>
      </c>
      <c r="C218" t="s">
        <v>21</v>
      </c>
      <c r="D218" s="8">
        <v>45931</v>
      </c>
      <c r="E218" s="8">
        <v>45932</v>
      </c>
      <c r="F218" s="8">
        <v>45933</v>
      </c>
      <c r="G218" s="8">
        <v>45936</v>
      </c>
      <c r="H218" t="s">
        <v>22</v>
      </c>
      <c r="J218" s="8">
        <v>45965</v>
      </c>
      <c r="K218">
        <v>1</v>
      </c>
      <c r="L218">
        <v>1</v>
      </c>
      <c r="M218">
        <v>3</v>
      </c>
      <c r="N218">
        <v>8</v>
      </c>
      <c r="O218">
        <v>1</v>
      </c>
      <c r="P218">
        <v>1</v>
      </c>
      <c r="Q218">
        <v>1</v>
      </c>
      <c r="R218">
        <v>1</v>
      </c>
      <c r="S218" t="s">
        <v>1057</v>
      </c>
    </row>
    <row r="219" spans="1:19">
      <c r="A219" t="s">
        <v>438</v>
      </c>
      <c r="B219" t="s">
        <v>20</v>
      </c>
      <c r="C219" t="s">
        <v>21</v>
      </c>
      <c r="D219" s="8">
        <v>45938</v>
      </c>
      <c r="E219" s="8">
        <v>45940</v>
      </c>
      <c r="F219" s="8">
        <v>45941</v>
      </c>
      <c r="G219" s="8">
        <v>45947</v>
      </c>
      <c r="H219" t="s">
        <v>22</v>
      </c>
      <c r="J219" s="8">
        <v>45969</v>
      </c>
      <c r="K219">
        <v>2</v>
      </c>
      <c r="L219">
        <v>1</v>
      </c>
      <c r="M219">
        <v>6</v>
      </c>
      <c r="N219">
        <v>7</v>
      </c>
      <c r="O219">
        <v>1</v>
      </c>
      <c r="P219">
        <v>1</v>
      </c>
      <c r="Q219">
        <v>1</v>
      </c>
      <c r="R219">
        <v>1</v>
      </c>
      <c r="S219" t="s">
        <v>1057</v>
      </c>
    </row>
    <row r="220" spans="1:19">
      <c r="A220" t="s">
        <v>503</v>
      </c>
      <c r="B220" t="s">
        <v>20</v>
      </c>
      <c r="C220" t="s">
        <v>21</v>
      </c>
      <c r="D220" s="8">
        <v>45935</v>
      </c>
      <c r="E220" s="8">
        <v>45936</v>
      </c>
      <c r="F220" s="8">
        <v>45941</v>
      </c>
      <c r="G220" s="8">
        <v>45943</v>
      </c>
      <c r="H220" t="s">
        <v>22</v>
      </c>
      <c r="J220" s="8">
        <v>45954</v>
      </c>
      <c r="K220">
        <v>1</v>
      </c>
      <c r="L220">
        <v>5</v>
      </c>
      <c r="M220">
        <v>2</v>
      </c>
      <c r="N220">
        <v>7</v>
      </c>
      <c r="O220">
        <v>1</v>
      </c>
      <c r="P220">
        <v>1</v>
      </c>
      <c r="Q220">
        <v>1</v>
      </c>
      <c r="R220">
        <v>1</v>
      </c>
      <c r="S220" t="s">
        <v>1057</v>
      </c>
    </row>
    <row r="221" spans="1:19">
      <c r="A221" t="s">
        <v>511</v>
      </c>
      <c r="B221" t="s">
        <v>20</v>
      </c>
      <c r="C221" t="s">
        <v>21</v>
      </c>
      <c r="D221" s="8">
        <v>45948</v>
      </c>
      <c r="E221" s="8">
        <v>45949</v>
      </c>
      <c r="F221" s="8">
        <v>45951</v>
      </c>
      <c r="G221" s="8">
        <v>45954</v>
      </c>
      <c r="H221" t="s">
        <v>22</v>
      </c>
      <c r="J221" s="8">
        <v>45978</v>
      </c>
      <c r="K221">
        <v>1</v>
      </c>
      <c r="L221">
        <v>2</v>
      </c>
      <c r="M221">
        <v>3</v>
      </c>
      <c r="N221">
        <v>7</v>
      </c>
      <c r="O221">
        <v>1</v>
      </c>
      <c r="P221">
        <v>1</v>
      </c>
      <c r="Q221">
        <v>1</v>
      </c>
      <c r="R221">
        <v>1</v>
      </c>
      <c r="S221" t="s">
        <v>1057</v>
      </c>
    </row>
    <row r="222" spans="1:19">
      <c r="A222" t="s">
        <v>544</v>
      </c>
      <c r="B222" t="s">
        <v>20</v>
      </c>
      <c r="C222" t="s">
        <v>35</v>
      </c>
      <c r="D222" s="8">
        <v>45947</v>
      </c>
      <c r="E222" s="8">
        <v>45949</v>
      </c>
      <c r="F222" s="8">
        <v>45950</v>
      </c>
      <c r="G222" s="8">
        <v>45955</v>
      </c>
      <c r="H222" t="s">
        <v>22</v>
      </c>
      <c r="J222" s="8">
        <v>45973</v>
      </c>
      <c r="K222">
        <v>2</v>
      </c>
      <c r="L222">
        <v>1</v>
      </c>
      <c r="M222">
        <v>5</v>
      </c>
      <c r="N222">
        <v>7</v>
      </c>
      <c r="O222">
        <v>1</v>
      </c>
      <c r="P222">
        <v>1</v>
      </c>
      <c r="Q222">
        <v>1</v>
      </c>
      <c r="R222">
        <v>1</v>
      </c>
      <c r="S222" t="s">
        <v>1057</v>
      </c>
    </row>
    <row r="223" spans="1:19">
      <c r="A223" t="s">
        <v>558</v>
      </c>
      <c r="B223" t="s">
        <v>20</v>
      </c>
      <c r="C223" t="s">
        <v>35</v>
      </c>
      <c r="D223" s="8">
        <v>45954</v>
      </c>
      <c r="E223" s="8">
        <v>45956</v>
      </c>
      <c r="F223" s="8">
        <v>45959</v>
      </c>
      <c r="G223" s="8">
        <v>45965</v>
      </c>
      <c r="H223" t="s">
        <v>22</v>
      </c>
      <c r="J223" s="8">
        <v>45982</v>
      </c>
      <c r="K223">
        <v>2</v>
      </c>
      <c r="L223">
        <v>3</v>
      </c>
      <c r="M223">
        <v>6</v>
      </c>
      <c r="N223">
        <v>8</v>
      </c>
      <c r="O223">
        <v>1</v>
      </c>
      <c r="P223">
        <v>1</v>
      </c>
      <c r="Q223">
        <v>1</v>
      </c>
      <c r="R223">
        <v>1</v>
      </c>
      <c r="S223" t="s">
        <v>1057</v>
      </c>
    </row>
    <row r="224" spans="1:19">
      <c r="A224" t="s">
        <v>588</v>
      </c>
      <c r="B224" t="s">
        <v>20</v>
      </c>
      <c r="C224" t="s">
        <v>21</v>
      </c>
      <c r="D224" s="8">
        <v>45958</v>
      </c>
      <c r="E224" s="8">
        <v>45962</v>
      </c>
      <c r="F224" s="8">
        <v>45967</v>
      </c>
      <c r="G224" s="8">
        <v>45970</v>
      </c>
      <c r="H224" t="s">
        <v>22</v>
      </c>
      <c r="J224" s="8">
        <v>45991</v>
      </c>
      <c r="K224">
        <v>4</v>
      </c>
      <c r="L224">
        <v>5</v>
      </c>
      <c r="M224">
        <v>3</v>
      </c>
      <c r="N224">
        <v>8</v>
      </c>
      <c r="O224">
        <v>1</v>
      </c>
      <c r="P224">
        <v>1</v>
      </c>
      <c r="Q224">
        <v>1</v>
      </c>
      <c r="R224">
        <v>1</v>
      </c>
      <c r="S224" t="s">
        <v>1057</v>
      </c>
    </row>
    <row r="225" spans="1:19">
      <c r="A225" t="s">
        <v>609</v>
      </c>
      <c r="B225" t="s">
        <v>20</v>
      </c>
      <c r="C225" t="s">
        <v>21</v>
      </c>
      <c r="D225" s="8">
        <v>45936</v>
      </c>
      <c r="E225" s="8">
        <v>45940</v>
      </c>
      <c r="F225" s="8">
        <v>45944</v>
      </c>
      <c r="G225" s="8">
        <v>45951</v>
      </c>
      <c r="H225" t="s">
        <v>22</v>
      </c>
      <c r="J225" s="8">
        <v>45970</v>
      </c>
      <c r="K225">
        <v>4</v>
      </c>
      <c r="L225">
        <v>4</v>
      </c>
      <c r="M225">
        <v>7</v>
      </c>
      <c r="N225">
        <v>7</v>
      </c>
      <c r="O225">
        <v>1</v>
      </c>
      <c r="P225">
        <v>1</v>
      </c>
      <c r="Q225">
        <v>1</v>
      </c>
      <c r="R225">
        <v>1</v>
      </c>
      <c r="S225" t="s">
        <v>1057</v>
      </c>
    </row>
    <row r="226" spans="1:19">
      <c r="A226" t="s">
        <v>619</v>
      </c>
      <c r="B226" t="s">
        <v>20</v>
      </c>
      <c r="C226" t="s">
        <v>21</v>
      </c>
      <c r="D226" s="8">
        <v>45942</v>
      </c>
      <c r="E226" s="8">
        <v>45943</v>
      </c>
      <c r="F226" s="8">
        <v>45948</v>
      </c>
      <c r="G226" s="8">
        <v>45952</v>
      </c>
      <c r="H226" t="s">
        <v>22</v>
      </c>
      <c r="J226" s="8">
        <v>45970</v>
      </c>
      <c r="K226">
        <v>1</v>
      </c>
      <c r="L226">
        <v>5</v>
      </c>
      <c r="M226">
        <v>4</v>
      </c>
      <c r="N226">
        <v>8</v>
      </c>
      <c r="O226">
        <v>1</v>
      </c>
      <c r="P226">
        <v>1</v>
      </c>
      <c r="Q226">
        <v>1</v>
      </c>
      <c r="R226">
        <v>1</v>
      </c>
      <c r="S226" t="s">
        <v>1057</v>
      </c>
    </row>
    <row r="227" spans="1:19">
      <c r="A227" t="s">
        <v>635</v>
      </c>
      <c r="B227" t="s">
        <v>20</v>
      </c>
      <c r="C227" t="s">
        <v>35</v>
      </c>
      <c r="D227" s="8">
        <v>45943</v>
      </c>
      <c r="E227" s="8">
        <v>45946</v>
      </c>
      <c r="F227" s="8">
        <v>45950</v>
      </c>
      <c r="G227" s="8">
        <v>45952</v>
      </c>
      <c r="H227" t="s">
        <v>22</v>
      </c>
      <c r="J227" s="8">
        <v>45981</v>
      </c>
      <c r="K227">
        <v>3</v>
      </c>
      <c r="L227">
        <v>4</v>
      </c>
      <c r="M227">
        <v>2</v>
      </c>
      <c r="N227">
        <v>8</v>
      </c>
      <c r="O227">
        <v>1</v>
      </c>
      <c r="P227">
        <v>1</v>
      </c>
      <c r="Q227">
        <v>1</v>
      </c>
      <c r="R227">
        <v>1</v>
      </c>
      <c r="S227" t="s">
        <v>1057</v>
      </c>
    </row>
    <row r="228" spans="1:19">
      <c r="A228" t="s">
        <v>656</v>
      </c>
      <c r="B228" t="s">
        <v>20</v>
      </c>
      <c r="C228" t="s">
        <v>21</v>
      </c>
      <c r="D228" s="8">
        <v>45952</v>
      </c>
      <c r="E228" s="8">
        <v>45957</v>
      </c>
      <c r="F228" s="8">
        <v>45962</v>
      </c>
      <c r="G228" s="8">
        <v>45969</v>
      </c>
      <c r="H228" t="s">
        <v>22</v>
      </c>
      <c r="J228" s="8">
        <v>45986</v>
      </c>
      <c r="K228">
        <v>5</v>
      </c>
      <c r="L228">
        <v>5</v>
      </c>
      <c r="M228">
        <v>7</v>
      </c>
      <c r="N228">
        <v>8</v>
      </c>
      <c r="O228">
        <v>1</v>
      </c>
      <c r="P228">
        <v>1</v>
      </c>
      <c r="Q228">
        <v>1</v>
      </c>
      <c r="R228">
        <v>1</v>
      </c>
      <c r="S228" t="s">
        <v>1057</v>
      </c>
    </row>
    <row r="229" spans="1:19">
      <c r="A229" t="s">
        <v>707</v>
      </c>
      <c r="B229" t="s">
        <v>20</v>
      </c>
      <c r="C229" t="s">
        <v>35</v>
      </c>
      <c r="D229" s="8">
        <v>45956</v>
      </c>
      <c r="E229" s="8">
        <v>45960</v>
      </c>
      <c r="F229" s="8">
        <v>45962</v>
      </c>
      <c r="G229" s="8">
        <v>45966</v>
      </c>
      <c r="H229" t="s">
        <v>22</v>
      </c>
      <c r="J229" s="8">
        <v>45994</v>
      </c>
      <c r="K229">
        <v>4</v>
      </c>
      <c r="L229">
        <v>2</v>
      </c>
      <c r="M229">
        <v>4</v>
      </c>
      <c r="N229">
        <v>8</v>
      </c>
      <c r="O229">
        <v>1</v>
      </c>
      <c r="P229">
        <v>1</v>
      </c>
      <c r="Q229">
        <v>1</v>
      </c>
      <c r="R229">
        <v>1</v>
      </c>
      <c r="S229" t="s">
        <v>1057</v>
      </c>
    </row>
    <row r="230" spans="1:19">
      <c r="A230" t="s">
        <v>732</v>
      </c>
      <c r="B230" t="s">
        <v>20</v>
      </c>
      <c r="C230" t="s">
        <v>35</v>
      </c>
      <c r="D230" s="8">
        <v>45956</v>
      </c>
      <c r="E230" s="8">
        <v>45961</v>
      </c>
      <c r="F230" s="8">
        <v>45962</v>
      </c>
      <c r="G230" s="8">
        <v>45968</v>
      </c>
      <c r="H230" t="s">
        <v>22</v>
      </c>
      <c r="J230" s="8">
        <v>45988</v>
      </c>
      <c r="K230">
        <v>5</v>
      </c>
      <c r="L230">
        <v>1</v>
      </c>
      <c r="M230">
        <v>6</v>
      </c>
      <c r="N230">
        <v>7</v>
      </c>
      <c r="O230">
        <v>1</v>
      </c>
      <c r="P230">
        <v>1</v>
      </c>
      <c r="Q230">
        <v>1</v>
      </c>
      <c r="R230">
        <v>1</v>
      </c>
      <c r="S230" t="s">
        <v>1057</v>
      </c>
    </row>
    <row r="231" spans="1:19">
      <c r="A231" t="s">
        <v>758</v>
      </c>
      <c r="B231" t="s">
        <v>20</v>
      </c>
      <c r="C231" t="s">
        <v>35</v>
      </c>
      <c r="D231" s="8">
        <v>45939</v>
      </c>
      <c r="E231" s="8">
        <v>45942</v>
      </c>
      <c r="F231" s="8">
        <v>45943</v>
      </c>
      <c r="G231" s="8">
        <v>45949</v>
      </c>
      <c r="H231" t="s">
        <v>22</v>
      </c>
      <c r="J231" s="8">
        <v>45961</v>
      </c>
      <c r="K231">
        <v>3</v>
      </c>
      <c r="L231">
        <v>1</v>
      </c>
      <c r="M231">
        <v>6</v>
      </c>
      <c r="N231">
        <v>8</v>
      </c>
      <c r="O231">
        <v>1</v>
      </c>
      <c r="P231">
        <v>1</v>
      </c>
      <c r="Q231">
        <v>1</v>
      </c>
      <c r="R231">
        <v>1</v>
      </c>
      <c r="S231" t="s">
        <v>1057</v>
      </c>
    </row>
    <row r="232" spans="1:19">
      <c r="A232" t="s">
        <v>789</v>
      </c>
      <c r="B232" t="s">
        <v>20</v>
      </c>
      <c r="C232" t="s">
        <v>35</v>
      </c>
      <c r="D232" s="8">
        <v>45956</v>
      </c>
      <c r="E232" s="8">
        <v>45961</v>
      </c>
      <c r="F232" s="8">
        <v>45964</v>
      </c>
      <c r="G232" s="8">
        <v>45969</v>
      </c>
      <c r="H232" t="s">
        <v>22</v>
      </c>
      <c r="J232" s="8">
        <v>45982</v>
      </c>
      <c r="K232">
        <v>5</v>
      </c>
      <c r="L232">
        <v>3</v>
      </c>
      <c r="M232">
        <v>5</v>
      </c>
      <c r="N232">
        <v>7</v>
      </c>
      <c r="O232">
        <v>1</v>
      </c>
      <c r="P232">
        <v>1</v>
      </c>
      <c r="Q232">
        <v>1</v>
      </c>
      <c r="R232">
        <v>1</v>
      </c>
      <c r="S232" t="s">
        <v>1057</v>
      </c>
    </row>
    <row r="233" spans="1:19">
      <c r="A233" t="s">
        <v>794</v>
      </c>
      <c r="B233" t="s">
        <v>20</v>
      </c>
      <c r="C233" t="s">
        <v>21</v>
      </c>
      <c r="D233" s="8">
        <v>45934</v>
      </c>
      <c r="E233" s="8">
        <v>45935</v>
      </c>
      <c r="F233" s="8">
        <v>45936</v>
      </c>
      <c r="G233" s="8">
        <v>45940</v>
      </c>
      <c r="H233" t="s">
        <v>22</v>
      </c>
      <c r="J233" s="8">
        <v>45959</v>
      </c>
      <c r="K233">
        <v>1</v>
      </c>
      <c r="L233">
        <v>1</v>
      </c>
      <c r="M233">
        <v>4</v>
      </c>
      <c r="N233">
        <v>8</v>
      </c>
      <c r="O233">
        <v>1</v>
      </c>
      <c r="P233">
        <v>1</v>
      </c>
      <c r="Q233">
        <v>1</v>
      </c>
      <c r="R233">
        <v>1</v>
      </c>
      <c r="S233" t="s">
        <v>1057</v>
      </c>
    </row>
    <row r="234" spans="1:19">
      <c r="A234" t="s">
        <v>829</v>
      </c>
      <c r="B234" t="s">
        <v>20</v>
      </c>
      <c r="C234" t="s">
        <v>21</v>
      </c>
      <c r="D234" s="8">
        <v>45944</v>
      </c>
      <c r="E234" s="8">
        <v>45945</v>
      </c>
      <c r="F234" s="8">
        <v>45946</v>
      </c>
      <c r="G234" s="8">
        <v>45952</v>
      </c>
      <c r="H234" t="s">
        <v>22</v>
      </c>
      <c r="J234" s="8">
        <v>45968</v>
      </c>
      <c r="K234">
        <v>1</v>
      </c>
      <c r="L234">
        <v>1</v>
      </c>
      <c r="M234">
        <v>6</v>
      </c>
      <c r="N234">
        <v>8</v>
      </c>
      <c r="O234">
        <v>1</v>
      </c>
      <c r="P234">
        <v>1</v>
      </c>
      <c r="Q234">
        <v>1</v>
      </c>
      <c r="R234">
        <v>1</v>
      </c>
      <c r="S234" t="s">
        <v>1057</v>
      </c>
    </row>
    <row r="235" spans="1:19">
      <c r="A235" t="s">
        <v>851</v>
      </c>
      <c r="B235" t="s">
        <v>20</v>
      </c>
      <c r="C235" t="s">
        <v>35</v>
      </c>
      <c r="D235" s="8">
        <v>45948</v>
      </c>
      <c r="E235" s="8">
        <v>45953</v>
      </c>
      <c r="F235" s="8">
        <v>45957</v>
      </c>
      <c r="G235" s="8">
        <v>45960</v>
      </c>
      <c r="H235" t="s">
        <v>22</v>
      </c>
      <c r="J235" s="8">
        <v>45971</v>
      </c>
      <c r="K235">
        <v>5</v>
      </c>
      <c r="L235">
        <v>4</v>
      </c>
      <c r="M235">
        <v>3</v>
      </c>
      <c r="N235">
        <v>8</v>
      </c>
      <c r="O235">
        <v>1</v>
      </c>
      <c r="P235">
        <v>1</v>
      </c>
      <c r="Q235">
        <v>1</v>
      </c>
      <c r="R235">
        <v>1</v>
      </c>
      <c r="S235" t="s">
        <v>1057</v>
      </c>
    </row>
    <row r="236" spans="1:19">
      <c r="A236" t="s">
        <v>878</v>
      </c>
      <c r="B236" t="s">
        <v>20</v>
      </c>
      <c r="C236" t="s">
        <v>21</v>
      </c>
      <c r="D236" s="8">
        <v>45934</v>
      </c>
      <c r="E236" s="8">
        <v>45937</v>
      </c>
      <c r="F236" s="8">
        <v>45940</v>
      </c>
      <c r="G236" s="8">
        <v>45945</v>
      </c>
      <c r="H236" t="s">
        <v>22</v>
      </c>
      <c r="J236" s="8">
        <v>45975</v>
      </c>
      <c r="K236">
        <v>3</v>
      </c>
      <c r="L236">
        <v>3</v>
      </c>
      <c r="M236">
        <v>5</v>
      </c>
      <c r="N236">
        <v>7</v>
      </c>
      <c r="O236">
        <v>1</v>
      </c>
      <c r="P236">
        <v>1</v>
      </c>
      <c r="Q236">
        <v>1</v>
      </c>
      <c r="R236">
        <v>1</v>
      </c>
      <c r="S236" t="s">
        <v>1057</v>
      </c>
    </row>
    <row r="237" spans="1:19">
      <c r="A237" t="s">
        <v>904</v>
      </c>
      <c r="B237" t="s">
        <v>20</v>
      </c>
      <c r="C237" t="s">
        <v>21</v>
      </c>
      <c r="D237" s="8">
        <v>45941</v>
      </c>
      <c r="E237" s="8">
        <v>45943</v>
      </c>
      <c r="F237" s="8">
        <v>45946</v>
      </c>
      <c r="G237" s="8">
        <v>45951</v>
      </c>
      <c r="H237" t="s">
        <v>22</v>
      </c>
      <c r="J237" s="8">
        <v>45967</v>
      </c>
      <c r="K237">
        <v>2</v>
      </c>
      <c r="L237">
        <v>3</v>
      </c>
      <c r="M237">
        <v>5</v>
      </c>
      <c r="N237">
        <v>7</v>
      </c>
      <c r="O237">
        <v>1</v>
      </c>
      <c r="P237">
        <v>1</v>
      </c>
      <c r="Q237">
        <v>1</v>
      </c>
      <c r="R237">
        <v>1</v>
      </c>
      <c r="S237" t="s">
        <v>1057</v>
      </c>
    </row>
    <row r="238" spans="1:19">
      <c r="A238" t="s">
        <v>924</v>
      </c>
      <c r="B238" t="s">
        <v>20</v>
      </c>
      <c r="C238" t="s">
        <v>21</v>
      </c>
      <c r="D238" s="8">
        <v>45959</v>
      </c>
      <c r="E238" s="8">
        <v>45962</v>
      </c>
      <c r="F238" s="8">
        <v>45966</v>
      </c>
      <c r="G238" s="8">
        <v>45971</v>
      </c>
      <c r="H238" t="s">
        <v>22</v>
      </c>
      <c r="J238" s="8">
        <v>45981</v>
      </c>
      <c r="K238">
        <v>3</v>
      </c>
      <c r="L238">
        <v>4</v>
      </c>
      <c r="M238">
        <v>5</v>
      </c>
      <c r="N238">
        <v>7</v>
      </c>
      <c r="O238">
        <v>1</v>
      </c>
      <c r="P238">
        <v>1</v>
      </c>
      <c r="Q238">
        <v>1</v>
      </c>
      <c r="R238">
        <v>1</v>
      </c>
      <c r="S238" t="s">
        <v>1057</v>
      </c>
    </row>
    <row r="239" spans="1:19">
      <c r="A239" t="s">
        <v>925</v>
      </c>
      <c r="B239" t="s">
        <v>20</v>
      </c>
      <c r="C239" t="s">
        <v>21</v>
      </c>
      <c r="D239" s="8">
        <v>45950</v>
      </c>
      <c r="E239" s="8">
        <v>45955</v>
      </c>
      <c r="F239" s="8">
        <v>45957</v>
      </c>
      <c r="G239" s="8">
        <v>45964</v>
      </c>
      <c r="H239" t="s">
        <v>22</v>
      </c>
      <c r="J239" s="8">
        <v>45974</v>
      </c>
      <c r="K239">
        <v>5</v>
      </c>
      <c r="L239">
        <v>2</v>
      </c>
      <c r="M239">
        <v>7</v>
      </c>
      <c r="N239">
        <v>7</v>
      </c>
      <c r="O239">
        <v>1</v>
      </c>
      <c r="P239">
        <v>1</v>
      </c>
      <c r="Q239">
        <v>1</v>
      </c>
      <c r="R239">
        <v>1</v>
      </c>
      <c r="S239" t="s">
        <v>1057</v>
      </c>
    </row>
    <row r="240" spans="1:19">
      <c r="A240" t="s">
        <v>941</v>
      </c>
      <c r="B240" t="s">
        <v>20</v>
      </c>
      <c r="C240" t="s">
        <v>21</v>
      </c>
      <c r="D240" s="8">
        <v>45942</v>
      </c>
      <c r="E240" s="8">
        <v>45946</v>
      </c>
      <c r="F240" s="8">
        <v>45950</v>
      </c>
      <c r="G240" s="8">
        <v>45956</v>
      </c>
      <c r="H240" t="s">
        <v>22</v>
      </c>
      <c r="J240" s="8">
        <v>45986</v>
      </c>
      <c r="K240">
        <v>4</v>
      </c>
      <c r="L240">
        <v>4</v>
      </c>
      <c r="M240">
        <v>6</v>
      </c>
      <c r="N240">
        <v>8</v>
      </c>
      <c r="O240">
        <v>1</v>
      </c>
      <c r="P240">
        <v>1</v>
      </c>
      <c r="Q240">
        <v>1</v>
      </c>
      <c r="R240">
        <v>1</v>
      </c>
      <c r="S240" t="s">
        <v>1057</v>
      </c>
    </row>
    <row r="241" spans="1:19">
      <c r="A241" t="s">
        <v>993</v>
      </c>
      <c r="B241" t="s">
        <v>20</v>
      </c>
      <c r="C241" t="s">
        <v>35</v>
      </c>
      <c r="D241" s="8">
        <v>45933</v>
      </c>
      <c r="E241" s="8">
        <v>45938</v>
      </c>
      <c r="F241" s="8">
        <v>45940</v>
      </c>
      <c r="G241" s="8">
        <v>45943</v>
      </c>
      <c r="H241" t="s">
        <v>22</v>
      </c>
      <c r="J241" s="8">
        <v>45956</v>
      </c>
      <c r="K241">
        <v>5</v>
      </c>
      <c r="L241">
        <v>2</v>
      </c>
      <c r="M241">
        <v>3</v>
      </c>
      <c r="N241">
        <v>8</v>
      </c>
      <c r="O241">
        <v>1</v>
      </c>
      <c r="P241">
        <v>1</v>
      </c>
      <c r="Q241">
        <v>1</v>
      </c>
      <c r="R241">
        <v>1</v>
      </c>
      <c r="S241" t="s">
        <v>1057</v>
      </c>
    </row>
    <row r="242" spans="1:19">
      <c r="A242" t="s">
        <v>1011</v>
      </c>
      <c r="B242" t="s">
        <v>20</v>
      </c>
      <c r="C242" t="s">
        <v>21</v>
      </c>
      <c r="D242" s="8">
        <v>45940</v>
      </c>
      <c r="E242" s="8">
        <v>45945</v>
      </c>
      <c r="F242" s="8">
        <v>45946</v>
      </c>
      <c r="G242" s="8">
        <v>45949</v>
      </c>
      <c r="H242" t="s">
        <v>22</v>
      </c>
      <c r="J242" s="8">
        <v>45963</v>
      </c>
      <c r="K242">
        <v>5</v>
      </c>
      <c r="L242">
        <v>1</v>
      </c>
      <c r="M242">
        <v>3</v>
      </c>
      <c r="N242">
        <v>8</v>
      </c>
      <c r="O242">
        <v>1</v>
      </c>
      <c r="P242">
        <v>1</v>
      </c>
      <c r="Q242">
        <v>1</v>
      </c>
      <c r="R242">
        <v>1</v>
      </c>
      <c r="S242" t="s">
        <v>1057</v>
      </c>
    </row>
    <row r="243" spans="1:19">
      <c r="A243" t="s">
        <v>1019</v>
      </c>
      <c r="B243" t="s">
        <v>20</v>
      </c>
      <c r="C243" t="s">
        <v>35</v>
      </c>
      <c r="D243" s="8">
        <v>45934</v>
      </c>
      <c r="E243" s="8">
        <v>45937</v>
      </c>
      <c r="F243" s="8">
        <v>45938</v>
      </c>
      <c r="G243" s="8">
        <v>45945</v>
      </c>
      <c r="H243" t="s">
        <v>22</v>
      </c>
      <c r="J243" s="8">
        <v>45956</v>
      </c>
      <c r="K243">
        <v>3</v>
      </c>
      <c r="L243">
        <v>1</v>
      </c>
      <c r="M243">
        <v>7</v>
      </c>
      <c r="N243">
        <v>8</v>
      </c>
      <c r="O243">
        <v>1</v>
      </c>
      <c r="P243">
        <v>1</v>
      </c>
      <c r="Q243">
        <v>1</v>
      </c>
      <c r="R243">
        <v>1</v>
      </c>
      <c r="S243" t="s">
        <v>1057</v>
      </c>
    </row>
    <row r="244" spans="1:19">
      <c r="A244" t="s">
        <v>70</v>
      </c>
      <c r="B244" t="s">
        <v>20</v>
      </c>
      <c r="C244" t="s">
        <v>21</v>
      </c>
      <c r="D244" s="8">
        <v>45938</v>
      </c>
      <c r="E244" s="8">
        <v>45943</v>
      </c>
      <c r="F244" s="8">
        <v>45946</v>
      </c>
      <c r="G244" s="8">
        <v>45953</v>
      </c>
      <c r="H244" t="s">
        <v>22</v>
      </c>
      <c r="J244" s="8">
        <v>45965</v>
      </c>
      <c r="K244">
        <v>5</v>
      </c>
      <c r="L244">
        <v>3</v>
      </c>
      <c r="M244">
        <v>7</v>
      </c>
      <c r="N244">
        <v>9</v>
      </c>
      <c r="O244">
        <v>1</v>
      </c>
      <c r="P244">
        <v>1</v>
      </c>
      <c r="Q244">
        <v>1</v>
      </c>
      <c r="R244">
        <v>1</v>
      </c>
      <c r="S244" t="s">
        <v>1058</v>
      </c>
    </row>
    <row r="245" spans="1:19">
      <c r="A245" t="s">
        <v>102</v>
      </c>
      <c r="B245" t="s">
        <v>20</v>
      </c>
      <c r="C245" t="s">
        <v>35</v>
      </c>
      <c r="D245" s="8">
        <v>45948</v>
      </c>
      <c r="E245" s="8">
        <v>45950</v>
      </c>
      <c r="F245" s="8">
        <v>45954</v>
      </c>
      <c r="G245" s="8">
        <v>45958</v>
      </c>
      <c r="H245" t="s">
        <v>22</v>
      </c>
      <c r="J245" s="8">
        <v>45972</v>
      </c>
      <c r="K245">
        <v>2</v>
      </c>
      <c r="L245">
        <v>4</v>
      </c>
      <c r="M245">
        <v>4</v>
      </c>
      <c r="N245">
        <v>10</v>
      </c>
      <c r="O245">
        <v>1</v>
      </c>
      <c r="P245">
        <v>1</v>
      </c>
      <c r="Q245">
        <v>1</v>
      </c>
      <c r="R245">
        <v>1</v>
      </c>
      <c r="S245" t="s">
        <v>1058</v>
      </c>
    </row>
    <row r="246" spans="1:19">
      <c r="A246" t="s">
        <v>128</v>
      </c>
      <c r="B246" t="s">
        <v>20</v>
      </c>
      <c r="C246" t="s">
        <v>21</v>
      </c>
      <c r="D246" s="8">
        <v>45953</v>
      </c>
      <c r="E246" s="8">
        <v>45955</v>
      </c>
      <c r="F246" s="8">
        <v>45958</v>
      </c>
      <c r="G246" s="8">
        <v>45963</v>
      </c>
      <c r="H246" t="s">
        <v>22</v>
      </c>
      <c r="J246" s="8">
        <v>45976</v>
      </c>
      <c r="K246">
        <v>2</v>
      </c>
      <c r="L246">
        <v>3</v>
      </c>
      <c r="M246">
        <v>5</v>
      </c>
      <c r="N246">
        <v>9</v>
      </c>
      <c r="O246">
        <v>1</v>
      </c>
      <c r="P246">
        <v>1</v>
      </c>
      <c r="Q246">
        <v>1</v>
      </c>
      <c r="R246">
        <v>1</v>
      </c>
      <c r="S246" t="s">
        <v>1058</v>
      </c>
    </row>
    <row r="247" spans="1:19">
      <c r="A247" t="s">
        <v>132</v>
      </c>
      <c r="B247" t="s">
        <v>20</v>
      </c>
      <c r="C247" t="s">
        <v>21</v>
      </c>
      <c r="D247" s="8">
        <v>45949</v>
      </c>
      <c r="E247" s="8">
        <v>45952</v>
      </c>
      <c r="F247" s="8">
        <v>45957</v>
      </c>
      <c r="G247" s="8">
        <v>45964</v>
      </c>
      <c r="H247" t="s">
        <v>22</v>
      </c>
      <c r="J247" s="8">
        <v>45984</v>
      </c>
      <c r="K247">
        <v>3</v>
      </c>
      <c r="L247">
        <v>5</v>
      </c>
      <c r="M247">
        <v>7</v>
      </c>
      <c r="N247">
        <v>10</v>
      </c>
      <c r="O247">
        <v>1</v>
      </c>
      <c r="P247">
        <v>1</v>
      </c>
      <c r="Q247">
        <v>1</v>
      </c>
      <c r="R247">
        <v>1</v>
      </c>
      <c r="S247" t="s">
        <v>1058</v>
      </c>
    </row>
    <row r="248" spans="1:19">
      <c r="A248" t="s">
        <v>140</v>
      </c>
      <c r="B248" t="s">
        <v>20</v>
      </c>
      <c r="C248" t="s">
        <v>21</v>
      </c>
      <c r="D248" s="8">
        <v>45948</v>
      </c>
      <c r="E248" s="8">
        <v>45953</v>
      </c>
      <c r="F248" s="8">
        <v>45954</v>
      </c>
      <c r="G248" s="8">
        <v>45957</v>
      </c>
      <c r="H248" t="s">
        <v>22</v>
      </c>
      <c r="J248" s="8">
        <v>45972</v>
      </c>
      <c r="K248">
        <v>5</v>
      </c>
      <c r="L248">
        <v>1</v>
      </c>
      <c r="M248">
        <v>3</v>
      </c>
      <c r="N248">
        <v>10</v>
      </c>
      <c r="O248">
        <v>1</v>
      </c>
      <c r="P248">
        <v>1</v>
      </c>
      <c r="Q248">
        <v>1</v>
      </c>
      <c r="R248">
        <v>1</v>
      </c>
      <c r="S248" t="s">
        <v>1058</v>
      </c>
    </row>
    <row r="249" spans="1:19">
      <c r="A249" t="s">
        <v>221</v>
      </c>
      <c r="B249" t="s">
        <v>20</v>
      </c>
      <c r="C249" t="s">
        <v>35</v>
      </c>
      <c r="D249" s="8">
        <v>45935</v>
      </c>
      <c r="E249" s="8">
        <v>45939</v>
      </c>
      <c r="F249" s="8">
        <v>45942</v>
      </c>
      <c r="G249" s="8">
        <v>45946</v>
      </c>
      <c r="H249" t="s">
        <v>22</v>
      </c>
      <c r="J249" s="8">
        <v>45969</v>
      </c>
      <c r="K249">
        <v>4</v>
      </c>
      <c r="L249">
        <v>3</v>
      </c>
      <c r="M249">
        <v>4</v>
      </c>
      <c r="N249">
        <v>9</v>
      </c>
      <c r="O249">
        <v>1</v>
      </c>
      <c r="P249">
        <v>1</v>
      </c>
      <c r="Q249">
        <v>1</v>
      </c>
      <c r="R249">
        <v>1</v>
      </c>
      <c r="S249" t="s">
        <v>1058</v>
      </c>
    </row>
    <row r="250" spans="1:19">
      <c r="A250" t="s">
        <v>228</v>
      </c>
      <c r="B250" t="s">
        <v>20</v>
      </c>
      <c r="C250" t="s">
        <v>21</v>
      </c>
      <c r="D250" s="8">
        <v>45938</v>
      </c>
      <c r="E250" s="8">
        <v>45939</v>
      </c>
      <c r="F250" s="8">
        <v>45941</v>
      </c>
      <c r="G250" s="8">
        <v>45944</v>
      </c>
      <c r="H250" t="s">
        <v>22</v>
      </c>
      <c r="J250" s="8">
        <v>45964</v>
      </c>
      <c r="K250">
        <v>1</v>
      </c>
      <c r="L250">
        <v>2</v>
      </c>
      <c r="M250">
        <v>3</v>
      </c>
      <c r="N250">
        <v>9</v>
      </c>
      <c r="O250">
        <v>1</v>
      </c>
      <c r="P250">
        <v>1</v>
      </c>
      <c r="Q250">
        <v>1</v>
      </c>
      <c r="R250">
        <v>1</v>
      </c>
      <c r="S250" t="s">
        <v>1058</v>
      </c>
    </row>
    <row r="251" spans="1:19">
      <c r="A251" t="s">
        <v>242</v>
      </c>
      <c r="B251" t="s">
        <v>20</v>
      </c>
      <c r="C251" t="s">
        <v>35</v>
      </c>
      <c r="D251" s="8">
        <v>45960</v>
      </c>
      <c r="E251" s="8">
        <v>45964</v>
      </c>
      <c r="F251" s="8">
        <v>45967</v>
      </c>
      <c r="G251" s="8">
        <v>45972</v>
      </c>
      <c r="H251" t="s">
        <v>22</v>
      </c>
      <c r="J251" s="8">
        <v>45989</v>
      </c>
      <c r="K251">
        <v>4</v>
      </c>
      <c r="L251">
        <v>3</v>
      </c>
      <c r="M251">
        <v>5</v>
      </c>
      <c r="N251">
        <v>9</v>
      </c>
      <c r="O251">
        <v>1</v>
      </c>
      <c r="P251">
        <v>1</v>
      </c>
      <c r="Q251">
        <v>1</v>
      </c>
      <c r="R251">
        <v>1</v>
      </c>
      <c r="S251" t="s">
        <v>1058</v>
      </c>
    </row>
    <row r="252" spans="1:19">
      <c r="A252" t="s">
        <v>305</v>
      </c>
      <c r="B252" t="s">
        <v>20</v>
      </c>
      <c r="C252" t="s">
        <v>21</v>
      </c>
      <c r="D252" s="8">
        <v>45939</v>
      </c>
      <c r="E252" s="8">
        <v>45940</v>
      </c>
      <c r="F252" s="8">
        <v>45944</v>
      </c>
      <c r="G252" s="8">
        <v>45949</v>
      </c>
      <c r="H252" t="s">
        <v>22</v>
      </c>
      <c r="J252" s="8">
        <v>45973</v>
      </c>
      <c r="K252">
        <v>1</v>
      </c>
      <c r="L252">
        <v>4</v>
      </c>
      <c r="M252">
        <v>5</v>
      </c>
      <c r="N252">
        <v>9</v>
      </c>
      <c r="O252">
        <v>1</v>
      </c>
      <c r="P252">
        <v>1</v>
      </c>
      <c r="Q252">
        <v>1</v>
      </c>
      <c r="R252">
        <v>1</v>
      </c>
      <c r="S252" t="s">
        <v>1058</v>
      </c>
    </row>
    <row r="253" spans="1:19">
      <c r="A253" t="s">
        <v>330</v>
      </c>
      <c r="B253" t="s">
        <v>20</v>
      </c>
      <c r="C253" t="s">
        <v>21</v>
      </c>
      <c r="D253" s="8">
        <v>45946</v>
      </c>
      <c r="E253" s="8">
        <v>45951</v>
      </c>
      <c r="F253" s="8">
        <v>45956</v>
      </c>
      <c r="G253" s="8">
        <v>45960</v>
      </c>
      <c r="H253" t="s">
        <v>22</v>
      </c>
      <c r="J253" s="8">
        <v>45987</v>
      </c>
      <c r="K253">
        <v>5</v>
      </c>
      <c r="L253">
        <v>5</v>
      </c>
      <c r="M253">
        <v>4</v>
      </c>
      <c r="N253">
        <v>10</v>
      </c>
      <c r="O253">
        <v>1</v>
      </c>
      <c r="P253">
        <v>1</v>
      </c>
      <c r="Q253">
        <v>1</v>
      </c>
      <c r="R253">
        <v>1</v>
      </c>
      <c r="S253" t="s">
        <v>1058</v>
      </c>
    </row>
    <row r="254" spans="1:19">
      <c r="A254" t="s">
        <v>349</v>
      </c>
      <c r="B254" t="s">
        <v>20</v>
      </c>
      <c r="C254" t="s">
        <v>21</v>
      </c>
      <c r="D254" s="8">
        <v>45949</v>
      </c>
      <c r="E254" s="8">
        <v>45951</v>
      </c>
      <c r="F254" s="8">
        <v>45952</v>
      </c>
      <c r="G254" s="8">
        <v>45956</v>
      </c>
      <c r="H254" t="s">
        <v>22</v>
      </c>
      <c r="J254" s="8">
        <v>45967</v>
      </c>
      <c r="K254">
        <v>2</v>
      </c>
      <c r="L254">
        <v>1</v>
      </c>
      <c r="M254">
        <v>4</v>
      </c>
      <c r="N254">
        <v>9</v>
      </c>
      <c r="O254">
        <v>1</v>
      </c>
      <c r="P254">
        <v>1</v>
      </c>
      <c r="Q254">
        <v>1</v>
      </c>
      <c r="R254">
        <v>1</v>
      </c>
      <c r="S254" t="s">
        <v>1058</v>
      </c>
    </row>
    <row r="255" spans="1:19">
      <c r="A255" t="s">
        <v>416</v>
      </c>
      <c r="B255" t="s">
        <v>20</v>
      </c>
      <c r="C255" t="s">
        <v>35</v>
      </c>
      <c r="D255" s="8">
        <v>45950</v>
      </c>
      <c r="E255" s="8">
        <v>45951</v>
      </c>
      <c r="F255" s="8">
        <v>45953</v>
      </c>
      <c r="G255" s="8">
        <v>45958</v>
      </c>
      <c r="H255" t="s">
        <v>22</v>
      </c>
      <c r="J255" s="8">
        <v>45979</v>
      </c>
      <c r="K255">
        <v>1</v>
      </c>
      <c r="L255">
        <v>2</v>
      </c>
      <c r="M255">
        <v>5</v>
      </c>
      <c r="N255">
        <v>9</v>
      </c>
      <c r="O255">
        <v>1</v>
      </c>
      <c r="P255">
        <v>1</v>
      </c>
      <c r="Q255">
        <v>1</v>
      </c>
      <c r="R255">
        <v>1</v>
      </c>
      <c r="S255" t="s">
        <v>1058</v>
      </c>
    </row>
    <row r="256" spans="1:19">
      <c r="A256" t="s">
        <v>573</v>
      </c>
      <c r="B256" t="s">
        <v>20</v>
      </c>
      <c r="C256" t="s">
        <v>35</v>
      </c>
      <c r="D256" s="8">
        <v>45933</v>
      </c>
      <c r="E256" s="8">
        <v>45934</v>
      </c>
      <c r="F256" s="8">
        <v>45935</v>
      </c>
      <c r="G256" s="8">
        <v>45941</v>
      </c>
      <c r="H256" t="s">
        <v>22</v>
      </c>
      <c r="J256" s="8">
        <v>45955</v>
      </c>
      <c r="K256">
        <v>1</v>
      </c>
      <c r="L256">
        <v>1</v>
      </c>
      <c r="M256">
        <v>6</v>
      </c>
      <c r="N256">
        <v>9</v>
      </c>
      <c r="O256">
        <v>1</v>
      </c>
      <c r="P256">
        <v>1</v>
      </c>
      <c r="Q256">
        <v>1</v>
      </c>
      <c r="R256">
        <v>1</v>
      </c>
      <c r="S256" t="s">
        <v>1058</v>
      </c>
    </row>
    <row r="257" spans="1:19">
      <c r="A257" t="s">
        <v>608</v>
      </c>
      <c r="B257" t="s">
        <v>20</v>
      </c>
      <c r="C257" t="s">
        <v>35</v>
      </c>
      <c r="D257" s="8">
        <v>45945</v>
      </c>
      <c r="E257" s="8">
        <v>45949</v>
      </c>
      <c r="F257" s="8">
        <v>45953</v>
      </c>
      <c r="G257" s="8">
        <v>45955</v>
      </c>
      <c r="H257" t="s">
        <v>22</v>
      </c>
      <c r="J257" s="8">
        <v>45984</v>
      </c>
      <c r="K257">
        <v>4</v>
      </c>
      <c r="L257">
        <v>4</v>
      </c>
      <c r="M257">
        <v>2</v>
      </c>
      <c r="N257">
        <v>10</v>
      </c>
      <c r="O257">
        <v>1</v>
      </c>
      <c r="P257">
        <v>1</v>
      </c>
      <c r="Q257">
        <v>1</v>
      </c>
      <c r="R257">
        <v>1</v>
      </c>
      <c r="S257" t="s">
        <v>1058</v>
      </c>
    </row>
    <row r="258" spans="1:19">
      <c r="A258" t="s">
        <v>697</v>
      </c>
      <c r="B258" t="s">
        <v>20</v>
      </c>
      <c r="C258" t="s">
        <v>21</v>
      </c>
      <c r="D258" s="8">
        <v>45932</v>
      </c>
      <c r="E258" s="8">
        <v>45933</v>
      </c>
      <c r="F258" s="8">
        <v>45934</v>
      </c>
      <c r="G258" s="8">
        <v>45941</v>
      </c>
      <c r="H258" t="s">
        <v>22</v>
      </c>
      <c r="J258" s="8">
        <v>45959</v>
      </c>
      <c r="K258">
        <v>1</v>
      </c>
      <c r="L258">
        <v>1</v>
      </c>
      <c r="M258">
        <v>7</v>
      </c>
      <c r="N258">
        <v>9</v>
      </c>
      <c r="O258">
        <v>1</v>
      </c>
      <c r="P258">
        <v>1</v>
      </c>
      <c r="Q258">
        <v>1</v>
      </c>
      <c r="R258">
        <v>1</v>
      </c>
      <c r="S258" t="s">
        <v>1058</v>
      </c>
    </row>
    <row r="259" spans="1:19">
      <c r="A259" t="s">
        <v>709</v>
      </c>
      <c r="B259" t="s">
        <v>20</v>
      </c>
      <c r="C259" t="s">
        <v>21</v>
      </c>
      <c r="D259" s="8">
        <v>45950</v>
      </c>
      <c r="E259" s="8">
        <v>45953</v>
      </c>
      <c r="F259" s="8">
        <v>45958</v>
      </c>
      <c r="G259" s="8">
        <v>45962</v>
      </c>
      <c r="H259" t="s">
        <v>22</v>
      </c>
      <c r="J259" s="8">
        <v>45990</v>
      </c>
      <c r="K259">
        <v>3</v>
      </c>
      <c r="L259">
        <v>5</v>
      </c>
      <c r="M259">
        <v>4</v>
      </c>
      <c r="N259">
        <v>10</v>
      </c>
      <c r="O259">
        <v>1</v>
      </c>
      <c r="P259">
        <v>1</v>
      </c>
      <c r="Q259">
        <v>1</v>
      </c>
      <c r="R259">
        <v>1</v>
      </c>
      <c r="S259" t="s">
        <v>1058</v>
      </c>
    </row>
    <row r="260" spans="1:19">
      <c r="A260" t="s">
        <v>734</v>
      </c>
      <c r="B260" t="s">
        <v>20</v>
      </c>
      <c r="C260" t="s">
        <v>35</v>
      </c>
      <c r="D260" s="8">
        <v>45932</v>
      </c>
      <c r="E260" s="8">
        <v>45936</v>
      </c>
      <c r="F260" s="8">
        <v>45939</v>
      </c>
      <c r="G260" s="8">
        <v>45944</v>
      </c>
      <c r="H260" t="s">
        <v>22</v>
      </c>
      <c r="J260" s="8">
        <v>45967</v>
      </c>
      <c r="K260">
        <v>4</v>
      </c>
      <c r="L260">
        <v>3</v>
      </c>
      <c r="M260">
        <v>5</v>
      </c>
      <c r="N260">
        <v>9</v>
      </c>
      <c r="O260">
        <v>1</v>
      </c>
      <c r="P260">
        <v>1</v>
      </c>
      <c r="Q260">
        <v>1</v>
      </c>
      <c r="R260">
        <v>1</v>
      </c>
      <c r="S260" t="s">
        <v>1058</v>
      </c>
    </row>
    <row r="261" spans="1:19">
      <c r="A261" t="s">
        <v>749</v>
      </c>
      <c r="B261" t="s">
        <v>20</v>
      </c>
      <c r="C261" t="s">
        <v>21</v>
      </c>
      <c r="D261" s="8">
        <v>45948</v>
      </c>
      <c r="E261" s="8">
        <v>45950</v>
      </c>
      <c r="F261" s="8">
        <v>45954</v>
      </c>
      <c r="G261" s="8">
        <v>45958</v>
      </c>
      <c r="H261" t="s">
        <v>22</v>
      </c>
      <c r="J261" s="8">
        <v>45969</v>
      </c>
      <c r="K261">
        <v>2</v>
      </c>
      <c r="L261">
        <v>4</v>
      </c>
      <c r="M261">
        <v>4</v>
      </c>
      <c r="N261">
        <v>9</v>
      </c>
      <c r="O261">
        <v>1</v>
      </c>
      <c r="P261">
        <v>1</v>
      </c>
      <c r="Q261">
        <v>1</v>
      </c>
      <c r="R261">
        <v>1</v>
      </c>
      <c r="S261" t="s">
        <v>1058</v>
      </c>
    </row>
    <row r="262" spans="1:19">
      <c r="A262" t="s">
        <v>778</v>
      </c>
      <c r="B262" t="s">
        <v>20</v>
      </c>
      <c r="C262" t="s">
        <v>21</v>
      </c>
      <c r="D262" s="8">
        <v>45958</v>
      </c>
      <c r="E262" s="8">
        <v>45960</v>
      </c>
      <c r="F262" s="8">
        <v>45963</v>
      </c>
      <c r="G262" s="8">
        <v>45969</v>
      </c>
      <c r="H262" t="s">
        <v>22</v>
      </c>
      <c r="J262" s="8">
        <v>45985</v>
      </c>
      <c r="K262">
        <v>2</v>
      </c>
      <c r="L262">
        <v>3</v>
      </c>
      <c r="M262">
        <v>6</v>
      </c>
      <c r="N262">
        <v>9</v>
      </c>
      <c r="O262">
        <v>1</v>
      </c>
      <c r="P262">
        <v>1</v>
      </c>
      <c r="Q262">
        <v>1</v>
      </c>
      <c r="R262">
        <v>1</v>
      </c>
      <c r="S262" t="s">
        <v>1058</v>
      </c>
    </row>
    <row r="263" spans="1:19">
      <c r="A263" t="s">
        <v>786</v>
      </c>
      <c r="B263" t="s">
        <v>20</v>
      </c>
      <c r="C263" t="s">
        <v>35</v>
      </c>
      <c r="D263" s="8">
        <v>45948</v>
      </c>
      <c r="E263" s="8">
        <v>45953</v>
      </c>
      <c r="F263" s="8">
        <v>45954</v>
      </c>
      <c r="G263" s="8">
        <v>45960</v>
      </c>
      <c r="H263" t="s">
        <v>22</v>
      </c>
      <c r="J263" s="8">
        <v>45981</v>
      </c>
      <c r="K263">
        <v>5</v>
      </c>
      <c r="L263">
        <v>1</v>
      </c>
      <c r="M263">
        <v>6</v>
      </c>
      <c r="N263">
        <v>9</v>
      </c>
      <c r="O263">
        <v>1</v>
      </c>
      <c r="P263">
        <v>1</v>
      </c>
      <c r="Q263">
        <v>1</v>
      </c>
      <c r="R263">
        <v>1</v>
      </c>
      <c r="S263" t="s">
        <v>1058</v>
      </c>
    </row>
    <row r="264" spans="1:19">
      <c r="A264" t="s">
        <v>835</v>
      </c>
      <c r="B264" t="s">
        <v>20</v>
      </c>
      <c r="C264" t="s">
        <v>21</v>
      </c>
      <c r="D264" s="8">
        <v>45940</v>
      </c>
      <c r="E264" s="8">
        <v>45945</v>
      </c>
      <c r="F264" s="8">
        <v>45950</v>
      </c>
      <c r="G264" s="8">
        <v>45955</v>
      </c>
      <c r="H264" t="s">
        <v>22</v>
      </c>
      <c r="J264" s="8">
        <v>45983</v>
      </c>
      <c r="K264">
        <v>5</v>
      </c>
      <c r="L264">
        <v>5</v>
      </c>
      <c r="M264">
        <v>5</v>
      </c>
      <c r="N264">
        <v>10</v>
      </c>
      <c r="O264">
        <v>1</v>
      </c>
      <c r="P264">
        <v>1</v>
      </c>
      <c r="Q264">
        <v>1</v>
      </c>
      <c r="R264">
        <v>1</v>
      </c>
      <c r="S264" t="s">
        <v>1058</v>
      </c>
    </row>
    <row r="265" spans="1:19">
      <c r="A265" t="s">
        <v>990</v>
      </c>
      <c r="B265" t="s">
        <v>20</v>
      </c>
      <c r="C265" t="s">
        <v>21</v>
      </c>
      <c r="D265" s="8">
        <v>45953</v>
      </c>
      <c r="E265" s="8">
        <v>45956</v>
      </c>
      <c r="F265" s="8">
        <v>45957</v>
      </c>
      <c r="G265" s="8">
        <v>45961</v>
      </c>
      <c r="H265" t="s">
        <v>22</v>
      </c>
      <c r="J265" s="8">
        <v>45972</v>
      </c>
      <c r="K265">
        <v>3</v>
      </c>
      <c r="L265">
        <v>1</v>
      </c>
      <c r="M265">
        <v>4</v>
      </c>
      <c r="N265">
        <v>10</v>
      </c>
      <c r="O265">
        <v>1</v>
      </c>
      <c r="P265">
        <v>1</v>
      </c>
      <c r="Q265">
        <v>1</v>
      </c>
      <c r="R265">
        <v>1</v>
      </c>
      <c r="S265" t="s">
        <v>1058</v>
      </c>
    </row>
    <row r="266" spans="1:19">
      <c r="A266" t="s">
        <v>997</v>
      </c>
      <c r="B266" t="s">
        <v>20</v>
      </c>
      <c r="C266" t="s">
        <v>21</v>
      </c>
      <c r="D266" s="8">
        <v>45950</v>
      </c>
      <c r="E266" s="8">
        <v>45952</v>
      </c>
      <c r="F266" s="8">
        <v>45955</v>
      </c>
      <c r="G266" s="8">
        <v>45958</v>
      </c>
      <c r="H266" t="s">
        <v>22</v>
      </c>
      <c r="J266" s="8">
        <v>45983</v>
      </c>
      <c r="K266">
        <v>2</v>
      </c>
      <c r="L266">
        <v>3</v>
      </c>
      <c r="M266">
        <v>3</v>
      </c>
      <c r="N266">
        <v>9</v>
      </c>
      <c r="O266">
        <v>1</v>
      </c>
      <c r="P266">
        <v>1</v>
      </c>
      <c r="Q266">
        <v>1</v>
      </c>
      <c r="R266">
        <v>1</v>
      </c>
      <c r="S266" t="s">
        <v>1058</v>
      </c>
    </row>
    <row r="267" spans="1:19">
      <c r="A267" t="s">
        <v>36</v>
      </c>
      <c r="B267" t="s">
        <v>37</v>
      </c>
      <c r="C267" t="s">
        <v>21</v>
      </c>
      <c r="D267" s="8">
        <v>45934</v>
      </c>
      <c r="E267" s="8">
        <v>45935</v>
      </c>
      <c r="F267" s="8">
        <v>45938</v>
      </c>
      <c r="G267" s="8">
        <v>45945</v>
      </c>
      <c r="H267" t="s">
        <v>28</v>
      </c>
      <c r="I267" t="s">
        <v>38</v>
      </c>
      <c r="K267">
        <v>1</v>
      </c>
      <c r="L267">
        <v>3</v>
      </c>
      <c r="M267">
        <v>7</v>
      </c>
      <c r="O267">
        <v>1</v>
      </c>
      <c r="P267">
        <v>1</v>
      </c>
      <c r="Q267">
        <v>1</v>
      </c>
      <c r="R267">
        <v>0</v>
      </c>
      <c r="S267" t="s">
        <v>1055</v>
      </c>
    </row>
    <row r="268" spans="1:19">
      <c r="A268" t="s">
        <v>110</v>
      </c>
      <c r="B268" t="s">
        <v>37</v>
      </c>
      <c r="C268" t="s">
        <v>27</v>
      </c>
      <c r="D268" s="8">
        <v>45954</v>
      </c>
      <c r="H268" t="s">
        <v>28</v>
      </c>
      <c r="I268" t="s">
        <v>29</v>
      </c>
      <c r="O268">
        <v>1</v>
      </c>
      <c r="P268">
        <v>0</v>
      </c>
      <c r="Q268">
        <v>0</v>
      </c>
      <c r="R268">
        <v>0</v>
      </c>
      <c r="S268" t="s">
        <v>1055</v>
      </c>
    </row>
    <row r="269" spans="1:19">
      <c r="A269" t="s">
        <v>112</v>
      </c>
      <c r="B269" t="s">
        <v>37</v>
      </c>
      <c r="C269" t="s">
        <v>21</v>
      </c>
      <c r="D269" s="8">
        <v>45946</v>
      </c>
      <c r="E269" s="8">
        <v>45948</v>
      </c>
      <c r="F269" s="8">
        <v>45950</v>
      </c>
      <c r="G269" s="8">
        <v>45956</v>
      </c>
      <c r="H269" t="s">
        <v>28</v>
      </c>
      <c r="I269" t="s">
        <v>38</v>
      </c>
      <c r="K269">
        <v>2</v>
      </c>
      <c r="L269">
        <v>2</v>
      </c>
      <c r="M269">
        <v>6</v>
      </c>
      <c r="O269">
        <v>1</v>
      </c>
      <c r="P269">
        <v>1</v>
      </c>
      <c r="Q269">
        <v>1</v>
      </c>
      <c r="R269">
        <v>0</v>
      </c>
      <c r="S269" t="s">
        <v>1055</v>
      </c>
    </row>
    <row r="270" spans="1:19">
      <c r="A270" t="s">
        <v>114</v>
      </c>
      <c r="B270" t="s">
        <v>37</v>
      </c>
      <c r="C270" t="s">
        <v>27</v>
      </c>
      <c r="D270" s="8">
        <v>45955</v>
      </c>
      <c r="H270" t="s">
        <v>28</v>
      </c>
      <c r="I270" t="s">
        <v>29</v>
      </c>
      <c r="O270">
        <v>1</v>
      </c>
      <c r="P270">
        <v>0</v>
      </c>
      <c r="Q270">
        <v>0</v>
      </c>
      <c r="R270">
        <v>0</v>
      </c>
      <c r="S270" t="s">
        <v>1055</v>
      </c>
    </row>
    <row r="271" spans="1:19">
      <c r="A271" t="s">
        <v>127</v>
      </c>
      <c r="B271" t="s">
        <v>37</v>
      </c>
      <c r="C271" t="s">
        <v>27</v>
      </c>
      <c r="D271" s="8">
        <v>45943</v>
      </c>
      <c r="H271" t="s">
        <v>28</v>
      </c>
      <c r="I271" t="s">
        <v>31</v>
      </c>
      <c r="O271">
        <v>1</v>
      </c>
      <c r="P271">
        <v>0</v>
      </c>
      <c r="Q271">
        <v>0</v>
      </c>
      <c r="R271">
        <v>0</v>
      </c>
      <c r="S271" t="s">
        <v>1055</v>
      </c>
    </row>
    <row r="272" spans="1:19">
      <c r="A272" t="s">
        <v>160</v>
      </c>
      <c r="B272" t="s">
        <v>37</v>
      </c>
      <c r="C272" t="s">
        <v>27</v>
      </c>
      <c r="D272" s="8">
        <v>45937</v>
      </c>
      <c r="H272" t="s">
        <v>28</v>
      </c>
      <c r="I272" t="s">
        <v>68</v>
      </c>
      <c r="O272">
        <v>1</v>
      </c>
      <c r="P272">
        <v>0</v>
      </c>
      <c r="Q272">
        <v>0</v>
      </c>
      <c r="R272">
        <v>0</v>
      </c>
      <c r="S272" t="s">
        <v>1055</v>
      </c>
    </row>
    <row r="273" spans="1:19">
      <c r="A273" t="s">
        <v>174</v>
      </c>
      <c r="B273" t="s">
        <v>37</v>
      </c>
      <c r="C273" t="s">
        <v>27</v>
      </c>
      <c r="D273" s="8">
        <v>45940</v>
      </c>
      <c r="H273" t="s">
        <v>28</v>
      </c>
      <c r="I273" t="s">
        <v>29</v>
      </c>
      <c r="O273">
        <v>1</v>
      </c>
      <c r="P273">
        <v>0</v>
      </c>
      <c r="Q273">
        <v>0</v>
      </c>
      <c r="R273">
        <v>0</v>
      </c>
      <c r="S273" t="s">
        <v>1055</v>
      </c>
    </row>
    <row r="274" spans="1:19">
      <c r="A274" t="s">
        <v>180</v>
      </c>
      <c r="B274" t="s">
        <v>37</v>
      </c>
      <c r="C274" t="s">
        <v>27</v>
      </c>
      <c r="D274" s="8">
        <v>45953</v>
      </c>
      <c r="H274" t="s">
        <v>28</v>
      </c>
      <c r="I274" t="s">
        <v>38</v>
      </c>
      <c r="O274">
        <v>1</v>
      </c>
      <c r="P274">
        <v>0</v>
      </c>
      <c r="Q274">
        <v>0</v>
      </c>
      <c r="R274">
        <v>0</v>
      </c>
      <c r="S274" t="s">
        <v>1055</v>
      </c>
    </row>
    <row r="275" spans="1:19">
      <c r="A275" t="s">
        <v>199</v>
      </c>
      <c r="B275" t="s">
        <v>37</v>
      </c>
      <c r="C275" t="s">
        <v>21</v>
      </c>
      <c r="D275" s="8">
        <v>45940</v>
      </c>
      <c r="E275" s="8">
        <v>45944</v>
      </c>
      <c r="F275" s="8">
        <v>45949</v>
      </c>
      <c r="G275" s="8">
        <v>45955</v>
      </c>
      <c r="H275" t="s">
        <v>28</v>
      </c>
      <c r="I275" t="s">
        <v>38</v>
      </c>
      <c r="K275">
        <v>4</v>
      </c>
      <c r="L275">
        <v>5</v>
      </c>
      <c r="M275">
        <v>6</v>
      </c>
      <c r="O275">
        <v>1</v>
      </c>
      <c r="P275">
        <v>1</v>
      </c>
      <c r="Q275">
        <v>1</v>
      </c>
      <c r="R275">
        <v>0</v>
      </c>
      <c r="S275" t="s">
        <v>1055</v>
      </c>
    </row>
    <row r="276" spans="1:19">
      <c r="A276" t="s">
        <v>203</v>
      </c>
      <c r="B276" t="s">
        <v>37</v>
      </c>
      <c r="C276" t="s">
        <v>27</v>
      </c>
      <c r="D276" s="8">
        <v>45941</v>
      </c>
      <c r="H276" t="s">
        <v>28</v>
      </c>
      <c r="I276" t="s">
        <v>31</v>
      </c>
      <c r="O276">
        <v>1</v>
      </c>
      <c r="P276">
        <v>0</v>
      </c>
      <c r="Q276">
        <v>0</v>
      </c>
      <c r="R276">
        <v>0</v>
      </c>
      <c r="S276" t="s">
        <v>1055</v>
      </c>
    </row>
    <row r="277" spans="1:19">
      <c r="A277" t="s">
        <v>208</v>
      </c>
      <c r="B277" t="s">
        <v>37</v>
      </c>
      <c r="C277" t="s">
        <v>27</v>
      </c>
      <c r="D277" s="8">
        <v>45961</v>
      </c>
      <c r="H277" t="s">
        <v>28</v>
      </c>
      <c r="I277" t="s">
        <v>106</v>
      </c>
      <c r="O277">
        <v>1</v>
      </c>
      <c r="P277">
        <v>0</v>
      </c>
      <c r="Q277">
        <v>0</v>
      </c>
      <c r="R277">
        <v>0</v>
      </c>
      <c r="S277" t="s">
        <v>1055</v>
      </c>
    </row>
    <row r="278" spans="1:19">
      <c r="A278" t="s">
        <v>215</v>
      </c>
      <c r="B278" t="s">
        <v>37</v>
      </c>
      <c r="C278" t="s">
        <v>27</v>
      </c>
      <c r="D278" s="8">
        <v>45946</v>
      </c>
      <c r="H278" t="s">
        <v>28</v>
      </c>
      <c r="I278" t="s">
        <v>31</v>
      </c>
      <c r="O278">
        <v>1</v>
      </c>
      <c r="P278">
        <v>0</v>
      </c>
      <c r="Q278">
        <v>0</v>
      </c>
      <c r="R278">
        <v>0</v>
      </c>
      <c r="S278" t="s">
        <v>1055</v>
      </c>
    </row>
    <row r="279" spans="1:19">
      <c r="A279" t="s">
        <v>253</v>
      </c>
      <c r="B279" t="s">
        <v>37</v>
      </c>
      <c r="C279" t="s">
        <v>27</v>
      </c>
      <c r="D279" s="8">
        <v>45961</v>
      </c>
      <c r="H279" t="s">
        <v>28</v>
      </c>
      <c r="I279" t="s">
        <v>106</v>
      </c>
      <c r="O279">
        <v>1</v>
      </c>
      <c r="P279">
        <v>0</v>
      </c>
      <c r="Q279">
        <v>0</v>
      </c>
      <c r="R279">
        <v>0</v>
      </c>
      <c r="S279" t="s">
        <v>1055</v>
      </c>
    </row>
    <row r="280" spans="1:19">
      <c r="A280" t="s">
        <v>259</v>
      </c>
      <c r="B280" t="s">
        <v>37</v>
      </c>
      <c r="C280" t="s">
        <v>21</v>
      </c>
      <c r="D280" s="8">
        <v>45951</v>
      </c>
      <c r="E280" s="8">
        <v>45953</v>
      </c>
      <c r="F280" s="8">
        <v>45958</v>
      </c>
      <c r="G280" s="8">
        <v>45964</v>
      </c>
      <c r="H280" t="s">
        <v>28</v>
      </c>
      <c r="I280" t="s">
        <v>38</v>
      </c>
      <c r="K280">
        <v>2</v>
      </c>
      <c r="L280">
        <v>5</v>
      </c>
      <c r="M280">
        <v>6</v>
      </c>
      <c r="O280">
        <v>1</v>
      </c>
      <c r="P280">
        <v>1</v>
      </c>
      <c r="Q280">
        <v>1</v>
      </c>
      <c r="R280">
        <v>0</v>
      </c>
      <c r="S280" t="s">
        <v>1055</v>
      </c>
    </row>
    <row r="281" spans="1:19">
      <c r="A281" t="s">
        <v>314</v>
      </c>
      <c r="B281" t="s">
        <v>37</v>
      </c>
      <c r="C281" t="s">
        <v>27</v>
      </c>
      <c r="D281" s="8">
        <v>45954</v>
      </c>
      <c r="H281" t="s">
        <v>28</v>
      </c>
      <c r="I281" t="s">
        <v>38</v>
      </c>
      <c r="O281">
        <v>1</v>
      </c>
      <c r="P281">
        <v>0</v>
      </c>
      <c r="Q281">
        <v>0</v>
      </c>
      <c r="R281">
        <v>0</v>
      </c>
      <c r="S281" t="s">
        <v>1055</v>
      </c>
    </row>
    <row r="282" spans="1:19">
      <c r="A282" t="s">
        <v>316</v>
      </c>
      <c r="B282" t="s">
        <v>37</v>
      </c>
      <c r="C282" t="s">
        <v>27</v>
      </c>
      <c r="D282" s="8">
        <v>45949</v>
      </c>
      <c r="H282" t="s">
        <v>28</v>
      </c>
      <c r="I282" t="s">
        <v>38</v>
      </c>
      <c r="O282">
        <v>1</v>
      </c>
      <c r="P282">
        <v>0</v>
      </c>
      <c r="Q282">
        <v>0</v>
      </c>
      <c r="R282">
        <v>0</v>
      </c>
      <c r="S282" t="s">
        <v>1055</v>
      </c>
    </row>
    <row r="283" spans="1:19">
      <c r="A283" t="s">
        <v>328</v>
      </c>
      <c r="B283" t="s">
        <v>37</v>
      </c>
      <c r="C283" t="s">
        <v>21</v>
      </c>
      <c r="D283" s="8">
        <v>45947</v>
      </c>
      <c r="E283" s="8">
        <v>45951</v>
      </c>
      <c r="F283" s="8">
        <v>45954</v>
      </c>
      <c r="G283" s="8">
        <v>45961</v>
      </c>
      <c r="H283" t="s">
        <v>28</v>
      </c>
      <c r="I283" t="s">
        <v>68</v>
      </c>
      <c r="K283">
        <v>4</v>
      </c>
      <c r="L283">
        <v>3</v>
      </c>
      <c r="M283">
        <v>7</v>
      </c>
      <c r="O283">
        <v>1</v>
      </c>
      <c r="P283">
        <v>1</v>
      </c>
      <c r="Q283">
        <v>1</v>
      </c>
      <c r="R283">
        <v>0</v>
      </c>
      <c r="S283" t="s">
        <v>1055</v>
      </c>
    </row>
    <row r="284" spans="1:19">
      <c r="A284" t="s">
        <v>355</v>
      </c>
      <c r="B284" t="s">
        <v>37</v>
      </c>
      <c r="C284" t="s">
        <v>21</v>
      </c>
      <c r="D284" s="8">
        <v>45939</v>
      </c>
      <c r="E284" s="8">
        <v>45944</v>
      </c>
      <c r="F284" s="8">
        <v>45946</v>
      </c>
      <c r="G284" s="8">
        <v>45953</v>
      </c>
      <c r="H284" t="s">
        <v>28</v>
      </c>
      <c r="I284" t="s">
        <v>68</v>
      </c>
      <c r="K284">
        <v>5</v>
      </c>
      <c r="L284">
        <v>2</v>
      </c>
      <c r="M284">
        <v>7</v>
      </c>
      <c r="O284">
        <v>1</v>
      </c>
      <c r="P284">
        <v>1</v>
      </c>
      <c r="Q284">
        <v>1</v>
      </c>
      <c r="R284">
        <v>0</v>
      </c>
      <c r="S284" t="s">
        <v>1055</v>
      </c>
    </row>
    <row r="285" spans="1:19">
      <c r="A285" t="s">
        <v>370</v>
      </c>
      <c r="B285" t="s">
        <v>37</v>
      </c>
      <c r="C285" t="s">
        <v>27</v>
      </c>
      <c r="D285" s="8">
        <v>45951</v>
      </c>
      <c r="H285" t="s">
        <v>28</v>
      </c>
      <c r="I285" t="s">
        <v>68</v>
      </c>
      <c r="O285">
        <v>1</v>
      </c>
      <c r="P285">
        <v>0</v>
      </c>
      <c r="Q285">
        <v>0</v>
      </c>
      <c r="R285">
        <v>0</v>
      </c>
      <c r="S285" t="s">
        <v>1055</v>
      </c>
    </row>
    <row r="286" spans="1:19">
      <c r="A286" t="s">
        <v>372</v>
      </c>
      <c r="B286" t="s">
        <v>37</v>
      </c>
      <c r="C286" t="s">
        <v>27</v>
      </c>
      <c r="D286" s="8">
        <v>45946</v>
      </c>
      <c r="H286" t="s">
        <v>28</v>
      </c>
      <c r="I286" t="s">
        <v>68</v>
      </c>
      <c r="O286">
        <v>1</v>
      </c>
      <c r="P286">
        <v>0</v>
      </c>
      <c r="Q286">
        <v>0</v>
      </c>
      <c r="R286">
        <v>0</v>
      </c>
      <c r="S286" t="s">
        <v>1055</v>
      </c>
    </row>
    <row r="287" spans="1:19">
      <c r="A287" t="s">
        <v>386</v>
      </c>
      <c r="B287" t="s">
        <v>37</v>
      </c>
      <c r="C287" t="s">
        <v>27</v>
      </c>
      <c r="D287" s="8">
        <v>45946</v>
      </c>
      <c r="H287" t="s">
        <v>28</v>
      </c>
      <c r="I287" t="s">
        <v>31</v>
      </c>
      <c r="O287">
        <v>1</v>
      </c>
      <c r="P287">
        <v>0</v>
      </c>
      <c r="Q287">
        <v>0</v>
      </c>
      <c r="R287">
        <v>0</v>
      </c>
      <c r="S287" t="s">
        <v>1055</v>
      </c>
    </row>
    <row r="288" spans="1:19">
      <c r="A288" t="s">
        <v>420</v>
      </c>
      <c r="B288" t="s">
        <v>37</v>
      </c>
      <c r="C288" t="s">
        <v>21</v>
      </c>
      <c r="D288" s="8">
        <v>45945</v>
      </c>
      <c r="E288" s="8">
        <v>45950</v>
      </c>
      <c r="F288" s="8">
        <v>45952</v>
      </c>
      <c r="G288" s="8">
        <v>45957</v>
      </c>
      <c r="H288" t="s">
        <v>28</v>
      </c>
      <c r="I288" t="s">
        <v>106</v>
      </c>
      <c r="K288">
        <v>5</v>
      </c>
      <c r="L288">
        <v>2</v>
      </c>
      <c r="M288">
        <v>5</v>
      </c>
      <c r="O288">
        <v>1</v>
      </c>
      <c r="P288">
        <v>1</v>
      </c>
      <c r="Q288">
        <v>1</v>
      </c>
      <c r="R288">
        <v>0</v>
      </c>
      <c r="S288" t="s">
        <v>1055</v>
      </c>
    </row>
    <row r="289" spans="1:19">
      <c r="A289" t="s">
        <v>437</v>
      </c>
      <c r="B289" t="s">
        <v>37</v>
      </c>
      <c r="C289" t="s">
        <v>21</v>
      </c>
      <c r="D289" s="8">
        <v>45956</v>
      </c>
      <c r="E289" s="8">
        <v>45959</v>
      </c>
      <c r="F289" s="8">
        <v>45964</v>
      </c>
      <c r="G289" s="8">
        <v>45970</v>
      </c>
      <c r="H289" t="s">
        <v>28</v>
      </c>
      <c r="I289" t="s">
        <v>29</v>
      </c>
      <c r="K289">
        <v>3</v>
      </c>
      <c r="L289">
        <v>5</v>
      </c>
      <c r="M289">
        <v>6</v>
      </c>
      <c r="O289">
        <v>1</v>
      </c>
      <c r="P289">
        <v>1</v>
      </c>
      <c r="Q289">
        <v>1</v>
      </c>
      <c r="R289">
        <v>0</v>
      </c>
      <c r="S289" t="s">
        <v>1055</v>
      </c>
    </row>
    <row r="290" spans="1:19">
      <c r="A290" t="s">
        <v>456</v>
      </c>
      <c r="B290" t="s">
        <v>37</v>
      </c>
      <c r="C290" t="s">
        <v>27</v>
      </c>
      <c r="D290" s="8">
        <v>45935</v>
      </c>
      <c r="H290" t="s">
        <v>28</v>
      </c>
      <c r="I290" t="s">
        <v>106</v>
      </c>
      <c r="O290">
        <v>1</v>
      </c>
      <c r="P290">
        <v>0</v>
      </c>
      <c r="Q290">
        <v>0</v>
      </c>
      <c r="R290">
        <v>0</v>
      </c>
      <c r="S290" t="s">
        <v>1055</v>
      </c>
    </row>
    <row r="291" spans="1:19">
      <c r="A291" t="s">
        <v>472</v>
      </c>
      <c r="B291" t="s">
        <v>37</v>
      </c>
      <c r="C291" t="s">
        <v>27</v>
      </c>
      <c r="D291" s="8">
        <v>45943</v>
      </c>
      <c r="H291" t="s">
        <v>28</v>
      </c>
      <c r="I291" t="s">
        <v>106</v>
      </c>
      <c r="O291">
        <v>1</v>
      </c>
      <c r="P291">
        <v>0</v>
      </c>
      <c r="Q291">
        <v>0</v>
      </c>
      <c r="R291">
        <v>0</v>
      </c>
      <c r="S291" t="s">
        <v>1055</v>
      </c>
    </row>
    <row r="292" spans="1:19">
      <c r="A292" t="s">
        <v>479</v>
      </c>
      <c r="B292" t="s">
        <v>37</v>
      </c>
      <c r="C292" t="s">
        <v>27</v>
      </c>
      <c r="D292" s="8">
        <v>45935</v>
      </c>
      <c r="H292" t="s">
        <v>28</v>
      </c>
      <c r="I292" t="s">
        <v>106</v>
      </c>
      <c r="O292">
        <v>1</v>
      </c>
      <c r="P292">
        <v>0</v>
      </c>
      <c r="Q292">
        <v>0</v>
      </c>
      <c r="R292">
        <v>0</v>
      </c>
      <c r="S292" t="s">
        <v>1055</v>
      </c>
    </row>
    <row r="293" spans="1:19">
      <c r="A293" t="s">
        <v>518</v>
      </c>
      <c r="B293" t="s">
        <v>37</v>
      </c>
      <c r="C293" t="s">
        <v>21</v>
      </c>
      <c r="D293" s="8">
        <v>45953</v>
      </c>
      <c r="E293" s="8">
        <v>45955</v>
      </c>
      <c r="F293" s="8">
        <v>45959</v>
      </c>
      <c r="G293" s="8">
        <v>45963</v>
      </c>
      <c r="H293" t="s">
        <v>28</v>
      </c>
      <c r="I293" t="s">
        <v>31</v>
      </c>
      <c r="K293">
        <v>2</v>
      </c>
      <c r="L293">
        <v>4</v>
      </c>
      <c r="M293">
        <v>4</v>
      </c>
      <c r="O293">
        <v>1</v>
      </c>
      <c r="P293">
        <v>1</v>
      </c>
      <c r="Q293">
        <v>1</v>
      </c>
      <c r="R293">
        <v>0</v>
      </c>
      <c r="S293" t="s">
        <v>1055</v>
      </c>
    </row>
    <row r="294" spans="1:19">
      <c r="A294" t="s">
        <v>528</v>
      </c>
      <c r="B294" t="s">
        <v>37</v>
      </c>
      <c r="C294" t="s">
        <v>27</v>
      </c>
      <c r="D294" s="8">
        <v>45954</v>
      </c>
      <c r="H294" t="s">
        <v>28</v>
      </c>
      <c r="I294" t="s">
        <v>68</v>
      </c>
      <c r="O294">
        <v>1</v>
      </c>
      <c r="P294">
        <v>0</v>
      </c>
      <c r="Q294">
        <v>0</v>
      </c>
      <c r="R294">
        <v>0</v>
      </c>
      <c r="S294" t="s">
        <v>1055</v>
      </c>
    </row>
    <row r="295" spans="1:19">
      <c r="A295" t="s">
        <v>530</v>
      </c>
      <c r="B295" t="s">
        <v>37</v>
      </c>
      <c r="C295" t="s">
        <v>27</v>
      </c>
      <c r="D295" s="8">
        <v>45953</v>
      </c>
      <c r="H295" t="s">
        <v>28</v>
      </c>
      <c r="I295" t="s">
        <v>106</v>
      </c>
      <c r="O295">
        <v>1</v>
      </c>
      <c r="P295">
        <v>0</v>
      </c>
      <c r="Q295">
        <v>0</v>
      </c>
      <c r="R295">
        <v>0</v>
      </c>
      <c r="S295" t="s">
        <v>1055</v>
      </c>
    </row>
    <row r="296" spans="1:19">
      <c r="A296" t="s">
        <v>568</v>
      </c>
      <c r="B296" t="s">
        <v>37</v>
      </c>
      <c r="C296" t="s">
        <v>35</v>
      </c>
      <c r="D296" s="8">
        <v>45941</v>
      </c>
      <c r="E296" s="8">
        <v>45943</v>
      </c>
      <c r="F296" s="8">
        <v>45946</v>
      </c>
      <c r="G296" s="8">
        <v>45948</v>
      </c>
      <c r="H296" t="s">
        <v>28</v>
      </c>
      <c r="I296" t="s">
        <v>68</v>
      </c>
      <c r="K296">
        <v>2</v>
      </c>
      <c r="L296">
        <v>3</v>
      </c>
      <c r="M296">
        <v>2</v>
      </c>
      <c r="O296">
        <v>1</v>
      </c>
      <c r="P296">
        <v>1</v>
      </c>
      <c r="Q296">
        <v>1</v>
      </c>
      <c r="R296">
        <v>0</v>
      </c>
      <c r="S296" t="s">
        <v>1055</v>
      </c>
    </row>
    <row r="297" spans="1:19">
      <c r="A297" t="s">
        <v>571</v>
      </c>
      <c r="B297" t="s">
        <v>37</v>
      </c>
      <c r="C297" t="s">
        <v>27</v>
      </c>
      <c r="D297" s="8">
        <v>45943</v>
      </c>
      <c r="H297" t="s">
        <v>28</v>
      </c>
      <c r="I297" t="s">
        <v>31</v>
      </c>
      <c r="O297">
        <v>1</v>
      </c>
      <c r="P297">
        <v>0</v>
      </c>
      <c r="Q297">
        <v>0</v>
      </c>
      <c r="R297">
        <v>0</v>
      </c>
      <c r="S297" t="s">
        <v>1055</v>
      </c>
    </row>
    <row r="298" spans="1:19">
      <c r="A298" t="s">
        <v>617</v>
      </c>
      <c r="B298" t="s">
        <v>37</v>
      </c>
      <c r="C298" t="s">
        <v>21</v>
      </c>
      <c r="D298" s="8">
        <v>45932</v>
      </c>
      <c r="E298" s="8">
        <v>45933</v>
      </c>
      <c r="F298" s="8">
        <v>45938</v>
      </c>
      <c r="G298" s="8">
        <v>45944</v>
      </c>
      <c r="H298" t="s">
        <v>28</v>
      </c>
      <c r="I298" t="s">
        <v>38</v>
      </c>
      <c r="K298">
        <v>1</v>
      </c>
      <c r="L298">
        <v>5</v>
      </c>
      <c r="M298">
        <v>6</v>
      </c>
      <c r="O298">
        <v>1</v>
      </c>
      <c r="P298">
        <v>1</v>
      </c>
      <c r="Q298">
        <v>1</v>
      </c>
      <c r="R298">
        <v>0</v>
      </c>
      <c r="S298" t="s">
        <v>1055</v>
      </c>
    </row>
    <row r="299" spans="1:19">
      <c r="A299" t="s">
        <v>620</v>
      </c>
      <c r="B299" t="s">
        <v>37</v>
      </c>
      <c r="C299" t="s">
        <v>27</v>
      </c>
      <c r="D299" s="8">
        <v>45942</v>
      </c>
      <c r="H299" t="s">
        <v>28</v>
      </c>
      <c r="I299" t="s">
        <v>38</v>
      </c>
      <c r="O299">
        <v>1</v>
      </c>
      <c r="P299">
        <v>0</v>
      </c>
      <c r="Q299">
        <v>0</v>
      </c>
      <c r="R299">
        <v>0</v>
      </c>
      <c r="S299" t="s">
        <v>1055</v>
      </c>
    </row>
    <row r="300" spans="1:19">
      <c r="A300" t="s">
        <v>684</v>
      </c>
      <c r="B300" t="s">
        <v>37</v>
      </c>
      <c r="C300" t="s">
        <v>21</v>
      </c>
      <c r="D300" s="8">
        <v>45953</v>
      </c>
      <c r="E300" s="8">
        <v>45957</v>
      </c>
      <c r="F300" s="8">
        <v>45958</v>
      </c>
      <c r="G300" s="8">
        <v>45961</v>
      </c>
      <c r="H300" t="s">
        <v>28</v>
      </c>
      <c r="I300" t="s">
        <v>106</v>
      </c>
      <c r="K300">
        <v>4</v>
      </c>
      <c r="L300">
        <v>1</v>
      </c>
      <c r="M300">
        <v>3</v>
      </c>
      <c r="O300">
        <v>1</v>
      </c>
      <c r="P300">
        <v>1</v>
      </c>
      <c r="Q300">
        <v>1</v>
      </c>
      <c r="R300">
        <v>0</v>
      </c>
      <c r="S300" t="s">
        <v>1055</v>
      </c>
    </row>
    <row r="301" spans="1:19">
      <c r="A301" t="s">
        <v>688</v>
      </c>
      <c r="B301" t="s">
        <v>37</v>
      </c>
      <c r="C301" t="s">
        <v>27</v>
      </c>
      <c r="D301" s="8">
        <v>45952</v>
      </c>
      <c r="H301" t="s">
        <v>28</v>
      </c>
      <c r="I301" t="s">
        <v>106</v>
      </c>
      <c r="O301">
        <v>1</v>
      </c>
      <c r="P301">
        <v>0</v>
      </c>
      <c r="Q301">
        <v>0</v>
      </c>
      <c r="R301">
        <v>0</v>
      </c>
      <c r="S301" t="s">
        <v>1055</v>
      </c>
    </row>
    <row r="302" spans="1:19">
      <c r="A302" t="s">
        <v>691</v>
      </c>
      <c r="B302" t="s">
        <v>37</v>
      </c>
      <c r="C302" t="s">
        <v>21</v>
      </c>
      <c r="D302" s="8">
        <v>45931</v>
      </c>
      <c r="E302" s="8">
        <v>45932</v>
      </c>
      <c r="F302" s="8">
        <v>45936</v>
      </c>
      <c r="G302" s="8">
        <v>45940</v>
      </c>
      <c r="H302" t="s">
        <v>28</v>
      </c>
      <c r="I302" t="s">
        <v>106</v>
      </c>
      <c r="K302">
        <v>1</v>
      </c>
      <c r="L302">
        <v>4</v>
      </c>
      <c r="M302">
        <v>4</v>
      </c>
      <c r="O302">
        <v>1</v>
      </c>
      <c r="P302">
        <v>1</v>
      </c>
      <c r="Q302">
        <v>1</v>
      </c>
      <c r="R302">
        <v>0</v>
      </c>
      <c r="S302" t="s">
        <v>1055</v>
      </c>
    </row>
    <row r="303" spans="1:19">
      <c r="A303" t="s">
        <v>702</v>
      </c>
      <c r="B303" t="s">
        <v>37</v>
      </c>
      <c r="C303" t="s">
        <v>35</v>
      </c>
      <c r="D303" s="8">
        <v>45957</v>
      </c>
      <c r="E303" s="8">
        <v>45962</v>
      </c>
      <c r="F303" s="8">
        <v>45963</v>
      </c>
      <c r="G303" s="8">
        <v>45965</v>
      </c>
      <c r="H303" t="s">
        <v>28</v>
      </c>
      <c r="I303" t="s">
        <v>29</v>
      </c>
      <c r="K303">
        <v>5</v>
      </c>
      <c r="L303">
        <v>1</v>
      </c>
      <c r="M303">
        <v>2</v>
      </c>
      <c r="O303">
        <v>1</v>
      </c>
      <c r="P303">
        <v>1</v>
      </c>
      <c r="Q303">
        <v>1</v>
      </c>
      <c r="R303">
        <v>0</v>
      </c>
      <c r="S303" t="s">
        <v>1055</v>
      </c>
    </row>
    <row r="304" spans="1:19">
      <c r="A304" t="s">
        <v>708</v>
      </c>
      <c r="B304" t="s">
        <v>37</v>
      </c>
      <c r="C304" t="s">
        <v>27</v>
      </c>
      <c r="D304" s="8">
        <v>45938</v>
      </c>
      <c r="H304" t="s">
        <v>28</v>
      </c>
      <c r="I304" t="s">
        <v>38</v>
      </c>
      <c r="O304">
        <v>1</v>
      </c>
      <c r="P304">
        <v>0</v>
      </c>
      <c r="Q304">
        <v>0</v>
      </c>
      <c r="R304">
        <v>0</v>
      </c>
      <c r="S304" t="s">
        <v>1055</v>
      </c>
    </row>
    <row r="305" spans="1:19">
      <c r="A305" t="s">
        <v>711</v>
      </c>
      <c r="B305" t="s">
        <v>37</v>
      </c>
      <c r="C305" t="s">
        <v>21</v>
      </c>
      <c r="D305" s="8">
        <v>45942</v>
      </c>
      <c r="E305" s="8">
        <v>45945</v>
      </c>
      <c r="F305" s="8">
        <v>45949</v>
      </c>
      <c r="G305" s="8">
        <v>45953</v>
      </c>
      <c r="H305" t="s">
        <v>28</v>
      </c>
      <c r="I305" t="s">
        <v>68</v>
      </c>
      <c r="K305">
        <v>3</v>
      </c>
      <c r="L305">
        <v>4</v>
      </c>
      <c r="M305">
        <v>4</v>
      </c>
      <c r="O305">
        <v>1</v>
      </c>
      <c r="P305">
        <v>1</v>
      </c>
      <c r="Q305">
        <v>1</v>
      </c>
      <c r="R305">
        <v>0</v>
      </c>
      <c r="S305" t="s">
        <v>1055</v>
      </c>
    </row>
    <row r="306" spans="1:19">
      <c r="A306" t="s">
        <v>717</v>
      </c>
      <c r="B306" t="s">
        <v>37</v>
      </c>
      <c r="C306" t="s">
        <v>27</v>
      </c>
      <c r="D306" s="8">
        <v>45952</v>
      </c>
      <c r="H306" t="s">
        <v>28</v>
      </c>
      <c r="I306" t="s">
        <v>106</v>
      </c>
      <c r="O306">
        <v>1</v>
      </c>
      <c r="P306">
        <v>0</v>
      </c>
      <c r="Q306">
        <v>0</v>
      </c>
      <c r="R306">
        <v>0</v>
      </c>
      <c r="S306" t="s">
        <v>1055</v>
      </c>
    </row>
    <row r="307" spans="1:19">
      <c r="A307" t="s">
        <v>730</v>
      </c>
      <c r="B307" t="s">
        <v>37</v>
      </c>
      <c r="C307" t="s">
        <v>27</v>
      </c>
      <c r="D307" s="8">
        <v>45932</v>
      </c>
      <c r="H307" t="s">
        <v>28</v>
      </c>
      <c r="I307" t="s">
        <v>106</v>
      </c>
      <c r="O307">
        <v>1</v>
      </c>
      <c r="P307">
        <v>0</v>
      </c>
      <c r="Q307">
        <v>0</v>
      </c>
      <c r="R307">
        <v>0</v>
      </c>
      <c r="S307" t="s">
        <v>1055</v>
      </c>
    </row>
    <row r="308" spans="1:19">
      <c r="A308" t="s">
        <v>795</v>
      </c>
      <c r="B308" t="s">
        <v>37</v>
      </c>
      <c r="C308" t="s">
        <v>27</v>
      </c>
      <c r="D308" s="8">
        <v>45945</v>
      </c>
      <c r="H308" t="s">
        <v>28</v>
      </c>
      <c r="I308" t="s">
        <v>38</v>
      </c>
      <c r="O308">
        <v>1</v>
      </c>
      <c r="P308">
        <v>0</v>
      </c>
      <c r="Q308">
        <v>0</v>
      </c>
      <c r="R308">
        <v>0</v>
      </c>
      <c r="S308" t="s">
        <v>1055</v>
      </c>
    </row>
    <row r="309" spans="1:19">
      <c r="A309" t="s">
        <v>797</v>
      </c>
      <c r="B309" t="s">
        <v>37</v>
      </c>
      <c r="C309" t="s">
        <v>27</v>
      </c>
      <c r="D309" s="8">
        <v>45952</v>
      </c>
      <c r="H309" t="s">
        <v>28</v>
      </c>
      <c r="I309" t="s">
        <v>31</v>
      </c>
      <c r="O309">
        <v>1</v>
      </c>
      <c r="P309">
        <v>0</v>
      </c>
      <c r="Q309">
        <v>0</v>
      </c>
      <c r="R309">
        <v>0</v>
      </c>
      <c r="S309" t="s">
        <v>1055</v>
      </c>
    </row>
    <row r="310" spans="1:19">
      <c r="A310" t="s">
        <v>803</v>
      </c>
      <c r="B310" t="s">
        <v>37</v>
      </c>
      <c r="C310" t="s">
        <v>27</v>
      </c>
      <c r="D310" s="8">
        <v>45957</v>
      </c>
      <c r="H310" t="s">
        <v>28</v>
      </c>
      <c r="I310" t="s">
        <v>31</v>
      </c>
      <c r="O310">
        <v>1</v>
      </c>
      <c r="P310">
        <v>0</v>
      </c>
      <c r="Q310">
        <v>0</v>
      </c>
      <c r="R310">
        <v>0</v>
      </c>
      <c r="S310" t="s">
        <v>1055</v>
      </c>
    </row>
    <row r="311" spans="1:19">
      <c r="A311" t="s">
        <v>804</v>
      </c>
      <c r="B311" t="s">
        <v>37</v>
      </c>
      <c r="C311" t="s">
        <v>27</v>
      </c>
      <c r="D311" s="8">
        <v>45951</v>
      </c>
      <c r="H311" t="s">
        <v>28</v>
      </c>
      <c r="I311" t="s">
        <v>29</v>
      </c>
      <c r="O311">
        <v>1</v>
      </c>
      <c r="P311">
        <v>0</v>
      </c>
      <c r="Q311">
        <v>0</v>
      </c>
      <c r="R311">
        <v>0</v>
      </c>
      <c r="S311" t="s">
        <v>1055</v>
      </c>
    </row>
    <row r="312" spans="1:19">
      <c r="A312" t="s">
        <v>807</v>
      </c>
      <c r="B312" t="s">
        <v>37</v>
      </c>
      <c r="C312" t="s">
        <v>27</v>
      </c>
      <c r="D312" s="8">
        <v>45934</v>
      </c>
      <c r="H312" t="s">
        <v>28</v>
      </c>
      <c r="I312" t="s">
        <v>38</v>
      </c>
      <c r="O312">
        <v>1</v>
      </c>
      <c r="P312">
        <v>0</v>
      </c>
      <c r="Q312">
        <v>0</v>
      </c>
      <c r="R312">
        <v>0</v>
      </c>
      <c r="S312" t="s">
        <v>1055</v>
      </c>
    </row>
    <row r="313" spans="1:19">
      <c r="A313" t="s">
        <v>825</v>
      </c>
      <c r="B313" t="s">
        <v>37</v>
      </c>
      <c r="C313" t="s">
        <v>27</v>
      </c>
      <c r="D313" s="8">
        <v>45960</v>
      </c>
      <c r="H313" t="s">
        <v>28</v>
      </c>
      <c r="I313" t="s">
        <v>106</v>
      </c>
      <c r="O313">
        <v>1</v>
      </c>
      <c r="P313">
        <v>0</v>
      </c>
      <c r="Q313">
        <v>0</v>
      </c>
      <c r="R313">
        <v>0</v>
      </c>
      <c r="S313" t="s">
        <v>1055</v>
      </c>
    </row>
    <row r="314" spans="1:19">
      <c r="A314" t="s">
        <v>849</v>
      </c>
      <c r="B314" t="s">
        <v>37</v>
      </c>
      <c r="C314" t="s">
        <v>35</v>
      </c>
      <c r="D314" s="8">
        <v>45953</v>
      </c>
      <c r="E314" s="8">
        <v>45955</v>
      </c>
      <c r="F314" s="8">
        <v>45956</v>
      </c>
      <c r="G314" s="8">
        <v>45962</v>
      </c>
      <c r="H314" t="s">
        <v>28</v>
      </c>
      <c r="I314" t="s">
        <v>68</v>
      </c>
      <c r="K314">
        <v>2</v>
      </c>
      <c r="L314">
        <v>1</v>
      </c>
      <c r="M314">
        <v>6</v>
      </c>
      <c r="O314">
        <v>1</v>
      </c>
      <c r="P314">
        <v>1</v>
      </c>
      <c r="Q314">
        <v>1</v>
      </c>
      <c r="R314">
        <v>0</v>
      </c>
      <c r="S314" t="s">
        <v>1055</v>
      </c>
    </row>
    <row r="315" spans="1:19">
      <c r="A315" t="s">
        <v>854</v>
      </c>
      <c r="B315" t="s">
        <v>37</v>
      </c>
      <c r="C315" t="s">
        <v>27</v>
      </c>
      <c r="D315" s="8">
        <v>45954</v>
      </c>
      <c r="H315" t="s">
        <v>28</v>
      </c>
      <c r="I315" t="s">
        <v>38</v>
      </c>
      <c r="O315">
        <v>1</v>
      </c>
      <c r="P315">
        <v>0</v>
      </c>
      <c r="Q315">
        <v>0</v>
      </c>
      <c r="R315">
        <v>0</v>
      </c>
      <c r="S315" t="s">
        <v>1055</v>
      </c>
    </row>
    <row r="316" spans="1:19">
      <c r="A316" t="s">
        <v>860</v>
      </c>
      <c r="B316" t="s">
        <v>37</v>
      </c>
      <c r="C316" t="s">
        <v>27</v>
      </c>
      <c r="D316" s="8">
        <v>45934</v>
      </c>
      <c r="H316" t="s">
        <v>28</v>
      </c>
      <c r="I316" t="s">
        <v>68</v>
      </c>
      <c r="O316">
        <v>1</v>
      </c>
      <c r="P316">
        <v>0</v>
      </c>
      <c r="Q316">
        <v>0</v>
      </c>
      <c r="R316">
        <v>0</v>
      </c>
      <c r="S316" t="s">
        <v>1055</v>
      </c>
    </row>
    <row r="317" spans="1:19">
      <c r="A317" t="s">
        <v>868</v>
      </c>
      <c r="B317" t="s">
        <v>37</v>
      </c>
      <c r="C317" t="s">
        <v>21</v>
      </c>
      <c r="D317" s="8">
        <v>45932</v>
      </c>
      <c r="E317" s="8">
        <v>45933</v>
      </c>
      <c r="F317" s="8">
        <v>45934</v>
      </c>
      <c r="G317" s="8">
        <v>45936</v>
      </c>
      <c r="H317" t="s">
        <v>28</v>
      </c>
      <c r="I317" t="s">
        <v>38</v>
      </c>
      <c r="K317">
        <v>1</v>
      </c>
      <c r="L317">
        <v>1</v>
      </c>
      <c r="M317">
        <v>2</v>
      </c>
      <c r="O317">
        <v>1</v>
      </c>
      <c r="P317">
        <v>1</v>
      </c>
      <c r="Q317">
        <v>1</v>
      </c>
      <c r="R317">
        <v>0</v>
      </c>
      <c r="S317" t="s">
        <v>1055</v>
      </c>
    </row>
    <row r="318" spans="1:19">
      <c r="A318" t="s">
        <v>876</v>
      </c>
      <c r="B318" t="s">
        <v>37</v>
      </c>
      <c r="C318" t="s">
        <v>35</v>
      </c>
      <c r="D318" s="8">
        <v>45958</v>
      </c>
      <c r="E318" s="8">
        <v>45962</v>
      </c>
      <c r="F318" s="8">
        <v>45966</v>
      </c>
      <c r="G318" s="8">
        <v>45968</v>
      </c>
      <c r="H318" t="s">
        <v>28</v>
      </c>
      <c r="I318" t="s">
        <v>38</v>
      </c>
      <c r="K318">
        <v>4</v>
      </c>
      <c r="L318">
        <v>4</v>
      </c>
      <c r="M318">
        <v>2</v>
      </c>
      <c r="O318">
        <v>1</v>
      </c>
      <c r="P318">
        <v>1</v>
      </c>
      <c r="Q318">
        <v>1</v>
      </c>
      <c r="R318">
        <v>0</v>
      </c>
      <c r="S318" t="s">
        <v>1055</v>
      </c>
    </row>
    <row r="319" spans="1:19">
      <c r="A319" t="s">
        <v>886</v>
      </c>
      <c r="B319" t="s">
        <v>37</v>
      </c>
      <c r="C319" t="s">
        <v>21</v>
      </c>
      <c r="D319" s="8">
        <v>45943</v>
      </c>
      <c r="E319" s="8">
        <v>45947</v>
      </c>
      <c r="F319" s="8">
        <v>45950</v>
      </c>
      <c r="G319" s="8">
        <v>45953</v>
      </c>
      <c r="H319" t="s">
        <v>28</v>
      </c>
      <c r="I319" t="s">
        <v>29</v>
      </c>
      <c r="K319">
        <v>4</v>
      </c>
      <c r="L319">
        <v>3</v>
      </c>
      <c r="M319">
        <v>3</v>
      </c>
      <c r="O319">
        <v>1</v>
      </c>
      <c r="P319">
        <v>1</v>
      </c>
      <c r="Q319">
        <v>1</v>
      </c>
      <c r="R319">
        <v>0</v>
      </c>
      <c r="S319" t="s">
        <v>1055</v>
      </c>
    </row>
    <row r="320" spans="1:19">
      <c r="A320" t="s">
        <v>970</v>
      </c>
      <c r="B320" t="s">
        <v>37</v>
      </c>
      <c r="C320" t="s">
        <v>27</v>
      </c>
      <c r="D320" s="8">
        <v>45932</v>
      </c>
      <c r="H320" t="s">
        <v>28</v>
      </c>
      <c r="I320" t="s">
        <v>106</v>
      </c>
      <c r="O320">
        <v>1</v>
      </c>
      <c r="P320">
        <v>0</v>
      </c>
      <c r="Q320">
        <v>0</v>
      </c>
      <c r="R320">
        <v>0</v>
      </c>
      <c r="S320" t="s">
        <v>1055</v>
      </c>
    </row>
    <row r="321" spans="1:19">
      <c r="A321" t="s">
        <v>972</v>
      </c>
      <c r="B321" t="s">
        <v>37</v>
      </c>
      <c r="C321" t="s">
        <v>27</v>
      </c>
      <c r="D321" s="8">
        <v>45956</v>
      </c>
      <c r="H321" t="s">
        <v>28</v>
      </c>
      <c r="I321" t="s">
        <v>106</v>
      </c>
      <c r="O321">
        <v>1</v>
      </c>
      <c r="P321">
        <v>0</v>
      </c>
      <c r="Q321">
        <v>0</v>
      </c>
      <c r="R321">
        <v>0</v>
      </c>
      <c r="S321" t="s">
        <v>1055</v>
      </c>
    </row>
    <row r="322" spans="1:19">
      <c r="A322" t="s">
        <v>989</v>
      </c>
      <c r="B322" t="s">
        <v>37</v>
      </c>
      <c r="C322" t="s">
        <v>27</v>
      </c>
      <c r="D322" s="8">
        <v>45946</v>
      </c>
      <c r="H322" t="s">
        <v>28</v>
      </c>
      <c r="I322" t="s">
        <v>106</v>
      </c>
      <c r="O322">
        <v>1</v>
      </c>
      <c r="P322">
        <v>0</v>
      </c>
      <c r="Q322">
        <v>0</v>
      </c>
      <c r="R322">
        <v>0</v>
      </c>
      <c r="S322" t="s">
        <v>1055</v>
      </c>
    </row>
    <row r="323" spans="1:19">
      <c r="A323" t="s">
        <v>995</v>
      </c>
      <c r="B323" t="s">
        <v>37</v>
      </c>
      <c r="C323" t="s">
        <v>27</v>
      </c>
      <c r="D323" s="8">
        <v>45933</v>
      </c>
      <c r="H323" t="s">
        <v>28</v>
      </c>
      <c r="I323" t="s">
        <v>29</v>
      </c>
      <c r="O323">
        <v>1</v>
      </c>
      <c r="P323">
        <v>0</v>
      </c>
      <c r="Q323">
        <v>0</v>
      </c>
      <c r="R323">
        <v>0</v>
      </c>
      <c r="S323" t="s">
        <v>1055</v>
      </c>
    </row>
    <row r="324" spans="1:19">
      <c r="A324" t="s">
        <v>1004</v>
      </c>
      <c r="B324" t="s">
        <v>37</v>
      </c>
      <c r="C324" t="s">
        <v>27</v>
      </c>
      <c r="D324" s="8">
        <v>45949</v>
      </c>
      <c r="H324" t="s">
        <v>28</v>
      </c>
      <c r="I324" t="s">
        <v>106</v>
      </c>
      <c r="O324">
        <v>1</v>
      </c>
      <c r="P324">
        <v>0</v>
      </c>
      <c r="Q324">
        <v>0</v>
      </c>
      <c r="R324">
        <v>0</v>
      </c>
      <c r="S324" t="s">
        <v>1055</v>
      </c>
    </row>
    <row r="325" spans="1:19">
      <c r="A325" t="s">
        <v>1009</v>
      </c>
      <c r="B325" t="s">
        <v>37</v>
      </c>
      <c r="C325" t="s">
        <v>21</v>
      </c>
      <c r="D325" s="8">
        <v>45950</v>
      </c>
      <c r="E325" s="8">
        <v>45954</v>
      </c>
      <c r="F325" s="8">
        <v>45957</v>
      </c>
      <c r="G325" s="8">
        <v>45961</v>
      </c>
      <c r="H325" t="s">
        <v>28</v>
      </c>
      <c r="I325" t="s">
        <v>106</v>
      </c>
      <c r="K325">
        <v>4</v>
      </c>
      <c r="L325">
        <v>3</v>
      </c>
      <c r="M325">
        <v>4</v>
      </c>
      <c r="O325">
        <v>1</v>
      </c>
      <c r="P325">
        <v>1</v>
      </c>
      <c r="Q325">
        <v>1</v>
      </c>
      <c r="R325">
        <v>0</v>
      </c>
      <c r="S325" t="s">
        <v>1055</v>
      </c>
    </row>
    <row r="326" spans="1:19">
      <c r="A326" t="s">
        <v>44</v>
      </c>
      <c r="B326" t="s">
        <v>37</v>
      </c>
      <c r="C326" t="s">
        <v>21</v>
      </c>
      <c r="D326" s="8">
        <v>45957</v>
      </c>
      <c r="E326" s="8">
        <v>45960</v>
      </c>
      <c r="F326" s="8">
        <v>45963</v>
      </c>
      <c r="G326" s="8">
        <v>45969</v>
      </c>
      <c r="H326" t="s">
        <v>22</v>
      </c>
      <c r="J326" s="8">
        <v>45998</v>
      </c>
      <c r="K326">
        <v>3</v>
      </c>
      <c r="L326">
        <v>3</v>
      </c>
      <c r="M326">
        <v>6</v>
      </c>
      <c r="N326">
        <v>2</v>
      </c>
      <c r="O326">
        <v>1</v>
      </c>
      <c r="P326">
        <v>1</v>
      </c>
      <c r="Q326">
        <v>1</v>
      </c>
      <c r="R326">
        <v>1</v>
      </c>
      <c r="S326" t="s">
        <v>1056</v>
      </c>
    </row>
    <row r="327" spans="1:19">
      <c r="A327" t="s">
        <v>51</v>
      </c>
      <c r="B327" t="s">
        <v>37</v>
      </c>
      <c r="C327" t="s">
        <v>21</v>
      </c>
      <c r="D327" s="8">
        <v>45947</v>
      </c>
      <c r="E327" s="8">
        <v>45951</v>
      </c>
      <c r="F327" s="8">
        <v>45953</v>
      </c>
      <c r="G327" s="8">
        <v>45960</v>
      </c>
      <c r="H327" t="s">
        <v>22</v>
      </c>
      <c r="J327" s="8">
        <v>45980</v>
      </c>
      <c r="K327">
        <v>4</v>
      </c>
      <c r="L327">
        <v>2</v>
      </c>
      <c r="M327">
        <v>7</v>
      </c>
      <c r="N327">
        <v>6</v>
      </c>
      <c r="O327">
        <v>1</v>
      </c>
      <c r="P327">
        <v>1</v>
      </c>
      <c r="Q327">
        <v>1</v>
      </c>
      <c r="R327">
        <v>1</v>
      </c>
      <c r="S327" t="s">
        <v>1056</v>
      </c>
    </row>
    <row r="328" spans="1:19">
      <c r="A328" t="s">
        <v>56</v>
      </c>
      <c r="B328" t="s">
        <v>37</v>
      </c>
      <c r="C328" t="s">
        <v>21</v>
      </c>
      <c r="D328" s="8">
        <v>45956</v>
      </c>
      <c r="E328" s="8">
        <v>45957</v>
      </c>
      <c r="F328" s="8">
        <v>45962</v>
      </c>
      <c r="G328" s="8">
        <v>45964</v>
      </c>
      <c r="H328" t="s">
        <v>22</v>
      </c>
      <c r="J328" s="8">
        <v>45979</v>
      </c>
      <c r="K328">
        <v>1</v>
      </c>
      <c r="L328">
        <v>5</v>
      </c>
      <c r="M328">
        <v>2</v>
      </c>
      <c r="N328">
        <v>4</v>
      </c>
      <c r="O328">
        <v>1</v>
      </c>
      <c r="P328">
        <v>1</v>
      </c>
      <c r="Q328">
        <v>1</v>
      </c>
      <c r="R328">
        <v>1</v>
      </c>
      <c r="S328" t="s">
        <v>1056</v>
      </c>
    </row>
    <row r="329" spans="1:19">
      <c r="A329" t="s">
        <v>77</v>
      </c>
      <c r="B329" t="s">
        <v>37</v>
      </c>
      <c r="C329" t="s">
        <v>35</v>
      </c>
      <c r="D329" s="8">
        <v>45938</v>
      </c>
      <c r="E329" s="8">
        <v>45943</v>
      </c>
      <c r="F329" s="8">
        <v>45947</v>
      </c>
      <c r="G329" s="8">
        <v>45953</v>
      </c>
      <c r="H329" t="s">
        <v>22</v>
      </c>
      <c r="J329" s="8">
        <v>45966</v>
      </c>
      <c r="K329">
        <v>5</v>
      </c>
      <c r="L329">
        <v>4</v>
      </c>
      <c r="M329">
        <v>6</v>
      </c>
      <c r="N329">
        <v>3</v>
      </c>
      <c r="O329">
        <v>1</v>
      </c>
      <c r="P329">
        <v>1</v>
      </c>
      <c r="Q329">
        <v>1</v>
      </c>
      <c r="R329">
        <v>1</v>
      </c>
      <c r="S329" t="s">
        <v>1056</v>
      </c>
    </row>
    <row r="330" spans="1:19">
      <c r="A330" t="s">
        <v>80</v>
      </c>
      <c r="B330" t="s">
        <v>37</v>
      </c>
      <c r="C330" t="s">
        <v>35</v>
      </c>
      <c r="D330" s="8">
        <v>45949</v>
      </c>
      <c r="E330" s="8">
        <v>45951</v>
      </c>
      <c r="F330" s="8">
        <v>45956</v>
      </c>
      <c r="G330" s="8">
        <v>45962</v>
      </c>
      <c r="H330" t="s">
        <v>22</v>
      </c>
      <c r="J330" s="8">
        <v>45981</v>
      </c>
      <c r="K330">
        <v>2</v>
      </c>
      <c r="L330">
        <v>5</v>
      </c>
      <c r="M330">
        <v>6</v>
      </c>
      <c r="N330">
        <v>0</v>
      </c>
      <c r="O330">
        <v>1</v>
      </c>
      <c r="P330">
        <v>1</v>
      </c>
      <c r="Q330">
        <v>1</v>
      </c>
      <c r="R330">
        <v>1</v>
      </c>
      <c r="S330" t="s">
        <v>1056</v>
      </c>
    </row>
    <row r="331" spans="1:19">
      <c r="A331" t="s">
        <v>104</v>
      </c>
      <c r="B331" t="s">
        <v>37</v>
      </c>
      <c r="C331" t="s">
        <v>35</v>
      </c>
      <c r="D331" s="8">
        <v>45947</v>
      </c>
      <c r="E331" s="8">
        <v>45950</v>
      </c>
      <c r="F331" s="8">
        <v>45952</v>
      </c>
      <c r="G331" s="8">
        <v>45955</v>
      </c>
      <c r="H331" t="s">
        <v>22</v>
      </c>
      <c r="J331" s="8">
        <v>45965</v>
      </c>
      <c r="K331">
        <v>3</v>
      </c>
      <c r="L331">
        <v>2</v>
      </c>
      <c r="M331">
        <v>3</v>
      </c>
      <c r="N331">
        <v>6</v>
      </c>
      <c r="O331">
        <v>1</v>
      </c>
      <c r="P331">
        <v>1</v>
      </c>
      <c r="Q331">
        <v>1</v>
      </c>
      <c r="R331">
        <v>1</v>
      </c>
      <c r="S331" t="s">
        <v>1056</v>
      </c>
    </row>
    <row r="332" spans="1:19">
      <c r="A332" t="s">
        <v>134</v>
      </c>
      <c r="B332" t="s">
        <v>37</v>
      </c>
      <c r="C332" t="s">
        <v>21</v>
      </c>
      <c r="D332" s="8">
        <v>45946</v>
      </c>
      <c r="E332" s="8">
        <v>45949</v>
      </c>
      <c r="F332" s="8">
        <v>45953</v>
      </c>
      <c r="G332" s="8">
        <v>45959</v>
      </c>
      <c r="H332" t="s">
        <v>22</v>
      </c>
      <c r="J332" s="8">
        <v>45976</v>
      </c>
      <c r="K332">
        <v>3</v>
      </c>
      <c r="L332">
        <v>4</v>
      </c>
      <c r="M332">
        <v>6</v>
      </c>
      <c r="N332">
        <v>1</v>
      </c>
      <c r="O332">
        <v>1</v>
      </c>
      <c r="P332">
        <v>1</v>
      </c>
      <c r="Q332">
        <v>1</v>
      </c>
      <c r="R332">
        <v>1</v>
      </c>
      <c r="S332" t="s">
        <v>1056</v>
      </c>
    </row>
    <row r="333" spans="1:19">
      <c r="A333" t="s">
        <v>164</v>
      </c>
      <c r="B333" t="s">
        <v>37</v>
      </c>
      <c r="C333" t="s">
        <v>35</v>
      </c>
      <c r="D333" s="8">
        <v>45939</v>
      </c>
      <c r="E333" s="8">
        <v>45944</v>
      </c>
      <c r="F333" s="8">
        <v>45946</v>
      </c>
      <c r="G333" s="8">
        <v>45953</v>
      </c>
      <c r="H333" t="s">
        <v>22</v>
      </c>
      <c r="J333" s="8">
        <v>45975</v>
      </c>
      <c r="K333">
        <v>5</v>
      </c>
      <c r="L333">
        <v>2</v>
      </c>
      <c r="M333">
        <v>7</v>
      </c>
      <c r="N333">
        <v>4</v>
      </c>
      <c r="O333">
        <v>1</v>
      </c>
      <c r="P333">
        <v>1</v>
      </c>
      <c r="Q333">
        <v>1</v>
      </c>
      <c r="R333">
        <v>1</v>
      </c>
      <c r="S333" t="s">
        <v>1056</v>
      </c>
    </row>
    <row r="334" spans="1:19">
      <c r="A334" t="s">
        <v>166</v>
      </c>
      <c r="B334" t="s">
        <v>37</v>
      </c>
      <c r="C334" t="s">
        <v>21</v>
      </c>
      <c r="D334" s="8">
        <v>45949</v>
      </c>
      <c r="E334" s="8">
        <v>45950</v>
      </c>
      <c r="F334" s="8">
        <v>45952</v>
      </c>
      <c r="G334" s="8">
        <v>45957</v>
      </c>
      <c r="H334" t="s">
        <v>22</v>
      </c>
      <c r="J334" s="8">
        <v>45981</v>
      </c>
      <c r="K334">
        <v>1</v>
      </c>
      <c r="L334">
        <v>2</v>
      </c>
      <c r="M334">
        <v>5</v>
      </c>
      <c r="N334">
        <v>2</v>
      </c>
      <c r="O334">
        <v>1</v>
      </c>
      <c r="P334">
        <v>1</v>
      </c>
      <c r="Q334">
        <v>1</v>
      </c>
      <c r="R334">
        <v>1</v>
      </c>
      <c r="S334" t="s">
        <v>1056</v>
      </c>
    </row>
    <row r="335" spans="1:19">
      <c r="A335" t="s">
        <v>176</v>
      </c>
      <c r="B335" t="s">
        <v>37</v>
      </c>
      <c r="C335" t="s">
        <v>35</v>
      </c>
      <c r="D335" s="8">
        <v>45942</v>
      </c>
      <c r="E335" s="8">
        <v>45947</v>
      </c>
      <c r="F335" s="8">
        <v>45951</v>
      </c>
      <c r="G335" s="8">
        <v>45957</v>
      </c>
      <c r="H335" t="s">
        <v>22</v>
      </c>
      <c r="J335" s="8">
        <v>45978</v>
      </c>
      <c r="K335">
        <v>5</v>
      </c>
      <c r="L335">
        <v>4</v>
      </c>
      <c r="M335">
        <v>6</v>
      </c>
      <c r="N335">
        <v>1</v>
      </c>
      <c r="O335">
        <v>1</v>
      </c>
      <c r="P335">
        <v>1</v>
      </c>
      <c r="Q335">
        <v>1</v>
      </c>
      <c r="R335">
        <v>1</v>
      </c>
      <c r="S335" t="s">
        <v>1056</v>
      </c>
    </row>
    <row r="336" spans="1:19">
      <c r="A336" t="s">
        <v>181</v>
      </c>
      <c r="B336" t="s">
        <v>37</v>
      </c>
      <c r="C336" t="s">
        <v>35</v>
      </c>
      <c r="D336" s="8">
        <v>45948</v>
      </c>
      <c r="E336" s="8">
        <v>45952</v>
      </c>
      <c r="F336" s="8">
        <v>45954</v>
      </c>
      <c r="G336" s="8">
        <v>45956</v>
      </c>
      <c r="H336" t="s">
        <v>22</v>
      </c>
      <c r="J336" s="8">
        <v>45981</v>
      </c>
      <c r="K336">
        <v>4</v>
      </c>
      <c r="L336">
        <v>2</v>
      </c>
      <c r="M336">
        <v>2</v>
      </c>
      <c r="N336">
        <v>5</v>
      </c>
      <c r="O336">
        <v>1</v>
      </c>
      <c r="P336">
        <v>1</v>
      </c>
      <c r="Q336">
        <v>1</v>
      </c>
      <c r="R336">
        <v>1</v>
      </c>
      <c r="S336" t="s">
        <v>1056</v>
      </c>
    </row>
    <row r="337" spans="1:19">
      <c r="A337" t="s">
        <v>182</v>
      </c>
      <c r="B337" t="s">
        <v>37</v>
      </c>
      <c r="C337" t="s">
        <v>21</v>
      </c>
      <c r="D337" s="8">
        <v>45935</v>
      </c>
      <c r="E337" s="8">
        <v>45940</v>
      </c>
      <c r="F337" s="8">
        <v>45941</v>
      </c>
      <c r="G337" s="8">
        <v>45945</v>
      </c>
      <c r="H337" t="s">
        <v>22</v>
      </c>
      <c r="J337" s="8">
        <v>45973</v>
      </c>
      <c r="K337">
        <v>5</v>
      </c>
      <c r="L337">
        <v>1</v>
      </c>
      <c r="M337">
        <v>4</v>
      </c>
      <c r="N337">
        <v>4</v>
      </c>
      <c r="O337">
        <v>1</v>
      </c>
      <c r="P337">
        <v>1</v>
      </c>
      <c r="Q337">
        <v>1</v>
      </c>
      <c r="R337">
        <v>1</v>
      </c>
      <c r="S337" t="s">
        <v>1056</v>
      </c>
    </row>
    <row r="338" spans="1:19">
      <c r="A338" t="s">
        <v>192</v>
      </c>
      <c r="B338" t="s">
        <v>37</v>
      </c>
      <c r="C338" t="s">
        <v>35</v>
      </c>
      <c r="D338" s="8">
        <v>45958</v>
      </c>
      <c r="E338" s="8">
        <v>45960</v>
      </c>
      <c r="F338" s="8">
        <v>45964</v>
      </c>
      <c r="G338" s="8">
        <v>45969</v>
      </c>
      <c r="H338" t="s">
        <v>22</v>
      </c>
      <c r="J338" s="8">
        <v>45981</v>
      </c>
      <c r="K338">
        <v>2</v>
      </c>
      <c r="L338">
        <v>4</v>
      </c>
      <c r="M338">
        <v>5</v>
      </c>
      <c r="N338">
        <v>5</v>
      </c>
      <c r="O338">
        <v>1</v>
      </c>
      <c r="P338">
        <v>1</v>
      </c>
      <c r="Q338">
        <v>1</v>
      </c>
      <c r="R338">
        <v>1</v>
      </c>
      <c r="S338" t="s">
        <v>1056</v>
      </c>
    </row>
    <row r="339" spans="1:19">
      <c r="A339" t="s">
        <v>204</v>
      </c>
      <c r="B339" t="s">
        <v>37</v>
      </c>
      <c r="C339" t="s">
        <v>35</v>
      </c>
      <c r="D339" s="8">
        <v>45936</v>
      </c>
      <c r="E339" s="8">
        <v>45940</v>
      </c>
      <c r="F339" s="8">
        <v>45942</v>
      </c>
      <c r="G339" s="8">
        <v>45946</v>
      </c>
      <c r="H339" t="s">
        <v>22</v>
      </c>
      <c r="J339" s="8">
        <v>45961</v>
      </c>
      <c r="K339">
        <v>4</v>
      </c>
      <c r="L339">
        <v>2</v>
      </c>
      <c r="M339">
        <v>4</v>
      </c>
      <c r="N339">
        <v>1</v>
      </c>
      <c r="O339">
        <v>1</v>
      </c>
      <c r="P339">
        <v>1</v>
      </c>
      <c r="Q339">
        <v>1</v>
      </c>
      <c r="R339">
        <v>1</v>
      </c>
      <c r="S339" t="s">
        <v>1056</v>
      </c>
    </row>
    <row r="340" spans="1:19">
      <c r="A340" t="s">
        <v>206</v>
      </c>
      <c r="B340" t="s">
        <v>37</v>
      </c>
      <c r="C340" t="s">
        <v>35</v>
      </c>
      <c r="D340" s="8">
        <v>45932</v>
      </c>
      <c r="E340" s="8">
        <v>45934</v>
      </c>
      <c r="F340" s="8">
        <v>45936</v>
      </c>
      <c r="G340" s="8">
        <v>45938</v>
      </c>
      <c r="H340" t="s">
        <v>22</v>
      </c>
      <c r="J340" s="8">
        <v>45953</v>
      </c>
      <c r="K340">
        <v>2</v>
      </c>
      <c r="L340">
        <v>2</v>
      </c>
      <c r="M340">
        <v>2</v>
      </c>
      <c r="N340">
        <v>6</v>
      </c>
      <c r="O340">
        <v>1</v>
      </c>
      <c r="P340">
        <v>1</v>
      </c>
      <c r="Q340">
        <v>1</v>
      </c>
      <c r="R340">
        <v>1</v>
      </c>
      <c r="S340" t="s">
        <v>1056</v>
      </c>
    </row>
    <row r="341" spans="1:19">
      <c r="A341" t="s">
        <v>207</v>
      </c>
      <c r="B341" t="s">
        <v>37</v>
      </c>
      <c r="C341" t="s">
        <v>21</v>
      </c>
      <c r="D341" s="8">
        <v>45939</v>
      </c>
      <c r="E341" s="8">
        <v>45944</v>
      </c>
      <c r="F341" s="8">
        <v>45945</v>
      </c>
      <c r="G341" s="8">
        <v>45952</v>
      </c>
      <c r="H341" t="s">
        <v>22</v>
      </c>
      <c r="J341" s="8">
        <v>45964</v>
      </c>
      <c r="K341">
        <v>5</v>
      </c>
      <c r="L341">
        <v>1</v>
      </c>
      <c r="M341">
        <v>7</v>
      </c>
      <c r="N341">
        <v>6</v>
      </c>
      <c r="O341">
        <v>1</v>
      </c>
      <c r="P341">
        <v>1</v>
      </c>
      <c r="Q341">
        <v>1</v>
      </c>
      <c r="R341">
        <v>1</v>
      </c>
      <c r="S341" t="s">
        <v>1056</v>
      </c>
    </row>
    <row r="342" spans="1:19">
      <c r="A342" t="s">
        <v>233</v>
      </c>
      <c r="B342" t="s">
        <v>37</v>
      </c>
      <c r="C342" t="s">
        <v>35</v>
      </c>
      <c r="D342" s="8">
        <v>45950</v>
      </c>
      <c r="E342" s="8">
        <v>45953</v>
      </c>
      <c r="F342" s="8">
        <v>45956</v>
      </c>
      <c r="G342" s="8">
        <v>45962</v>
      </c>
      <c r="H342" t="s">
        <v>22</v>
      </c>
      <c r="J342" s="8">
        <v>45985</v>
      </c>
      <c r="K342">
        <v>3</v>
      </c>
      <c r="L342">
        <v>3</v>
      </c>
      <c r="M342">
        <v>6</v>
      </c>
      <c r="N342">
        <v>6</v>
      </c>
      <c r="O342">
        <v>1</v>
      </c>
      <c r="P342">
        <v>1</v>
      </c>
      <c r="Q342">
        <v>1</v>
      </c>
      <c r="R342">
        <v>1</v>
      </c>
      <c r="S342" t="s">
        <v>1056</v>
      </c>
    </row>
    <row r="343" spans="1:19">
      <c r="A343" t="s">
        <v>249</v>
      </c>
      <c r="B343" t="s">
        <v>37</v>
      </c>
      <c r="C343" t="s">
        <v>35</v>
      </c>
      <c r="D343" s="8">
        <v>45949</v>
      </c>
      <c r="E343" s="8">
        <v>45954</v>
      </c>
      <c r="F343" s="8">
        <v>45957</v>
      </c>
      <c r="G343" s="8">
        <v>45960</v>
      </c>
      <c r="H343" t="s">
        <v>22</v>
      </c>
      <c r="J343" s="8">
        <v>45982</v>
      </c>
      <c r="K343">
        <v>5</v>
      </c>
      <c r="L343">
        <v>3</v>
      </c>
      <c r="M343">
        <v>3</v>
      </c>
      <c r="N343">
        <v>0</v>
      </c>
      <c r="O343">
        <v>1</v>
      </c>
      <c r="P343">
        <v>1</v>
      </c>
      <c r="Q343">
        <v>1</v>
      </c>
      <c r="R343">
        <v>1</v>
      </c>
      <c r="S343" t="s">
        <v>1056</v>
      </c>
    </row>
    <row r="344" spans="1:19">
      <c r="A344" t="s">
        <v>257</v>
      </c>
      <c r="B344" t="s">
        <v>37</v>
      </c>
      <c r="C344" t="s">
        <v>21</v>
      </c>
      <c r="D344" s="8">
        <v>45955</v>
      </c>
      <c r="E344" s="8">
        <v>45958</v>
      </c>
      <c r="F344" s="8">
        <v>45962</v>
      </c>
      <c r="G344" s="8">
        <v>45968</v>
      </c>
      <c r="H344" t="s">
        <v>22</v>
      </c>
      <c r="J344" s="8">
        <v>45982</v>
      </c>
      <c r="K344">
        <v>3</v>
      </c>
      <c r="L344">
        <v>4</v>
      </c>
      <c r="M344">
        <v>6</v>
      </c>
      <c r="N344">
        <v>3</v>
      </c>
      <c r="O344">
        <v>1</v>
      </c>
      <c r="P344">
        <v>1</v>
      </c>
      <c r="Q344">
        <v>1</v>
      </c>
      <c r="R344">
        <v>1</v>
      </c>
      <c r="S344" t="s">
        <v>1056</v>
      </c>
    </row>
    <row r="345" spans="1:19">
      <c r="A345" t="s">
        <v>263</v>
      </c>
      <c r="B345" t="s">
        <v>37</v>
      </c>
      <c r="C345" t="s">
        <v>21</v>
      </c>
      <c r="D345" s="8">
        <v>45933</v>
      </c>
      <c r="E345" s="8">
        <v>45934</v>
      </c>
      <c r="F345" s="8">
        <v>45938</v>
      </c>
      <c r="G345" s="8">
        <v>45942</v>
      </c>
      <c r="H345" t="s">
        <v>22</v>
      </c>
      <c r="J345" s="8">
        <v>45952</v>
      </c>
      <c r="K345">
        <v>1</v>
      </c>
      <c r="L345">
        <v>4</v>
      </c>
      <c r="M345">
        <v>4</v>
      </c>
      <c r="N345">
        <v>2</v>
      </c>
      <c r="O345">
        <v>1</v>
      </c>
      <c r="P345">
        <v>1</v>
      </c>
      <c r="Q345">
        <v>1</v>
      </c>
      <c r="R345">
        <v>1</v>
      </c>
      <c r="S345" t="s">
        <v>1056</v>
      </c>
    </row>
    <row r="346" spans="1:19">
      <c r="A346" t="s">
        <v>267</v>
      </c>
      <c r="B346" t="s">
        <v>37</v>
      </c>
      <c r="C346" t="s">
        <v>35</v>
      </c>
      <c r="D346" s="8">
        <v>45948</v>
      </c>
      <c r="E346" s="8">
        <v>45953</v>
      </c>
      <c r="F346" s="8">
        <v>45957</v>
      </c>
      <c r="G346" s="8">
        <v>45963</v>
      </c>
      <c r="H346" t="s">
        <v>22</v>
      </c>
      <c r="J346" s="8">
        <v>45982</v>
      </c>
      <c r="K346">
        <v>5</v>
      </c>
      <c r="L346">
        <v>4</v>
      </c>
      <c r="M346">
        <v>6</v>
      </c>
      <c r="N346">
        <v>4</v>
      </c>
      <c r="O346">
        <v>1</v>
      </c>
      <c r="P346">
        <v>1</v>
      </c>
      <c r="Q346">
        <v>1</v>
      </c>
      <c r="R346">
        <v>1</v>
      </c>
      <c r="S346" t="s">
        <v>1056</v>
      </c>
    </row>
    <row r="347" spans="1:19">
      <c r="A347" t="s">
        <v>271</v>
      </c>
      <c r="B347" t="s">
        <v>37</v>
      </c>
      <c r="C347" t="s">
        <v>21</v>
      </c>
      <c r="D347" s="8">
        <v>45944</v>
      </c>
      <c r="E347" s="8">
        <v>45946</v>
      </c>
      <c r="F347" s="8">
        <v>45949</v>
      </c>
      <c r="G347" s="8">
        <v>45951</v>
      </c>
      <c r="H347" t="s">
        <v>22</v>
      </c>
      <c r="J347" s="8">
        <v>45967</v>
      </c>
      <c r="K347">
        <v>2</v>
      </c>
      <c r="L347">
        <v>3</v>
      </c>
      <c r="M347">
        <v>2</v>
      </c>
      <c r="N347">
        <v>1</v>
      </c>
      <c r="O347">
        <v>1</v>
      </c>
      <c r="P347">
        <v>1</v>
      </c>
      <c r="Q347">
        <v>1</v>
      </c>
      <c r="R347">
        <v>1</v>
      </c>
      <c r="S347" t="s">
        <v>1056</v>
      </c>
    </row>
    <row r="348" spans="1:19">
      <c r="A348" t="s">
        <v>274</v>
      </c>
      <c r="B348" t="s">
        <v>37</v>
      </c>
      <c r="C348" t="s">
        <v>35</v>
      </c>
      <c r="D348" s="8">
        <v>45950</v>
      </c>
      <c r="E348" s="8">
        <v>45952</v>
      </c>
      <c r="F348" s="8">
        <v>45956</v>
      </c>
      <c r="G348" s="8">
        <v>45958</v>
      </c>
      <c r="H348" t="s">
        <v>22</v>
      </c>
      <c r="J348" s="8">
        <v>45968</v>
      </c>
      <c r="K348">
        <v>2</v>
      </c>
      <c r="L348">
        <v>4</v>
      </c>
      <c r="M348">
        <v>2</v>
      </c>
      <c r="N348">
        <v>1</v>
      </c>
      <c r="O348">
        <v>1</v>
      </c>
      <c r="P348">
        <v>1</v>
      </c>
      <c r="Q348">
        <v>1</v>
      </c>
      <c r="R348">
        <v>1</v>
      </c>
      <c r="S348" t="s">
        <v>1056</v>
      </c>
    </row>
    <row r="349" spans="1:19">
      <c r="A349" t="s">
        <v>280</v>
      </c>
      <c r="B349" t="s">
        <v>37</v>
      </c>
      <c r="C349" t="s">
        <v>21</v>
      </c>
      <c r="D349" s="8">
        <v>45953</v>
      </c>
      <c r="E349" s="8">
        <v>45958</v>
      </c>
      <c r="F349" s="8">
        <v>45963</v>
      </c>
      <c r="G349" s="8">
        <v>45970</v>
      </c>
      <c r="H349" t="s">
        <v>22</v>
      </c>
      <c r="J349" s="8">
        <v>46000</v>
      </c>
      <c r="K349">
        <v>5</v>
      </c>
      <c r="L349">
        <v>5</v>
      </c>
      <c r="M349">
        <v>7</v>
      </c>
      <c r="N349">
        <v>4</v>
      </c>
      <c r="O349">
        <v>1</v>
      </c>
      <c r="P349">
        <v>1</v>
      </c>
      <c r="Q349">
        <v>1</v>
      </c>
      <c r="R349">
        <v>1</v>
      </c>
      <c r="S349" t="s">
        <v>1056</v>
      </c>
    </row>
    <row r="350" spans="1:19">
      <c r="A350" t="s">
        <v>289</v>
      </c>
      <c r="B350" t="s">
        <v>37</v>
      </c>
      <c r="C350" t="s">
        <v>21</v>
      </c>
      <c r="D350" s="8">
        <v>45939</v>
      </c>
      <c r="E350" s="8">
        <v>45944</v>
      </c>
      <c r="F350" s="8">
        <v>45947</v>
      </c>
      <c r="G350" s="8">
        <v>45952</v>
      </c>
      <c r="H350" t="s">
        <v>22</v>
      </c>
      <c r="J350" s="8">
        <v>45977</v>
      </c>
      <c r="K350">
        <v>5</v>
      </c>
      <c r="L350">
        <v>3</v>
      </c>
      <c r="M350">
        <v>5</v>
      </c>
      <c r="N350">
        <v>3</v>
      </c>
      <c r="O350">
        <v>1</v>
      </c>
      <c r="P350">
        <v>1</v>
      </c>
      <c r="Q350">
        <v>1</v>
      </c>
      <c r="R350">
        <v>1</v>
      </c>
      <c r="S350" t="s">
        <v>1056</v>
      </c>
    </row>
    <row r="351" spans="1:19">
      <c r="A351" t="s">
        <v>301</v>
      </c>
      <c r="B351" t="s">
        <v>37</v>
      </c>
      <c r="C351" t="s">
        <v>21</v>
      </c>
      <c r="D351" s="8">
        <v>45938</v>
      </c>
      <c r="E351" s="8">
        <v>45942</v>
      </c>
      <c r="F351" s="8">
        <v>45947</v>
      </c>
      <c r="G351" s="8">
        <v>45952</v>
      </c>
      <c r="H351" t="s">
        <v>22</v>
      </c>
      <c r="J351" s="8">
        <v>45973</v>
      </c>
      <c r="K351">
        <v>4</v>
      </c>
      <c r="L351">
        <v>5</v>
      </c>
      <c r="M351">
        <v>5</v>
      </c>
      <c r="N351">
        <v>6</v>
      </c>
      <c r="O351">
        <v>1</v>
      </c>
      <c r="P351">
        <v>1</v>
      </c>
      <c r="Q351">
        <v>1</v>
      </c>
      <c r="R351">
        <v>1</v>
      </c>
      <c r="S351" t="s">
        <v>1056</v>
      </c>
    </row>
    <row r="352" spans="1:19">
      <c r="A352" t="s">
        <v>310</v>
      </c>
      <c r="B352" t="s">
        <v>37</v>
      </c>
      <c r="C352" t="s">
        <v>21</v>
      </c>
      <c r="D352" s="8">
        <v>45936</v>
      </c>
      <c r="E352" s="8">
        <v>45940</v>
      </c>
      <c r="F352" s="8">
        <v>45944</v>
      </c>
      <c r="G352" s="8">
        <v>45948</v>
      </c>
      <c r="H352" t="s">
        <v>22</v>
      </c>
      <c r="J352" s="8">
        <v>45966</v>
      </c>
      <c r="K352">
        <v>4</v>
      </c>
      <c r="L352">
        <v>4</v>
      </c>
      <c r="M352">
        <v>4</v>
      </c>
      <c r="N352">
        <v>1</v>
      </c>
      <c r="O352">
        <v>1</v>
      </c>
      <c r="P352">
        <v>1</v>
      </c>
      <c r="Q352">
        <v>1</v>
      </c>
      <c r="R352">
        <v>1</v>
      </c>
      <c r="S352" t="s">
        <v>1056</v>
      </c>
    </row>
    <row r="353" spans="1:19">
      <c r="A353" t="s">
        <v>323</v>
      </c>
      <c r="B353" t="s">
        <v>37</v>
      </c>
      <c r="C353" t="s">
        <v>35</v>
      </c>
      <c r="D353" s="8">
        <v>45940</v>
      </c>
      <c r="E353" s="8">
        <v>45945</v>
      </c>
      <c r="F353" s="8">
        <v>45950</v>
      </c>
      <c r="G353" s="8">
        <v>45957</v>
      </c>
      <c r="H353" t="s">
        <v>22</v>
      </c>
      <c r="J353" s="8">
        <v>45971</v>
      </c>
      <c r="K353">
        <v>5</v>
      </c>
      <c r="L353">
        <v>5</v>
      </c>
      <c r="M353">
        <v>7</v>
      </c>
      <c r="N353">
        <v>4</v>
      </c>
      <c r="O353">
        <v>1</v>
      </c>
      <c r="P353">
        <v>1</v>
      </c>
      <c r="Q353">
        <v>1</v>
      </c>
      <c r="R353">
        <v>1</v>
      </c>
      <c r="S353" t="s">
        <v>1056</v>
      </c>
    </row>
    <row r="354" spans="1:19">
      <c r="A354" t="s">
        <v>329</v>
      </c>
      <c r="B354" t="s">
        <v>37</v>
      </c>
      <c r="C354" t="s">
        <v>21</v>
      </c>
      <c r="D354" s="8">
        <v>45948</v>
      </c>
      <c r="E354" s="8">
        <v>45952</v>
      </c>
      <c r="F354" s="8">
        <v>45953</v>
      </c>
      <c r="G354" s="8">
        <v>45960</v>
      </c>
      <c r="H354" t="s">
        <v>22</v>
      </c>
      <c r="J354" s="8">
        <v>45981</v>
      </c>
      <c r="K354">
        <v>4</v>
      </c>
      <c r="L354">
        <v>1</v>
      </c>
      <c r="M354">
        <v>7</v>
      </c>
      <c r="N354">
        <v>6</v>
      </c>
      <c r="O354">
        <v>1</v>
      </c>
      <c r="P354">
        <v>1</v>
      </c>
      <c r="Q354">
        <v>1</v>
      </c>
      <c r="R354">
        <v>1</v>
      </c>
      <c r="S354" t="s">
        <v>1056</v>
      </c>
    </row>
    <row r="355" spans="1:19">
      <c r="A355" t="s">
        <v>337</v>
      </c>
      <c r="B355" t="s">
        <v>37</v>
      </c>
      <c r="C355" t="s">
        <v>21</v>
      </c>
      <c r="D355" s="8">
        <v>45954</v>
      </c>
      <c r="E355" s="8">
        <v>45956</v>
      </c>
      <c r="F355" s="8">
        <v>45958</v>
      </c>
      <c r="G355" s="8">
        <v>45963</v>
      </c>
      <c r="H355" t="s">
        <v>22</v>
      </c>
      <c r="J355" s="8">
        <v>45974</v>
      </c>
      <c r="K355">
        <v>2</v>
      </c>
      <c r="L355">
        <v>2</v>
      </c>
      <c r="M355">
        <v>5</v>
      </c>
      <c r="N355">
        <v>1</v>
      </c>
      <c r="O355">
        <v>1</v>
      </c>
      <c r="P355">
        <v>1</v>
      </c>
      <c r="Q355">
        <v>1</v>
      </c>
      <c r="R355">
        <v>1</v>
      </c>
      <c r="S355" t="s">
        <v>1056</v>
      </c>
    </row>
    <row r="356" spans="1:19">
      <c r="A356" t="s">
        <v>342</v>
      </c>
      <c r="B356" t="s">
        <v>37</v>
      </c>
      <c r="C356" t="s">
        <v>21</v>
      </c>
      <c r="D356" s="8">
        <v>45933</v>
      </c>
      <c r="E356" s="8">
        <v>45935</v>
      </c>
      <c r="F356" s="8">
        <v>45938</v>
      </c>
      <c r="G356" s="8">
        <v>45942</v>
      </c>
      <c r="H356" t="s">
        <v>22</v>
      </c>
      <c r="J356" s="8">
        <v>45967</v>
      </c>
      <c r="K356">
        <v>2</v>
      </c>
      <c r="L356">
        <v>3</v>
      </c>
      <c r="M356">
        <v>4</v>
      </c>
      <c r="N356">
        <v>5</v>
      </c>
      <c r="O356">
        <v>1</v>
      </c>
      <c r="P356">
        <v>1</v>
      </c>
      <c r="Q356">
        <v>1</v>
      </c>
      <c r="R356">
        <v>1</v>
      </c>
      <c r="S356" t="s">
        <v>1056</v>
      </c>
    </row>
    <row r="357" spans="1:19">
      <c r="A357" t="s">
        <v>356</v>
      </c>
      <c r="B357" t="s">
        <v>37</v>
      </c>
      <c r="C357" t="s">
        <v>35</v>
      </c>
      <c r="D357" s="8">
        <v>45949</v>
      </c>
      <c r="E357" s="8">
        <v>45954</v>
      </c>
      <c r="F357" s="8">
        <v>45959</v>
      </c>
      <c r="G357" s="8">
        <v>45964</v>
      </c>
      <c r="H357" t="s">
        <v>22</v>
      </c>
      <c r="J357" s="8">
        <v>45990</v>
      </c>
      <c r="K357">
        <v>5</v>
      </c>
      <c r="L357">
        <v>5</v>
      </c>
      <c r="M357">
        <v>5</v>
      </c>
      <c r="N357">
        <v>2</v>
      </c>
      <c r="O357">
        <v>1</v>
      </c>
      <c r="P357">
        <v>1</v>
      </c>
      <c r="Q357">
        <v>1</v>
      </c>
      <c r="R357">
        <v>1</v>
      </c>
      <c r="S357" t="s">
        <v>1056</v>
      </c>
    </row>
    <row r="358" spans="1:19">
      <c r="A358" t="s">
        <v>363</v>
      </c>
      <c r="B358" t="s">
        <v>37</v>
      </c>
      <c r="C358" t="s">
        <v>35</v>
      </c>
      <c r="D358" s="8">
        <v>45951</v>
      </c>
      <c r="E358" s="8">
        <v>45955</v>
      </c>
      <c r="F358" s="8">
        <v>45958</v>
      </c>
      <c r="G358" s="8">
        <v>45963</v>
      </c>
      <c r="H358" t="s">
        <v>22</v>
      </c>
      <c r="J358" s="8">
        <v>45978</v>
      </c>
      <c r="K358">
        <v>4</v>
      </c>
      <c r="L358">
        <v>3</v>
      </c>
      <c r="M358">
        <v>5</v>
      </c>
      <c r="N358">
        <v>1</v>
      </c>
      <c r="O358">
        <v>1</v>
      </c>
      <c r="P358">
        <v>1</v>
      </c>
      <c r="Q358">
        <v>1</v>
      </c>
      <c r="R358">
        <v>1</v>
      </c>
      <c r="S358" t="s">
        <v>1056</v>
      </c>
    </row>
    <row r="359" spans="1:19">
      <c r="A359" t="s">
        <v>377</v>
      </c>
      <c r="B359" t="s">
        <v>37</v>
      </c>
      <c r="C359" t="s">
        <v>21</v>
      </c>
      <c r="D359" s="8">
        <v>45941</v>
      </c>
      <c r="E359" s="8">
        <v>45944</v>
      </c>
      <c r="F359" s="8">
        <v>45945</v>
      </c>
      <c r="G359" s="8">
        <v>45949</v>
      </c>
      <c r="H359" t="s">
        <v>22</v>
      </c>
      <c r="J359" s="8">
        <v>45963</v>
      </c>
      <c r="K359">
        <v>3</v>
      </c>
      <c r="L359">
        <v>1</v>
      </c>
      <c r="M359">
        <v>4</v>
      </c>
      <c r="N359">
        <v>3</v>
      </c>
      <c r="O359">
        <v>1</v>
      </c>
      <c r="P359">
        <v>1</v>
      </c>
      <c r="Q359">
        <v>1</v>
      </c>
      <c r="R359">
        <v>1</v>
      </c>
      <c r="S359" t="s">
        <v>1056</v>
      </c>
    </row>
    <row r="360" spans="1:19">
      <c r="A360" t="s">
        <v>378</v>
      </c>
      <c r="B360" t="s">
        <v>37</v>
      </c>
      <c r="C360" t="s">
        <v>21</v>
      </c>
      <c r="D360" s="8">
        <v>45941</v>
      </c>
      <c r="E360" s="8">
        <v>45946</v>
      </c>
      <c r="F360" s="8">
        <v>45951</v>
      </c>
      <c r="G360" s="8">
        <v>45953</v>
      </c>
      <c r="H360" t="s">
        <v>22</v>
      </c>
      <c r="J360" s="8">
        <v>45982</v>
      </c>
      <c r="K360">
        <v>5</v>
      </c>
      <c r="L360">
        <v>5</v>
      </c>
      <c r="M360">
        <v>2</v>
      </c>
      <c r="N360">
        <v>6</v>
      </c>
      <c r="O360">
        <v>1</v>
      </c>
      <c r="P360">
        <v>1</v>
      </c>
      <c r="Q360">
        <v>1</v>
      </c>
      <c r="R360">
        <v>1</v>
      </c>
      <c r="S360" t="s">
        <v>1056</v>
      </c>
    </row>
    <row r="361" spans="1:19">
      <c r="A361" t="s">
        <v>394</v>
      </c>
      <c r="B361" t="s">
        <v>37</v>
      </c>
      <c r="C361" t="s">
        <v>21</v>
      </c>
      <c r="D361" s="8">
        <v>45932</v>
      </c>
      <c r="E361" s="8">
        <v>45936</v>
      </c>
      <c r="F361" s="8">
        <v>45940</v>
      </c>
      <c r="G361" s="8">
        <v>45942</v>
      </c>
      <c r="H361" t="s">
        <v>22</v>
      </c>
      <c r="J361" s="8">
        <v>45966</v>
      </c>
      <c r="K361">
        <v>4</v>
      </c>
      <c r="L361">
        <v>4</v>
      </c>
      <c r="M361">
        <v>2</v>
      </c>
      <c r="N361">
        <v>0</v>
      </c>
      <c r="O361">
        <v>1</v>
      </c>
      <c r="P361">
        <v>1</v>
      </c>
      <c r="Q361">
        <v>1</v>
      </c>
      <c r="R361">
        <v>1</v>
      </c>
      <c r="S361" t="s">
        <v>1056</v>
      </c>
    </row>
    <row r="362" spans="1:19">
      <c r="A362" t="s">
        <v>405</v>
      </c>
      <c r="B362" t="s">
        <v>37</v>
      </c>
      <c r="C362" t="s">
        <v>21</v>
      </c>
      <c r="D362" s="8">
        <v>45957</v>
      </c>
      <c r="E362" s="8">
        <v>45959</v>
      </c>
      <c r="F362" s="8">
        <v>45961</v>
      </c>
      <c r="G362" s="8">
        <v>45968</v>
      </c>
      <c r="H362" t="s">
        <v>22</v>
      </c>
      <c r="J362" s="8">
        <v>45996</v>
      </c>
      <c r="K362">
        <v>2</v>
      </c>
      <c r="L362">
        <v>2</v>
      </c>
      <c r="M362">
        <v>7</v>
      </c>
      <c r="N362">
        <v>5</v>
      </c>
      <c r="O362">
        <v>1</v>
      </c>
      <c r="P362">
        <v>1</v>
      </c>
      <c r="Q362">
        <v>1</v>
      </c>
      <c r="R362">
        <v>1</v>
      </c>
      <c r="S362" t="s">
        <v>1056</v>
      </c>
    </row>
    <row r="363" spans="1:19">
      <c r="A363" t="s">
        <v>409</v>
      </c>
      <c r="B363" t="s">
        <v>37</v>
      </c>
      <c r="C363" t="s">
        <v>21</v>
      </c>
      <c r="D363" s="8">
        <v>45948</v>
      </c>
      <c r="E363" s="8">
        <v>45950</v>
      </c>
      <c r="F363" s="8">
        <v>45954</v>
      </c>
      <c r="G363" s="8">
        <v>45961</v>
      </c>
      <c r="H363" t="s">
        <v>22</v>
      </c>
      <c r="J363" s="8">
        <v>45974</v>
      </c>
      <c r="K363">
        <v>2</v>
      </c>
      <c r="L363">
        <v>4</v>
      </c>
      <c r="M363">
        <v>7</v>
      </c>
      <c r="N363">
        <v>3</v>
      </c>
      <c r="O363">
        <v>1</v>
      </c>
      <c r="P363">
        <v>1</v>
      </c>
      <c r="Q363">
        <v>1</v>
      </c>
      <c r="R363">
        <v>1</v>
      </c>
      <c r="S363" t="s">
        <v>1056</v>
      </c>
    </row>
    <row r="364" spans="1:19">
      <c r="A364" t="s">
        <v>427</v>
      </c>
      <c r="B364" t="s">
        <v>37</v>
      </c>
      <c r="C364" t="s">
        <v>35</v>
      </c>
      <c r="D364" s="8">
        <v>45960</v>
      </c>
      <c r="E364" s="8">
        <v>45964</v>
      </c>
      <c r="F364" s="8">
        <v>45969</v>
      </c>
      <c r="G364" s="8">
        <v>45973</v>
      </c>
      <c r="H364" t="s">
        <v>22</v>
      </c>
      <c r="J364" s="8">
        <v>46002</v>
      </c>
      <c r="K364">
        <v>4</v>
      </c>
      <c r="L364">
        <v>5</v>
      </c>
      <c r="M364">
        <v>4</v>
      </c>
      <c r="N364">
        <v>2</v>
      </c>
      <c r="O364">
        <v>1</v>
      </c>
      <c r="P364">
        <v>1</v>
      </c>
      <c r="Q364">
        <v>1</v>
      </c>
      <c r="R364">
        <v>1</v>
      </c>
      <c r="S364" t="s">
        <v>1056</v>
      </c>
    </row>
    <row r="365" spans="1:19">
      <c r="A365" t="s">
        <v>446</v>
      </c>
      <c r="B365" t="s">
        <v>37</v>
      </c>
      <c r="C365" t="s">
        <v>35</v>
      </c>
      <c r="D365" s="8">
        <v>45933</v>
      </c>
      <c r="E365" s="8">
        <v>45935</v>
      </c>
      <c r="F365" s="8">
        <v>45937</v>
      </c>
      <c r="G365" s="8">
        <v>45944</v>
      </c>
      <c r="H365" t="s">
        <v>22</v>
      </c>
      <c r="J365" s="8">
        <v>45969</v>
      </c>
      <c r="K365">
        <v>2</v>
      </c>
      <c r="L365">
        <v>2</v>
      </c>
      <c r="M365">
        <v>7</v>
      </c>
      <c r="N365">
        <v>3</v>
      </c>
      <c r="O365">
        <v>1</v>
      </c>
      <c r="P365">
        <v>1</v>
      </c>
      <c r="Q365">
        <v>1</v>
      </c>
      <c r="R365">
        <v>1</v>
      </c>
      <c r="S365" t="s">
        <v>1056</v>
      </c>
    </row>
    <row r="366" spans="1:19">
      <c r="A366" t="s">
        <v>455</v>
      </c>
      <c r="B366" t="s">
        <v>37</v>
      </c>
      <c r="C366" t="s">
        <v>21</v>
      </c>
      <c r="D366" s="8">
        <v>45957</v>
      </c>
      <c r="E366" s="8">
        <v>45961</v>
      </c>
      <c r="F366" s="8">
        <v>45966</v>
      </c>
      <c r="G366" s="8">
        <v>45969</v>
      </c>
      <c r="H366" t="s">
        <v>22</v>
      </c>
      <c r="J366" s="8">
        <v>45994</v>
      </c>
      <c r="K366">
        <v>4</v>
      </c>
      <c r="L366">
        <v>5</v>
      </c>
      <c r="M366">
        <v>3</v>
      </c>
      <c r="N366">
        <v>2</v>
      </c>
      <c r="O366">
        <v>1</v>
      </c>
      <c r="P366">
        <v>1</v>
      </c>
      <c r="Q366">
        <v>1</v>
      </c>
      <c r="R366">
        <v>1</v>
      </c>
      <c r="S366" t="s">
        <v>1056</v>
      </c>
    </row>
    <row r="367" spans="1:19">
      <c r="A367" t="s">
        <v>464</v>
      </c>
      <c r="B367" t="s">
        <v>37</v>
      </c>
      <c r="C367" t="s">
        <v>35</v>
      </c>
      <c r="D367" s="8">
        <v>45944</v>
      </c>
      <c r="E367" s="8">
        <v>45947</v>
      </c>
      <c r="F367" s="8">
        <v>45950</v>
      </c>
      <c r="G367" s="8">
        <v>45954</v>
      </c>
      <c r="H367" t="s">
        <v>22</v>
      </c>
      <c r="J367" s="8">
        <v>45977</v>
      </c>
      <c r="K367">
        <v>3</v>
      </c>
      <c r="L367">
        <v>3</v>
      </c>
      <c r="M367">
        <v>4</v>
      </c>
      <c r="N367">
        <v>4</v>
      </c>
      <c r="O367">
        <v>1</v>
      </c>
      <c r="P367">
        <v>1</v>
      </c>
      <c r="Q367">
        <v>1</v>
      </c>
      <c r="R367">
        <v>1</v>
      </c>
      <c r="S367" t="s">
        <v>1056</v>
      </c>
    </row>
    <row r="368" spans="1:19">
      <c r="A368" t="s">
        <v>469</v>
      </c>
      <c r="B368" t="s">
        <v>37</v>
      </c>
      <c r="C368" t="s">
        <v>21</v>
      </c>
      <c r="D368" s="8">
        <v>45945</v>
      </c>
      <c r="E368" s="8">
        <v>45950</v>
      </c>
      <c r="F368" s="8">
        <v>45955</v>
      </c>
      <c r="G368" s="8">
        <v>45958</v>
      </c>
      <c r="H368" t="s">
        <v>22</v>
      </c>
      <c r="J368" s="8">
        <v>45974</v>
      </c>
      <c r="K368">
        <v>5</v>
      </c>
      <c r="L368">
        <v>5</v>
      </c>
      <c r="M368">
        <v>3</v>
      </c>
      <c r="N368">
        <v>3</v>
      </c>
      <c r="O368">
        <v>1</v>
      </c>
      <c r="P368">
        <v>1</v>
      </c>
      <c r="Q368">
        <v>1</v>
      </c>
      <c r="R368">
        <v>1</v>
      </c>
      <c r="S368" t="s">
        <v>1056</v>
      </c>
    </row>
    <row r="369" spans="1:19">
      <c r="A369" t="s">
        <v>490</v>
      </c>
      <c r="B369" t="s">
        <v>37</v>
      </c>
      <c r="C369" t="s">
        <v>21</v>
      </c>
      <c r="D369" s="8">
        <v>45947</v>
      </c>
      <c r="E369" s="8">
        <v>45951</v>
      </c>
      <c r="F369" s="8">
        <v>45955</v>
      </c>
      <c r="G369" s="8">
        <v>45959</v>
      </c>
      <c r="H369" t="s">
        <v>22</v>
      </c>
      <c r="J369" s="8">
        <v>45985</v>
      </c>
      <c r="K369">
        <v>4</v>
      </c>
      <c r="L369">
        <v>4</v>
      </c>
      <c r="M369">
        <v>4</v>
      </c>
      <c r="N369">
        <v>5</v>
      </c>
      <c r="O369">
        <v>1</v>
      </c>
      <c r="P369">
        <v>1</v>
      </c>
      <c r="Q369">
        <v>1</v>
      </c>
      <c r="R369">
        <v>1</v>
      </c>
      <c r="S369" t="s">
        <v>1056</v>
      </c>
    </row>
    <row r="370" spans="1:19">
      <c r="A370" t="s">
        <v>496</v>
      </c>
      <c r="B370" t="s">
        <v>37</v>
      </c>
      <c r="C370" t="s">
        <v>21</v>
      </c>
      <c r="D370" s="8">
        <v>45940</v>
      </c>
      <c r="E370" s="8">
        <v>45941</v>
      </c>
      <c r="F370" s="8">
        <v>45943</v>
      </c>
      <c r="G370" s="8">
        <v>45949</v>
      </c>
      <c r="H370" t="s">
        <v>22</v>
      </c>
      <c r="J370" s="8">
        <v>45975</v>
      </c>
      <c r="K370">
        <v>1</v>
      </c>
      <c r="L370">
        <v>2</v>
      </c>
      <c r="M370">
        <v>6</v>
      </c>
      <c r="N370">
        <v>1</v>
      </c>
      <c r="O370">
        <v>1</v>
      </c>
      <c r="P370">
        <v>1</v>
      </c>
      <c r="Q370">
        <v>1</v>
      </c>
      <c r="R370">
        <v>1</v>
      </c>
      <c r="S370" t="s">
        <v>1056</v>
      </c>
    </row>
    <row r="371" spans="1:19">
      <c r="A371" t="s">
        <v>497</v>
      </c>
      <c r="B371" t="s">
        <v>37</v>
      </c>
      <c r="C371" t="s">
        <v>35</v>
      </c>
      <c r="D371" s="8">
        <v>45957</v>
      </c>
      <c r="E371" s="8">
        <v>45961</v>
      </c>
      <c r="F371" s="8">
        <v>45963</v>
      </c>
      <c r="G371" s="8">
        <v>45966</v>
      </c>
      <c r="H371" t="s">
        <v>22</v>
      </c>
      <c r="J371" s="8">
        <v>45994</v>
      </c>
      <c r="K371">
        <v>4</v>
      </c>
      <c r="L371">
        <v>2</v>
      </c>
      <c r="M371">
        <v>3</v>
      </c>
      <c r="N371">
        <v>4</v>
      </c>
      <c r="O371">
        <v>1</v>
      </c>
      <c r="P371">
        <v>1</v>
      </c>
      <c r="Q371">
        <v>1</v>
      </c>
      <c r="R371">
        <v>1</v>
      </c>
      <c r="S371" t="s">
        <v>1056</v>
      </c>
    </row>
    <row r="372" spans="1:19">
      <c r="A372" t="s">
        <v>499</v>
      </c>
      <c r="B372" t="s">
        <v>37</v>
      </c>
      <c r="C372" t="s">
        <v>35</v>
      </c>
      <c r="D372" s="8">
        <v>45949</v>
      </c>
      <c r="E372" s="8">
        <v>45952</v>
      </c>
      <c r="F372" s="8">
        <v>45954</v>
      </c>
      <c r="G372" s="8">
        <v>45959</v>
      </c>
      <c r="H372" t="s">
        <v>22</v>
      </c>
      <c r="J372" s="8">
        <v>45974</v>
      </c>
      <c r="K372">
        <v>3</v>
      </c>
      <c r="L372">
        <v>2</v>
      </c>
      <c r="M372">
        <v>5</v>
      </c>
      <c r="N372">
        <v>1</v>
      </c>
      <c r="O372">
        <v>1</v>
      </c>
      <c r="P372">
        <v>1</v>
      </c>
      <c r="Q372">
        <v>1</v>
      </c>
      <c r="R372">
        <v>1</v>
      </c>
      <c r="S372" t="s">
        <v>1056</v>
      </c>
    </row>
    <row r="373" spans="1:19">
      <c r="A373" t="s">
        <v>501</v>
      </c>
      <c r="B373" t="s">
        <v>37</v>
      </c>
      <c r="C373" t="s">
        <v>21</v>
      </c>
      <c r="D373" s="8">
        <v>45946</v>
      </c>
      <c r="E373" s="8">
        <v>45950</v>
      </c>
      <c r="F373" s="8">
        <v>45951</v>
      </c>
      <c r="G373" s="8">
        <v>45958</v>
      </c>
      <c r="H373" t="s">
        <v>22</v>
      </c>
      <c r="J373" s="8">
        <v>45974</v>
      </c>
      <c r="K373">
        <v>4</v>
      </c>
      <c r="L373">
        <v>1</v>
      </c>
      <c r="M373">
        <v>7</v>
      </c>
      <c r="N373">
        <v>0</v>
      </c>
      <c r="O373">
        <v>1</v>
      </c>
      <c r="P373">
        <v>1</v>
      </c>
      <c r="Q373">
        <v>1</v>
      </c>
      <c r="R373">
        <v>1</v>
      </c>
      <c r="S373" t="s">
        <v>1056</v>
      </c>
    </row>
    <row r="374" spans="1:19">
      <c r="A374" t="s">
        <v>540</v>
      </c>
      <c r="B374" t="s">
        <v>37</v>
      </c>
      <c r="C374" t="s">
        <v>21</v>
      </c>
      <c r="D374" s="8">
        <v>45946</v>
      </c>
      <c r="E374" s="8">
        <v>45947</v>
      </c>
      <c r="F374" s="8">
        <v>45950</v>
      </c>
      <c r="G374" s="8">
        <v>45952</v>
      </c>
      <c r="H374" t="s">
        <v>22</v>
      </c>
      <c r="J374" s="8">
        <v>45973</v>
      </c>
      <c r="K374">
        <v>1</v>
      </c>
      <c r="L374">
        <v>3</v>
      </c>
      <c r="M374">
        <v>2</v>
      </c>
      <c r="N374">
        <v>5</v>
      </c>
      <c r="O374">
        <v>1</v>
      </c>
      <c r="P374">
        <v>1</v>
      </c>
      <c r="Q374">
        <v>1</v>
      </c>
      <c r="R374">
        <v>1</v>
      </c>
      <c r="S374" t="s">
        <v>1056</v>
      </c>
    </row>
    <row r="375" spans="1:19">
      <c r="A375" t="s">
        <v>564</v>
      </c>
      <c r="B375" t="s">
        <v>37</v>
      </c>
      <c r="C375" t="s">
        <v>35</v>
      </c>
      <c r="D375" s="8">
        <v>45933</v>
      </c>
      <c r="E375" s="8">
        <v>45934</v>
      </c>
      <c r="F375" s="8">
        <v>45937</v>
      </c>
      <c r="G375" s="8">
        <v>45941</v>
      </c>
      <c r="H375" t="s">
        <v>22</v>
      </c>
      <c r="J375" s="8">
        <v>45964</v>
      </c>
      <c r="K375">
        <v>1</v>
      </c>
      <c r="L375">
        <v>3</v>
      </c>
      <c r="M375">
        <v>4</v>
      </c>
      <c r="N375">
        <v>2</v>
      </c>
      <c r="O375">
        <v>1</v>
      </c>
      <c r="P375">
        <v>1</v>
      </c>
      <c r="Q375">
        <v>1</v>
      </c>
      <c r="R375">
        <v>1</v>
      </c>
      <c r="S375" t="s">
        <v>1056</v>
      </c>
    </row>
    <row r="376" spans="1:19">
      <c r="A376" t="s">
        <v>566</v>
      </c>
      <c r="B376" t="s">
        <v>37</v>
      </c>
      <c r="C376" t="s">
        <v>21</v>
      </c>
      <c r="D376" s="8">
        <v>45956</v>
      </c>
      <c r="E376" s="8">
        <v>45961</v>
      </c>
      <c r="F376" s="8">
        <v>45964</v>
      </c>
      <c r="G376" s="8">
        <v>45966</v>
      </c>
      <c r="H376" t="s">
        <v>22</v>
      </c>
      <c r="J376" s="8">
        <v>45992</v>
      </c>
      <c r="K376">
        <v>5</v>
      </c>
      <c r="L376">
        <v>3</v>
      </c>
      <c r="M376">
        <v>2</v>
      </c>
      <c r="N376">
        <v>1</v>
      </c>
      <c r="O376">
        <v>1</v>
      </c>
      <c r="P376">
        <v>1</v>
      </c>
      <c r="Q376">
        <v>1</v>
      </c>
      <c r="R376">
        <v>1</v>
      </c>
      <c r="S376" t="s">
        <v>1056</v>
      </c>
    </row>
    <row r="377" spans="1:19">
      <c r="A377" t="s">
        <v>567</v>
      </c>
      <c r="B377" t="s">
        <v>37</v>
      </c>
      <c r="C377" t="s">
        <v>35</v>
      </c>
      <c r="D377" s="8">
        <v>45939</v>
      </c>
      <c r="E377" s="8">
        <v>45942</v>
      </c>
      <c r="F377" s="8">
        <v>45945</v>
      </c>
      <c r="G377" s="8">
        <v>45949</v>
      </c>
      <c r="H377" t="s">
        <v>22</v>
      </c>
      <c r="J377" s="8">
        <v>45959</v>
      </c>
      <c r="K377">
        <v>3</v>
      </c>
      <c r="L377">
        <v>3</v>
      </c>
      <c r="M377">
        <v>4</v>
      </c>
      <c r="N377">
        <v>0</v>
      </c>
      <c r="O377">
        <v>1</v>
      </c>
      <c r="P377">
        <v>1</v>
      </c>
      <c r="Q377">
        <v>1</v>
      </c>
      <c r="R377">
        <v>1</v>
      </c>
      <c r="S377" t="s">
        <v>1056</v>
      </c>
    </row>
    <row r="378" spans="1:19">
      <c r="A378" t="s">
        <v>576</v>
      </c>
      <c r="B378" t="s">
        <v>37</v>
      </c>
      <c r="C378" t="s">
        <v>21</v>
      </c>
      <c r="D378" s="8">
        <v>45958</v>
      </c>
      <c r="E378" s="8">
        <v>45961</v>
      </c>
      <c r="F378" s="8">
        <v>45964</v>
      </c>
      <c r="G378" s="8">
        <v>45969</v>
      </c>
      <c r="H378" t="s">
        <v>22</v>
      </c>
      <c r="J378" s="8">
        <v>45984</v>
      </c>
      <c r="K378">
        <v>3</v>
      </c>
      <c r="L378">
        <v>3</v>
      </c>
      <c r="M378">
        <v>5</v>
      </c>
      <c r="N378">
        <v>4</v>
      </c>
      <c r="O378">
        <v>1</v>
      </c>
      <c r="P378">
        <v>1</v>
      </c>
      <c r="Q378">
        <v>1</v>
      </c>
      <c r="R378">
        <v>1</v>
      </c>
      <c r="S378" t="s">
        <v>1056</v>
      </c>
    </row>
    <row r="379" spans="1:19">
      <c r="A379" t="s">
        <v>583</v>
      </c>
      <c r="B379" t="s">
        <v>37</v>
      </c>
      <c r="C379" t="s">
        <v>21</v>
      </c>
      <c r="D379" s="8">
        <v>45951</v>
      </c>
      <c r="E379" s="8">
        <v>45952</v>
      </c>
      <c r="F379" s="8">
        <v>45954</v>
      </c>
      <c r="G379" s="8">
        <v>45958</v>
      </c>
      <c r="H379" t="s">
        <v>22</v>
      </c>
      <c r="J379" s="8">
        <v>45988</v>
      </c>
      <c r="K379">
        <v>1</v>
      </c>
      <c r="L379">
        <v>2</v>
      </c>
      <c r="M379">
        <v>4</v>
      </c>
      <c r="N379">
        <v>3</v>
      </c>
      <c r="O379">
        <v>1</v>
      </c>
      <c r="P379">
        <v>1</v>
      </c>
      <c r="Q379">
        <v>1</v>
      </c>
      <c r="R379">
        <v>1</v>
      </c>
      <c r="S379" t="s">
        <v>1056</v>
      </c>
    </row>
    <row r="380" spans="1:19">
      <c r="A380" t="s">
        <v>584</v>
      </c>
      <c r="B380" t="s">
        <v>37</v>
      </c>
      <c r="C380" t="s">
        <v>35</v>
      </c>
      <c r="D380" s="8">
        <v>45953</v>
      </c>
      <c r="E380" s="8">
        <v>45957</v>
      </c>
      <c r="F380" s="8">
        <v>45959</v>
      </c>
      <c r="G380" s="8">
        <v>45966</v>
      </c>
      <c r="H380" t="s">
        <v>22</v>
      </c>
      <c r="J380" s="8">
        <v>45984</v>
      </c>
      <c r="K380">
        <v>4</v>
      </c>
      <c r="L380">
        <v>2</v>
      </c>
      <c r="M380">
        <v>7</v>
      </c>
      <c r="N380">
        <v>3</v>
      </c>
      <c r="O380">
        <v>1</v>
      </c>
      <c r="P380">
        <v>1</v>
      </c>
      <c r="Q380">
        <v>1</v>
      </c>
      <c r="R380">
        <v>1</v>
      </c>
      <c r="S380" t="s">
        <v>1056</v>
      </c>
    </row>
    <row r="381" spans="1:19">
      <c r="A381" t="s">
        <v>589</v>
      </c>
      <c r="B381" t="s">
        <v>37</v>
      </c>
      <c r="C381" t="s">
        <v>35</v>
      </c>
      <c r="D381" s="8">
        <v>45948</v>
      </c>
      <c r="E381" s="8">
        <v>45951</v>
      </c>
      <c r="F381" s="8">
        <v>45956</v>
      </c>
      <c r="G381" s="8">
        <v>45958</v>
      </c>
      <c r="H381" t="s">
        <v>22</v>
      </c>
      <c r="J381" s="8">
        <v>45982</v>
      </c>
      <c r="K381">
        <v>3</v>
      </c>
      <c r="L381">
        <v>5</v>
      </c>
      <c r="M381">
        <v>2</v>
      </c>
      <c r="N381">
        <v>1</v>
      </c>
      <c r="O381">
        <v>1</v>
      </c>
      <c r="P381">
        <v>1</v>
      </c>
      <c r="Q381">
        <v>1</v>
      </c>
      <c r="R381">
        <v>1</v>
      </c>
      <c r="S381" t="s">
        <v>1056</v>
      </c>
    </row>
    <row r="382" spans="1:19">
      <c r="A382" t="s">
        <v>593</v>
      </c>
      <c r="B382" t="s">
        <v>37</v>
      </c>
      <c r="C382" t="s">
        <v>21</v>
      </c>
      <c r="D382" s="8">
        <v>45938</v>
      </c>
      <c r="E382" s="8">
        <v>45941</v>
      </c>
      <c r="F382" s="8">
        <v>45944</v>
      </c>
      <c r="G382" s="8">
        <v>45949</v>
      </c>
      <c r="H382" t="s">
        <v>22</v>
      </c>
      <c r="J382" s="8">
        <v>45973</v>
      </c>
      <c r="K382">
        <v>3</v>
      </c>
      <c r="L382">
        <v>3</v>
      </c>
      <c r="M382">
        <v>5</v>
      </c>
      <c r="N382">
        <v>6</v>
      </c>
      <c r="O382">
        <v>1</v>
      </c>
      <c r="P382">
        <v>1</v>
      </c>
      <c r="Q382">
        <v>1</v>
      </c>
      <c r="R382">
        <v>1</v>
      </c>
      <c r="S382" t="s">
        <v>1056</v>
      </c>
    </row>
    <row r="383" spans="1:19">
      <c r="A383" t="s">
        <v>596</v>
      </c>
      <c r="B383" t="s">
        <v>37</v>
      </c>
      <c r="C383" t="s">
        <v>35</v>
      </c>
      <c r="D383" s="8">
        <v>45960</v>
      </c>
      <c r="E383" s="8">
        <v>45963</v>
      </c>
      <c r="F383" s="8">
        <v>45965</v>
      </c>
      <c r="G383" s="8">
        <v>45970</v>
      </c>
      <c r="H383" t="s">
        <v>22</v>
      </c>
      <c r="J383" s="8">
        <v>45996</v>
      </c>
      <c r="K383">
        <v>3</v>
      </c>
      <c r="L383">
        <v>2</v>
      </c>
      <c r="M383">
        <v>5</v>
      </c>
      <c r="N383">
        <v>3</v>
      </c>
      <c r="O383">
        <v>1</v>
      </c>
      <c r="P383">
        <v>1</v>
      </c>
      <c r="Q383">
        <v>1</v>
      </c>
      <c r="R383">
        <v>1</v>
      </c>
      <c r="S383" t="s">
        <v>1056</v>
      </c>
    </row>
    <row r="384" spans="1:19">
      <c r="A384" t="s">
        <v>602</v>
      </c>
      <c r="B384" t="s">
        <v>37</v>
      </c>
      <c r="C384" t="s">
        <v>21</v>
      </c>
      <c r="D384" s="8">
        <v>45934</v>
      </c>
      <c r="E384" s="8">
        <v>45936</v>
      </c>
      <c r="F384" s="8">
        <v>45938</v>
      </c>
      <c r="G384" s="8">
        <v>45945</v>
      </c>
      <c r="H384" t="s">
        <v>22</v>
      </c>
      <c r="J384" s="8">
        <v>45955</v>
      </c>
      <c r="K384">
        <v>2</v>
      </c>
      <c r="L384">
        <v>2</v>
      </c>
      <c r="M384">
        <v>7</v>
      </c>
      <c r="N384">
        <v>4</v>
      </c>
      <c r="O384">
        <v>1</v>
      </c>
      <c r="P384">
        <v>1</v>
      </c>
      <c r="Q384">
        <v>1</v>
      </c>
      <c r="R384">
        <v>1</v>
      </c>
      <c r="S384" t="s">
        <v>1056</v>
      </c>
    </row>
    <row r="385" spans="1:19">
      <c r="A385" t="s">
        <v>605</v>
      </c>
      <c r="B385" t="s">
        <v>37</v>
      </c>
      <c r="C385" t="s">
        <v>35</v>
      </c>
      <c r="D385" s="8">
        <v>45953</v>
      </c>
      <c r="E385" s="8">
        <v>45958</v>
      </c>
      <c r="F385" s="8">
        <v>45961</v>
      </c>
      <c r="G385" s="8">
        <v>45968</v>
      </c>
      <c r="H385" t="s">
        <v>22</v>
      </c>
      <c r="J385" s="8">
        <v>45995</v>
      </c>
      <c r="K385">
        <v>5</v>
      </c>
      <c r="L385">
        <v>3</v>
      </c>
      <c r="M385">
        <v>7</v>
      </c>
      <c r="N385">
        <v>1</v>
      </c>
      <c r="O385">
        <v>1</v>
      </c>
      <c r="P385">
        <v>1</v>
      </c>
      <c r="Q385">
        <v>1</v>
      </c>
      <c r="R385">
        <v>1</v>
      </c>
      <c r="S385" t="s">
        <v>1056</v>
      </c>
    </row>
    <row r="386" spans="1:19">
      <c r="A386" t="s">
        <v>611</v>
      </c>
      <c r="B386" t="s">
        <v>37</v>
      </c>
      <c r="C386" t="s">
        <v>35</v>
      </c>
      <c r="D386" s="8">
        <v>45940</v>
      </c>
      <c r="E386" s="8">
        <v>45942</v>
      </c>
      <c r="F386" s="8">
        <v>45945</v>
      </c>
      <c r="G386" s="8">
        <v>45952</v>
      </c>
      <c r="H386" t="s">
        <v>22</v>
      </c>
      <c r="J386" s="8">
        <v>45965</v>
      </c>
      <c r="K386">
        <v>2</v>
      </c>
      <c r="L386">
        <v>3</v>
      </c>
      <c r="M386">
        <v>7</v>
      </c>
      <c r="N386">
        <v>6</v>
      </c>
      <c r="O386">
        <v>1</v>
      </c>
      <c r="P386">
        <v>1</v>
      </c>
      <c r="Q386">
        <v>1</v>
      </c>
      <c r="R386">
        <v>1</v>
      </c>
      <c r="S386" t="s">
        <v>1056</v>
      </c>
    </row>
    <row r="387" spans="1:19">
      <c r="A387" t="s">
        <v>614</v>
      </c>
      <c r="B387" t="s">
        <v>37</v>
      </c>
      <c r="C387" t="s">
        <v>21</v>
      </c>
      <c r="D387" s="8">
        <v>45932</v>
      </c>
      <c r="E387" s="8">
        <v>45933</v>
      </c>
      <c r="F387" s="8">
        <v>45938</v>
      </c>
      <c r="G387" s="8">
        <v>45943</v>
      </c>
      <c r="H387" t="s">
        <v>22</v>
      </c>
      <c r="J387" s="8">
        <v>45963</v>
      </c>
      <c r="K387">
        <v>1</v>
      </c>
      <c r="L387">
        <v>5</v>
      </c>
      <c r="M387">
        <v>5</v>
      </c>
      <c r="N387">
        <v>3</v>
      </c>
      <c r="O387">
        <v>1</v>
      </c>
      <c r="P387">
        <v>1</v>
      </c>
      <c r="Q387">
        <v>1</v>
      </c>
      <c r="R387">
        <v>1</v>
      </c>
      <c r="S387" t="s">
        <v>1056</v>
      </c>
    </row>
    <row r="388" spans="1:19">
      <c r="A388" t="s">
        <v>615</v>
      </c>
      <c r="B388" t="s">
        <v>37</v>
      </c>
      <c r="C388" t="s">
        <v>21</v>
      </c>
      <c r="D388" s="8">
        <v>45941</v>
      </c>
      <c r="E388" s="8">
        <v>45944</v>
      </c>
      <c r="F388" s="8">
        <v>45948</v>
      </c>
      <c r="G388" s="8">
        <v>45952</v>
      </c>
      <c r="H388" t="s">
        <v>22</v>
      </c>
      <c r="J388" s="8">
        <v>45970</v>
      </c>
      <c r="K388">
        <v>3</v>
      </c>
      <c r="L388">
        <v>4</v>
      </c>
      <c r="M388">
        <v>4</v>
      </c>
      <c r="N388">
        <v>1</v>
      </c>
      <c r="O388">
        <v>1</v>
      </c>
      <c r="P388">
        <v>1</v>
      </c>
      <c r="Q388">
        <v>1</v>
      </c>
      <c r="R388">
        <v>1</v>
      </c>
      <c r="S388" t="s">
        <v>1056</v>
      </c>
    </row>
    <row r="389" spans="1:19">
      <c r="A389" t="s">
        <v>616</v>
      </c>
      <c r="B389" t="s">
        <v>37</v>
      </c>
      <c r="C389" t="s">
        <v>21</v>
      </c>
      <c r="D389" s="8">
        <v>45956</v>
      </c>
      <c r="E389" s="8">
        <v>45958</v>
      </c>
      <c r="F389" s="8">
        <v>45960</v>
      </c>
      <c r="G389" s="8">
        <v>45966</v>
      </c>
      <c r="H389" t="s">
        <v>22</v>
      </c>
      <c r="J389" s="8">
        <v>45996</v>
      </c>
      <c r="K389">
        <v>2</v>
      </c>
      <c r="L389">
        <v>2</v>
      </c>
      <c r="M389">
        <v>6</v>
      </c>
      <c r="N389">
        <v>5</v>
      </c>
      <c r="O389">
        <v>1</v>
      </c>
      <c r="P389">
        <v>1</v>
      </c>
      <c r="Q389">
        <v>1</v>
      </c>
      <c r="R389">
        <v>1</v>
      </c>
      <c r="S389" t="s">
        <v>1056</v>
      </c>
    </row>
    <row r="390" spans="1:19">
      <c r="A390" t="s">
        <v>618</v>
      </c>
      <c r="B390" t="s">
        <v>37</v>
      </c>
      <c r="C390" t="s">
        <v>35</v>
      </c>
      <c r="D390" s="8">
        <v>45940</v>
      </c>
      <c r="E390" s="8">
        <v>45942</v>
      </c>
      <c r="F390" s="8">
        <v>45943</v>
      </c>
      <c r="G390" s="8">
        <v>45950</v>
      </c>
      <c r="H390" t="s">
        <v>22</v>
      </c>
      <c r="J390" s="8">
        <v>45970</v>
      </c>
      <c r="K390">
        <v>2</v>
      </c>
      <c r="L390">
        <v>1</v>
      </c>
      <c r="M390">
        <v>7</v>
      </c>
      <c r="N390">
        <v>5</v>
      </c>
      <c r="O390">
        <v>1</v>
      </c>
      <c r="P390">
        <v>1</v>
      </c>
      <c r="Q390">
        <v>1</v>
      </c>
      <c r="R390">
        <v>1</v>
      </c>
      <c r="S390" t="s">
        <v>1056</v>
      </c>
    </row>
    <row r="391" spans="1:19">
      <c r="A391" t="s">
        <v>634</v>
      </c>
      <c r="B391" t="s">
        <v>37</v>
      </c>
      <c r="C391" t="s">
        <v>21</v>
      </c>
      <c r="D391" s="8">
        <v>45958</v>
      </c>
      <c r="E391" s="8">
        <v>45959</v>
      </c>
      <c r="F391" s="8">
        <v>45964</v>
      </c>
      <c r="G391" s="8">
        <v>45970</v>
      </c>
      <c r="H391" t="s">
        <v>22</v>
      </c>
      <c r="J391" s="8">
        <v>45981</v>
      </c>
      <c r="K391">
        <v>1</v>
      </c>
      <c r="L391">
        <v>5</v>
      </c>
      <c r="M391">
        <v>6</v>
      </c>
      <c r="N391">
        <v>3</v>
      </c>
      <c r="O391">
        <v>1</v>
      </c>
      <c r="P391">
        <v>1</v>
      </c>
      <c r="Q391">
        <v>1</v>
      </c>
      <c r="R391">
        <v>1</v>
      </c>
      <c r="S391" t="s">
        <v>1056</v>
      </c>
    </row>
    <row r="392" spans="1:19">
      <c r="A392" t="s">
        <v>654</v>
      </c>
      <c r="B392" t="s">
        <v>37</v>
      </c>
      <c r="C392" t="s">
        <v>35</v>
      </c>
      <c r="D392" s="8">
        <v>45959</v>
      </c>
      <c r="E392" s="8">
        <v>45960</v>
      </c>
      <c r="F392" s="8">
        <v>45963</v>
      </c>
      <c r="G392" s="8">
        <v>45965</v>
      </c>
      <c r="H392" t="s">
        <v>22</v>
      </c>
      <c r="J392" s="8">
        <v>45981</v>
      </c>
      <c r="K392">
        <v>1</v>
      </c>
      <c r="L392">
        <v>3</v>
      </c>
      <c r="M392">
        <v>2</v>
      </c>
      <c r="N392">
        <v>6</v>
      </c>
      <c r="O392">
        <v>1</v>
      </c>
      <c r="P392">
        <v>1</v>
      </c>
      <c r="Q392">
        <v>1</v>
      </c>
      <c r="R392">
        <v>1</v>
      </c>
      <c r="S392" t="s">
        <v>1056</v>
      </c>
    </row>
    <row r="393" spans="1:19">
      <c r="A393" t="s">
        <v>662</v>
      </c>
      <c r="B393" t="s">
        <v>37</v>
      </c>
      <c r="C393" t="s">
        <v>21</v>
      </c>
      <c r="D393" s="8">
        <v>45942</v>
      </c>
      <c r="E393" s="8">
        <v>45945</v>
      </c>
      <c r="F393" s="8">
        <v>45946</v>
      </c>
      <c r="G393" s="8">
        <v>45953</v>
      </c>
      <c r="H393" t="s">
        <v>22</v>
      </c>
      <c r="J393" s="8">
        <v>45978</v>
      </c>
      <c r="K393">
        <v>3</v>
      </c>
      <c r="L393">
        <v>1</v>
      </c>
      <c r="M393">
        <v>7</v>
      </c>
      <c r="N393">
        <v>3</v>
      </c>
      <c r="O393">
        <v>1</v>
      </c>
      <c r="P393">
        <v>1</v>
      </c>
      <c r="Q393">
        <v>1</v>
      </c>
      <c r="R393">
        <v>1</v>
      </c>
      <c r="S393" t="s">
        <v>1056</v>
      </c>
    </row>
    <row r="394" spans="1:19">
      <c r="A394" t="s">
        <v>669</v>
      </c>
      <c r="B394" t="s">
        <v>37</v>
      </c>
      <c r="C394" t="s">
        <v>21</v>
      </c>
      <c r="D394" s="8">
        <v>45939</v>
      </c>
      <c r="E394" s="8">
        <v>45943</v>
      </c>
      <c r="F394" s="8">
        <v>45948</v>
      </c>
      <c r="G394" s="8">
        <v>45950</v>
      </c>
      <c r="H394" t="s">
        <v>22</v>
      </c>
      <c r="J394" s="8">
        <v>45977</v>
      </c>
      <c r="K394">
        <v>4</v>
      </c>
      <c r="L394">
        <v>5</v>
      </c>
      <c r="M394">
        <v>2</v>
      </c>
      <c r="N394">
        <v>3</v>
      </c>
      <c r="O394">
        <v>1</v>
      </c>
      <c r="P394">
        <v>1</v>
      </c>
      <c r="Q394">
        <v>1</v>
      </c>
      <c r="R394">
        <v>1</v>
      </c>
      <c r="S394" t="s">
        <v>1056</v>
      </c>
    </row>
    <row r="395" spans="1:19">
      <c r="A395" t="s">
        <v>681</v>
      </c>
      <c r="B395" t="s">
        <v>37</v>
      </c>
      <c r="C395" t="s">
        <v>21</v>
      </c>
      <c r="D395" s="8">
        <v>45942</v>
      </c>
      <c r="E395" s="8">
        <v>45945</v>
      </c>
      <c r="F395" s="8">
        <v>45947</v>
      </c>
      <c r="G395" s="8">
        <v>45952</v>
      </c>
      <c r="H395" t="s">
        <v>22</v>
      </c>
      <c r="J395" s="8">
        <v>45964</v>
      </c>
      <c r="K395">
        <v>3</v>
      </c>
      <c r="L395">
        <v>2</v>
      </c>
      <c r="M395">
        <v>5</v>
      </c>
      <c r="N395">
        <v>0</v>
      </c>
      <c r="O395">
        <v>1</v>
      </c>
      <c r="P395">
        <v>1</v>
      </c>
      <c r="Q395">
        <v>1</v>
      </c>
      <c r="R395">
        <v>1</v>
      </c>
      <c r="S395" t="s">
        <v>1056</v>
      </c>
    </row>
    <row r="396" spans="1:19">
      <c r="A396" t="s">
        <v>721</v>
      </c>
      <c r="B396" t="s">
        <v>37</v>
      </c>
      <c r="C396" t="s">
        <v>21</v>
      </c>
      <c r="D396" s="8">
        <v>45952</v>
      </c>
      <c r="E396" s="8">
        <v>45955</v>
      </c>
      <c r="F396" s="8">
        <v>45960</v>
      </c>
      <c r="G396" s="8">
        <v>45963</v>
      </c>
      <c r="H396" t="s">
        <v>22</v>
      </c>
      <c r="J396" s="8">
        <v>45976</v>
      </c>
      <c r="K396">
        <v>3</v>
      </c>
      <c r="L396">
        <v>5</v>
      </c>
      <c r="M396">
        <v>3</v>
      </c>
      <c r="N396">
        <v>5</v>
      </c>
      <c r="O396">
        <v>1</v>
      </c>
      <c r="P396">
        <v>1</v>
      </c>
      <c r="Q396">
        <v>1</v>
      </c>
      <c r="R396">
        <v>1</v>
      </c>
      <c r="S396" t="s">
        <v>1056</v>
      </c>
    </row>
    <row r="397" spans="1:19">
      <c r="A397" t="s">
        <v>727</v>
      </c>
      <c r="B397" t="s">
        <v>37</v>
      </c>
      <c r="C397" t="s">
        <v>21</v>
      </c>
      <c r="D397" s="8">
        <v>45959</v>
      </c>
      <c r="E397" s="8">
        <v>45960</v>
      </c>
      <c r="F397" s="8">
        <v>45965</v>
      </c>
      <c r="G397" s="8">
        <v>45968</v>
      </c>
      <c r="H397" t="s">
        <v>22</v>
      </c>
      <c r="J397" s="8">
        <v>45982</v>
      </c>
      <c r="K397">
        <v>1</v>
      </c>
      <c r="L397">
        <v>5</v>
      </c>
      <c r="M397">
        <v>3</v>
      </c>
      <c r="N397">
        <v>2</v>
      </c>
      <c r="O397">
        <v>1</v>
      </c>
      <c r="P397">
        <v>1</v>
      </c>
      <c r="Q397">
        <v>1</v>
      </c>
      <c r="R397">
        <v>1</v>
      </c>
      <c r="S397" t="s">
        <v>1056</v>
      </c>
    </row>
    <row r="398" spans="1:19">
      <c r="A398" t="s">
        <v>738</v>
      </c>
      <c r="B398" t="s">
        <v>37</v>
      </c>
      <c r="C398" t="s">
        <v>21</v>
      </c>
      <c r="D398" s="8">
        <v>45935</v>
      </c>
      <c r="E398" s="8">
        <v>45938</v>
      </c>
      <c r="F398" s="8">
        <v>45943</v>
      </c>
      <c r="G398" s="8">
        <v>45946</v>
      </c>
      <c r="H398" t="s">
        <v>22</v>
      </c>
      <c r="J398" s="8">
        <v>45960</v>
      </c>
      <c r="K398">
        <v>3</v>
      </c>
      <c r="L398">
        <v>5</v>
      </c>
      <c r="M398">
        <v>3</v>
      </c>
      <c r="N398">
        <v>2</v>
      </c>
      <c r="O398">
        <v>1</v>
      </c>
      <c r="P398">
        <v>1</v>
      </c>
      <c r="Q398">
        <v>1</v>
      </c>
      <c r="R398">
        <v>1</v>
      </c>
      <c r="S398" t="s">
        <v>1056</v>
      </c>
    </row>
    <row r="399" spans="1:19">
      <c r="A399" t="s">
        <v>755</v>
      </c>
      <c r="B399" t="s">
        <v>37</v>
      </c>
      <c r="C399" t="s">
        <v>35</v>
      </c>
      <c r="D399" s="8">
        <v>45939</v>
      </c>
      <c r="E399" s="8">
        <v>45944</v>
      </c>
      <c r="F399" s="8">
        <v>45949</v>
      </c>
      <c r="G399" s="8">
        <v>45953</v>
      </c>
      <c r="H399" t="s">
        <v>22</v>
      </c>
      <c r="J399" s="8">
        <v>45981</v>
      </c>
      <c r="K399">
        <v>5</v>
      </c>
      <c r="L399">
        <v>5</v>
      </c>
      <c r="M399">
        <v>4</v>
      </c>
      <c r="N399">
        <v>3</v>
      </c>
      <c r="O399">
        <v>1</v>
      </c>
      <c r="P399">
        <v>1</v>
      </c>
      <c r="Q399">
        <v>1</v>
      </c>
      <c r="R399">
        <v>1</v>
      </c>
      <c r="S399" t="s">
        <v>1056</v>
      </c>
    </row>
    <row r="400" spans="1:19">
      <c r="A400" t="s">
        <v>773</v>
      </c>
      <c r="B400" t="s">
        <v>37</v>
      </c>
      <c r="C400" t="s">
        <v>21</v>
      </c>
      <c r="D400" s="8">
        <v>45933</v>
      </c>
      <c r="E400" s="8">
        <v>45938</v>
      </c>
      <c r="F400" s="8">
        <v>45943</v>
      </c>
      <c r="G400" s="8">
        <v>45950</v>
      </c>
      <c r="H400" t="s">
        <v>22</v>
      </c>
      <c r="J400" s="8">
        <v>45966</v>
      </c>
      <c r="K400">
        <v>5</v>
      </c>
      <c r="L400">
        <v>5</v>
      </c>
      <c r="M400">
        <v>7</v>
      </c>
      <c r="N400">
        <v>1</v>
      </c>
      <c r="O400">
        <v>1</v>
      </c>
      <c r="P400">
        <v>1</v>
      </c>
      <c r="Q400">
        <v>1</v>
      </c>
      <c r="R400">
        <v>1</v>
      </c>
      <c r="S400" t="s">
        <v>1056</v>
      </c>
    </row>
    <row r="401" spans="1:19">
      <c r="A401" t="s">
        <v>777</v>
      </c>
      <c r="B401" t="s">
        <v>37</v>
      </c>
      <c r="C401" t="s">
        <v>35</v>
      </c>
      <c r="D401" s="8">
        <v>45938</v>
      </c>
      <c r="E401" s="8">
        <v>45943</v>
      </c>
      <c r="F401" s="8">
        <v>45944</v>
      </c>
      <c r="G401" s="8">
        <v>45946</v>
      </c>
      <c r="H401" t="s">
        <v>22</v>
      </c>
      <c r="J401" s="8">
        <v>45972</v>
      </c>
      <c r="K401">
        <v>5</v>
      </c>
      <c r="L401">
        <v>1</v>
      </c>
      <c r="M401">
        <v>2</v>
      </c>
      <c r="N401">
        <v>5</v>
      </c>
      <c r="O401">
        <v>1</v>
      </c>
      <c r="P401">
        <v>1</v>
      </c>
      <c r="Q401">
        <v>1</v>
      </c>
      <c r="R401">
        <v>1</v>
      </c>
      <c r="S401" t="s">
        <v>1056</v>
      </c>
    </row>
    <row r="402" spans="1:19">
      <c r="A402" t="s">
        <v>782</v>
      </c>
      <c r="B402" t="s">
        <v>37</v>
      </c>
      <c r="C402" t="s">
        <v>35</v>
      </c>
      <c r="D402" s="8">
        <v>45943</v>
      </c>
      <c r="E402" s="8">
        <v>45944</v>
      </c>
      <c r="F402" s="8">
        <v>45946</v>
      </c>
      <c r="G402" s="8">
        <v>45949</v>
      </c>
      <c r="H402" t="s">
        <v>22</v>
      </c>
      <c r="J402" s="8">
        <v>45959</v>
      </c>
      <c r="K402">
        <v>1</v>
      </c>
      <c r="L402">
        <v>2</v>
      </c>
      <c r="M402">
        <v>3</v>
      </c>
      <c r="N402">
        <v>0</v>
      </c>
      <c r="O402">
        <v>1</v>
      </c>
      <c r="P402">
        <v>1</v>
      </c>
      <c r="Q402">
        <v>1</v>
      </c>
      <c r="R402">
        <v>1</v>
      </c>
      <c r="S402" t="s">
        <v>1056</v>
      </c>
    </row>
    <row r="403" spans="1:19">
      <c r="A403" t="s">
        <v>787</v>
      </c>
      <c r="B403" t="s">
        <v>37</v>
      </c>
      <c r="C403" t="s">
        <v>21</v>
      </c>
      <c r="D403" s="8">
        <v>45942</v>
      </c>
      <c r="E403" s="8">
        <v>45946</v>
      </c>
      <c r="F403" s="8">
        <v>45947</v>
      </c>
      <c r="G403" s="8">
        <v>45953</v>
      </c>
      <c r="H403" t="s">
        <v>22</v>
      </c>
      <c r="J403" s="8">
        <v>45972</v>
      </c>
      <c r="K403">
        <v>4</v>
      </c>
      <c r="L403">
        <v>1</v>
      </c>
      <c r="M403">
        <v>6</v>
      </c>
      <c r="N403">
        <v>6</v>
      </c>
      <c r="O403">
        <v>1</v>
      </c>
      <c r="P403">
        <v>1</v>
      </c>
      <c r="Q403">
        <v>1</v>
      </c>
      <c r="R403">
        <v>1</v>
      </c>
      <c r="S403" t="s">
        <v>1056</v>
      </c>
    </row>
    <row r="404" spans="1:19">
      <c r="A404" t="s">
        <v>800</v>
      </c>
      <c r="B404" t="s">
        <v>37</v>
      </c>
      <c r="C404" t="s">
        <v>35</v>
      </c>
      <c r="D404" s="8">
        <v>45939</v>
      </c>
      <c r="E404" s="8">
        <v>45944</v>
      </c>
      <c r="F404" s="8">
        <v>45946</v>
      </c>
      <c r="G404" s="8">
        <v>45951</v>
      </c>
      <c r="H404" t="s">
        <v>22</v>
      </c>
      <c r="J404" s="8">
        <v>45963</v>
      </c>
      <c r="K404">
        <v>5</v>
      </c>
      <c r="L404">
        <v>2</v>
      </c>
      <c r="M404">
        <v>5</v>
      </c>
      <c r="N404">
        <v>0</v>
      </c>
      <c r="O404">
        <v>1</v>
      </c>
      <c r="P404">
        <v>1</v>
      </c>
      <c r="Q404">
        <v>1</v>
      </c>
      <c r="R404">
        <v>1</v>
      </c>
      <c r="S404" t="s">
        <v>1056</v>
      </c>
    </row>
    <row r="405" spans="1:19">
      <c r="A405" t="s">
        <v>801</v>
      </c>
      <c r="B405" t="s">
        <v>37</v>
      </c>
      <c r="C405" t="s">
        <v>35</v>
      </c>
      <c r="D405" s="8">
        <v>45949</v>
      </c>
      <c r="E405" s="8">
        <v>45952</v>
      </c>
      <c r="F405" s="8">
        <v>45956</v>
      </c>
      <c r="G405" s="8">
        <v>45963</v>
      </c>
      <c r="H405" t="s">
        <v>22</v>
      </c>
      <c r="J405" s="8">
        <v>45974</v>
      </c>
      <c r="K405">
        <v>3</v>
      </c>
      <c r="L405">
        <v>4</v>
      </c>
      <c r="M405">
        <v>7</v>
      </c>
      <c r="N405">
        <v>4</v>
      </c>
      <c r="O405">
        <v>1</v>
      </c>
      <c r="P405">
        <v>1</v>
      </c>
      <c r="Q405">
        <v>1</v>
      </c>
      <c r="R405">
        <v>1</v>
      </c>
      <c r="S405" t="s">
        <v>1056</v>
      </c>
    </row>
    <row r="406" spans="1:19">
      <c r="A406" t="s">
        <v>809</v>
      </c>
      <c r="B406" t="s">
        <v>37</v>
      </c>
      <c r="C406" t="s">
        <v>21</v>
      </c>
      <c r="D406" s="8">
        <v>45938</v>
      </c>
      <c r="E406" s="8">
        <v>45940</v>
      </c>
      <c r="F406" s="8">
        <v>45944</v>
      </c>
      <c r="G406" s="8">
        <v>45948</v>
      </c>
      <c r="H406" t="s">
        <v>22</v>
      </c>
      <c r="J406" s="8">
        <v>45977</v>
      </c>
      <c r="K406">
        <v>2</v>
      </c>
      <c r="L406">
        <v>4</v>
      </c>
      <c r="M406">
        <v>4</v>
      </c>
      <c r="N406">
        <v>1</v>
      </c>
      <c r="O406">
        <v>1</v>
      </c>
      <c r="P406">
        <v>1</v>
      </c>
      <c r="Q406">
        <v>1</v>
      </c>
      <c r="R406">
        <v>1</v>
      </c>
      <c r="S406" t="s">
        <v>1056</v>
      </c>
    </row>
    <row r="407" spans="1:19">
      <c r="A407" t="s">
        <v>828</v>
      </c>
      <c r="B407" t="s">
        <v>37</v>
      </c>
      <c r="C407" t="s">
        <v>21</v>
      </c>
      <c r="D407" s="8">
        <v>45951</v>
      </c>
      <c r="E407" s="8">
        <v>45954</v>
      </c>
      <c r="F407" s="8">
        <v>45958</v>
      </c>
      <c r="G407" s="8">
        <v>45960</v>
      </c>
      <c r="H407" t="s">
        <v>22</v>
      </c>
      <c r="J407" s="8">
        <v>45974</v>
      </c>
      <c r="K407">
        <v>3</v>
      </c>
      <c r="L407">
        <v>4</v>
      </c>
      <c r="M407">
        <v>2</v>
      </c>
      <c r="N407">
        <v>4</v>
      </c>
      <c r="O407">
        <v>1</v>
      </c>
      <c r="P407">
        <v>1</v>
      </c>
      <c r="Q407">
        <v>1</v>
      </c>
      <c r="R407">
        <v>1</v>
      </c>
      <c r="S407" t="s">
        <v>1056</v>
      </c>
    </row>
    <row r="408" spans="1:19">
      <c r="A408" t="s">
        <v>836</v>
      </c>
      <c r="B408" t="s">
        <v>37</v>
      </c>
      <c r="C408" t="s">
        <v>21</v>
      </c>
      <c r="D408" s="8">
        <v>45946</v>
      </c>
      <c r="E408" s="8">
        <v>45949</v>
      </c>
      <c r="F408" s="8">
        <v>45954</v>
      </c>
      <c r="G408" s="8">
        <v>45958</v>
      </c>
      <c r="H408" t="s">
        <v>22</v>
      </c>
      <c r="J408" s="8">
        <v>45984</v>
      </c>
      <c r="K408">
        <v>3</v>
      </c>
      <c r="L408">
        <v>5</v>
      </c>
      <c r="M408">
        <v>4</v>
      </c>
      <c r="N408">
        <v>1</v>
      </c>
      <c r="O408">
        <v>1</v>
      </c>
      <c r="P408">
        <v>1</v>
      </c>
      <c r="Q408">
        <v>1</v>
      </c>
      <c r="R408">
        <v>1</v>
      </c>
      <c r="S408" t="s">
        <v>1056</v>
      </c>
    </row>
    <row r="409" spans="1:19">
      <c r="A409" t="s">
        <v>845</v>
      </c>
      <c r="B409" t="s">
        <v>37</v>
      </c>
      <c r="C409" t="s">
        <v>35</v>
      </c>
      <c r="D409" s="8">
        <v>45942</v>
      </c>
      <c r="E409" s="8">
        <v>45944</v>
      </c>
      <c r="F409" s="8">
        <v>45947</v>
      </c>
      <c r="G409" s="8">
        <v>45951</v>
      </c>
      <c r="H409" t="s">
        <v>22</v>
      </c>
      <c r="J409" s="8">
        <v>45981</v>
      </c>
      <c r="K409">
        <v>2</v>
      </c>
      <c r="L409">
        <v>3</v>
      </c>
      <c r="M409">
        <v>4</v>
      </c>
      <c r="N409">
        <v>3</v>
      </c>
      <c r="O409">
        <v>1</v>
      </c>
      <c r="P409">
        <v>1</v>
      </c>
      <c r="Q409">
        <v>1</v>
      </c>
      <c r="R409">
        <v>1</v>
      </c>
      <c r="S409" t="s">
        <v>1056</v>
      </c>
    </row>
    <row r="410" spans="1:19">
      <c r="A410" t="s">
        <v>856</v>
      </c>
      <c r="B410" t="s">
        <v>37</v>
      </c>
      <c r="C410" t="s">
        <v>35</v>
      </c>
      <c r="D410" s="8">
        <v>45935</v>
      </c>
      <c r="E410" s="8">
        <v>45940</v>
      </c>
      <c r="F410" s="8">
        <v>45943</v>
      </c>
      <c r="G410" s="8">
        <v>45945</v>
      </c>
      <c r="H410" t="s">
        <v>22</v>
      </c>
      <c r="J410" s="8">
        <v>45958</v>
      </c>
      <c r="K410">
        <v>5</v>
      </c>
      <c r="L410">
        <v>3</v>
      </c>
      <c r="M410">
        <v>2</v>
      </c>
      <c r="N410">
        <v>4</v>
      </c>
      <c r="O410">
        <v>1</v>
      </c>
      <c r="P410">
        <v>1</v>
      </c>
      <c r="Q410">
        <v>1</v>
      </c>
      <c r="R410">
        <v>1</v>
      </c>
      <c r="S410" t="s">
        <v>1056</v>
      </c>
    </row>
    <row r="411" spans="1:19">
      <c r="A411" t="s">
        <v>859</v>
      </c>
      <c r="B411" t="s">
        <v>37</v>
      </c>
      <c r="C411" t="s">
        <v>21</v>
      </c>
      <c r="D411" s="8">
        <v>45951</v>
      </c>
      <c r="E411" s="8">
        <v>45952</v>
      </c>
      <c r="F411" s="8">
        <v>45955</v>
      </c>
      <c r="G411" s="8">
        <v>45959</v>
      </c>
      <c r="H411" t="s">
        <v>22</v>
      </c>
      <c r="J411" s="8">
        <v>45969</v>
      </c>
      <c r="K411">
        <v>1</v>
      </c>
      <c r="L411">
        <v>3</v>
      </c>
      <c r="M411">
        <v>4</v>
      </c>
      <c r="N411">
        <v>6</v>
      </c>
      <c r="O411">
        <v>1</v>
      </c>
      <c r="P411">
        <v>1</v>
      </c>
      <c r="Q411">
        <v>1</v>
      </c>
      <c r="R411">
        <v>1</v>
      </c>
      <c r="S411" t="s">
        <v>1056</v>
      </c>
    </row>
    <row r="412" spans="1:19">
      <c r="A412" t="s">
        <v>869</v>
      </c>
      <c r="B412" t="s">
        <v>37</v>
      </c>
      <c r="C412" t="s">
        <v>21</v>
      </c>
      <c r="D412" s="8">
        <v>45953</v>
      </c>
      <c r="E412" s="8">
        <v>45957</v>
      </c>
      <c r="F412" s="8">
        <v>45959</v>
      </c>
      <c r="G412" s="8">
        <v>45964</v>
      </c>
      <c r="H412" t="s">
        <v>22</v>
      </c>
      <c r="J412" s="8">
        <v>45977</v>
      </c>
      <c r="K412">
        <v>4</v>
      </c>
      <c r="L412">
        <v>2</v>
      </c>
      <c r="M412">
        <v>5</v>
      </c>
      <c r="N412">
        <v>2</v>
      </c>
      <c r="O412">
        <v>1</v>
      </c>
      <c r="P412">
        <v>1</v>
      </c>
      <c r="Q412">
        <v>1</v>
      </c>
      <c r="R412">
        <v>1</v>
      </c>
      <c r="S412" t="s">
        <v>1056</v>
      </c>
    </row>
    <row r="413" spans="1:19">
      <c r="A413" t="s">
        <v>897</v>
      </c>
      <c r="B413" t="s">
        <v>37</v>
      </c>
      <c r="C413" t="s">
        <v>35</v>
      </c>
      <c r="D413" s="8">
        <v>45937</v>
      </c>
      <c r="E413" s="8">
        <v>45939</v>
      </c>
      <c r="F413" s="8">
        <v>45944</v>
      </c>
      <c r="G413" s="8">
        <v>45948</v>
      </c>
      <c r="H413" t="s">
        <v>22</v>
      </c>
      <c r="J413" s="8">
        <v>45967</v>
      </c>
      <c r="K413">
        <v>2</v>
      </c>
      <c r="L413">
        <v>5</v>
      </c>
      <c r="M413">
        <v>4</v>
      </c>
      <c r="N413">
        <v>4</v>
      </c>
      <c r="O413">
        <v>1</v>
      </c>
      <c r="P413">
        <v>1</v>
      </c>
      <c r="Q413">
        <v>1</v>
      </c>
      <c r="R413">
        <v>1</v>
      </c>
      <c r="S413" t="s">
        <v>1056</v>
      </c>
    </row>
    <row r="414" spans="1:19">
      <c r="A414" t="s">
        <v>909</v>
      </c>
      <c r="B414" t="s">
        <v>37</v>
      </c>
      <c r="C414" t="s">
        <v>21</v>
      </c>
      <c r="D414" s="8">
        <v>45937</v>
      </c>
      <c r="E414" s="8">
        <v>45939</v>
      </c>
      <c r="F414" s="8">
        <v>45944</v>
      </c>
      <c r="G414" s="8">
        <v>45946</v>
      </c>
      <c r="H414" t="s">
        <v>22</v>
      </c>
      <c r="J414" s="8">
        <v>45969</v>
      </c>
      <c r="K414">
        <v>2</v>
      </c>
      <c r="L414">
        <v>5</v>
      </c>
      <c r="M414">
        <v>2</v>
      </c>
      <c r="N414">
        <v>2</v>
      </c>
      <c r="O414">
        <v>1</v>
      </c>
      <c r="P414">
        <v>1</v>
      </c>
      <c r="Q414">
        <v>1</v>
      </c>
      <c r="R414">
        <v>1</v>
      </c>
      <c r="S414" t="s">
        <v>1056</v>
      </c>
    </row>
    <row r="415" spans="1:19">
      <c r="A415" t="s">
        <v>922</v>
      </c>
      <c r="B415" t="s">
        <v>37</v>
      </c>
      <c r="C415" t="s">
        <v>21</v>
      </c>
      <c r="D415" s="8">
        <v>45935</v>
      </c>
      <c r="E415" s="8">
        <v>45937</v>
      </c>
      <c r="F415" s="8">
        <v>45941</v>
      </c>
      <c r="G415" s="8">
        <v>45943</v>
      </c>
      <c r="H415" t="s">
        <v>22</v>
      </c>
      <c r="J415" s="8">
        <v>45960</v>
      </c>
      <c r="K415">
        <v>2</v>
      </c>
      <c r="L415">
        <v>4</v>
      </c>
      <c r="M415">
        <v>2</v>
      </c>
      <c r="N415">
        <v>4</v>
      </c>
      <c r="O415">
        <v>1</v>
      </c>
      <c r="P415">
        <v>1</v>
      </c>
      <c r="Q415">
        <v>1</v>
      </c>
      <c r="R415">
        <v>1</v>
      </c>
      <c r="S415" t="s">
        <v>1056</v>
      </c>
    </row>
    <row r="416" spans="1:19">
      <c r="A416" t="s">
        <v>944</v>
      </c>
      <c r="B416" t="s">
        <v>37</v>
      </c>
      <c r="C416" t="s">
        <v>35</v>
      </c>
      <c r="D416" s="8">
        <v>45938</v>
      </c>
      <c r="E416" s="8">
        <v>45940</v>
      </c>
      <c r="F416" s="8">
        <v>45944</v>
      </c>
      <c r="G416" s="8">
        <v>45951</v>
      </c>
      <c r="H416" t="s">
        <v>22</v>
      </c>
      <c r="J416" s="8">
        <v>45970</v>
      </c>
      <c r="K416">
        <v>2</v>
      </c>
      <c r="L416">
        <v>4</v>
      </c>
      <c r="M416">
        <v>7</v>
      </c>
      <c r="N416">
        <v>1</v>
      </c>
      <c r="O416">
        <v>1</v>
      </c>
      <c r="P416">
        <v>1</v>
      </c>
      <c r="Q416">
        <v>1</v>
      </c>
      <c r="R416">
        <v>1</v>
      </c>
      <c r="S416" t="s">
        <v>1056</v>
      </c>
    </row>
    <row r="417" spans="1:19">
      <c r="A417" t="s">
        <v>952</v>
      </c>
      <c r="B417" t="s">
        <v>37</v>
      </c>
      <c r="C417" t="s">
        <v>21</v>
      </c>
      <c r="D417" s="8">
        <v>45954</v>
      </c>
      <c r="E417" s="8">
        <v>45959</v>
      </c>
      <c r="F417" s="8">
        <v>45961</v>
      </c>
      <c r="G417" s="8">
        <v>45965</v>
      </c>
      <c r="H417" t="s">
        <v>22</v>
      </c>
      <c r="J417" s="8">
        <v>45986</v>
      </c>
      <c r="K417">
        <v>5</v>
      </c>
      <c r="L417">
        <v>2</v>
      </c>
      <c r="M417">
        <v>4</v>
      </c>
      <c r="N417">
        <v>6</v>
      </c>
      <c r="O417">
        <v>1</v>
      </c>
      <c r="P417">
        <v>1</v>
      </c>
      <c r="Q417">
        <v>1</v>
      </c>
      <c r="R417">
        <v>1</v>
      </c>
      <c r="S417" t="s">
        <v>1056</v>
      </c>
    </row>
    <row r="418" spans="1:19">
      <c r="A418" t="s">
        <v>953</v>
      </c>
      <c r="B418" t="s">
        <v>37</v>
      </c>
      <c r="C418" t="s">
        <v>21</v>
      </c>
      <c r="D418" s="8">
        <v>45944</v>
      </c>
      <c r="E418" s="8">
        <v>45948</v>
      </c>
      <c r="F418" s="8">
        <v>45951</v>
      </c>
      <c r="G418" s="8">
        <v>45956</v>
      </c>
      <c r="H418" t="s">
        <v>22</v>
      </c>
      <c r="J418" s="8">
        <v>45976</v>
      </c>
      <c r="K418">
        <v>4</v>
      </c>
      <c r="L418">
        <v>3</v>
      </c>
      <c r="M418">
        <v>5</v>
      </c>
      <c r="N418">
        <v>0</v>
      </c>
      <c r="O418">
        <v>1</v>
      </c>
      <c r="P418">
        <v>1</v>
      </c>
      <c r="Q418">
        <v>1</v>
      </c>
      <c r="R418">
        <v>1</v>
      </c>
      <c r="S418" t="s">
        <v>1056</v>
      </c>
    </row>
    <row r="419" spans="1:19">
      <c r="A419" t="s">
        <v>957</v>
      </c>
      <c r="B419" t="s">
        <v>37</v>
      </c>
      <c r="C419" t="s">
        <v>35</v>
      </c>
      <c r="D419" s="8">
        <v>45933</v>
      </c>
      <c r="E419" s="8">
        <v>45934</v>
      </c>
      <c r="F419" s="8">
        <v>45935</v>
      </c>
      <c r="G419" s="8">
        <v>45938</v>
      </c>
      <c r="H419" t="s">
        <v>22</v>
      </c>
      <c r="J419" s="8">
        <v>45951</v>
      </c>
      <c r="K419">
        <v>1</v>
      </c>
      <c r="L419">
        <v>1</v>
      </c>
      <c r="M419">
        <v>3</v>
      </c>
      <c r="N419">
        <v>6</v>
      </c>
      <c r="O419">
        <v>1</v>
      </c>
      <c r="P419">
        <v>1</v>
      </c>
      <c r="Q419">
        <v>1</v>
      </c>
      <c r="R419">
        <v>1</v>
      </c>
      <c r="S419" t="s">
        <v>1056</v>
      </c>
    </row>
    <row r="420" spans="1:19">
      <c r="A420" t="s">
        <v>975</v>
      </c>
      <c r="B420" t="s">
        <v>37</v>
      </c>
      <c r="C420" t="s">
        <v>35</v>
      </c>
      <c r="D420" s="8">
        <v>45952</v>
      </c>
      <c r="E420" s="8">
        <v>45955</v>
      </c>
      <c r="F420" s="8">
        <v>45959</v>
      </c>
      <c r="G420" s="8">
        <v>45963</v>
      </c>
      <c r="H420" t="s">
        <v>22</v>
      </c>
      <c r="J420" s="8">
        <v>45978</v>
      </c>
      <c r="K420">
        <v>3</v>
      </c>
      <c r="L420">
        <v>4</v>
      </c>
      <c r="M420">
        <v>4</v>
      </c>
      <c r="N420">
        <v>4</v>
      </c>
      <c r="O420">
        <v>1</v>
      </c>
      <c r="P420">
        <v>1</v>
      </c>
      <c r="Q420">
        <v>1</v>
      </c>
      <c r="R420">
        <v>1</v>
      </c>
      <c r="S420" t="s">
        <v>1056</v>
      </c>
    </row>
    <row r="421" spans="1:19">
      <c r="A421" t="s">
        <v>1012</v>
      </c>
      <c r="B421" t="s">
        <v>37</v>
      </c>
      <c r="C421" t="s">
        <v>21</v>
      </c>
      <c r="D421" s="8">
        <v>45945</v>
      </c>
      <c r="E421" s="8">
        <v>45949</v>
      </c>
      <c r="F421" s="8">
        <v>45952</v>
      </c>
      <c r="G421" s="8">
        <v>45955</v>
      </c>
      <c r="H421" t="s">
        <v>22</v>
      </c>
      <c r="J421" s="8">
        <v>45980</v>
      </c>
      <c r="K421">
        <v>4</v>
      </c>
      <c r="L421">
        <v>3</v>
      </c>
      <c r="M421">
        <v>3</v>
      </c>
      <c r="N421">
        <v>5</v>
      </c>
      <c r="O421">
        <v>1</v>
      </c>
      <c r="P421">
        <v>1</v>
      </c>
      <c r="Q421">
        <v>1</v>
      </c>
      <c r="R421">
        <v>1</v>
      </c>
      <c r="S421" t="s">
        <v>1056</v>
      </c>
    </row>
    <row r="422" spans="1:19">
      <c r="A422" t="s">
        <v>1023</v>
      </c>
      <c r="B422" t="s">
        <v>37</v>
      </c>
      <c r="C422" t="s">
        <v>21</v>
      </c>
      <c r="D422" s="8">
        <v>45959</v>
      </c>
      <c r="E422" s="8">
        <v>45961</v>
      </c>
      <c r="F422" s="8">
        <v>45966</v>
      </c>
      <c r="G422" s="8">
        <v>45968</v>
      </c>
      <c r="H422" t="s">
        <v>22</v>
      </c>
      <c r="J422" s="8">
        <v>45998</v>
      </c>
      <c r="K422">
        <v>2</v>
      </c>
      <c r="L422">
        <v>5</v>
      </c>
      <c r="M422">
        <v>2</v>
      </c>
      <c r="N422">
        <v>6</v>
      </c>
      <c r="O422">
        <v>1</v>
      </c>
      <c r="P422">
        <v>1</v>
      </c>
      <c r="Q422">
        <v>1</v>
      </c>
      <c r="R422">
        <v>1</v>
      </c>
      <c r="S422" t="s">
        <v>1056</v>
      </c>
    </row>
    <row r="423" spans="1:19">
      <c r="A423" t="s">
        <v>1025</v>
      </c>
      <c r="B423" t="s">
        <v>37</v>
      </c>
      <c r="C423" t="s">
        <v>35</v>
      </c>
      <c r="D423" s="8">
        <v>45948</v>
      </c>
      <c r="E423" s="8">
        <v>45953</v>
      </c>
      <c r="F423" s="8">
        <v>45958</v>
      </c>
      <c r="G423" s="8">
        <v>45965</v>
      </c>
      <c r="H423" t="s">
        <v>22</v>
      </c>
      <c r="J423" s="8">
        <v>45975</v>
      </c>
      <c r="K423">
        <v>5</v>
      </c>
      <c r="L423">
        <v>5</v>
      </c>
      <c r="M423">
        <v>7</v>
      </c>
      <c r="N423">
        <v>5</v>
      </c>
      <c r="O423">
        <v>1</v>
      </c>
      <c r="P423">
        <v>1</v>
      </c>
      <c r="Q423">
        <v>1</v>
      </c>
      <c r="R423">
        <v>1</v>
      </c>
      <c r="S423" t="s">
        <v>1056</v>
      </c>
    </row>
    <row r="424" spans="1:19">
      <c r="A424" t="s">
        <v>1028</v>
      </c>
      <c r="B424" t="s">
        <v>37</v>
      </c>
      <c r="C424" t="s">
        <v>35</v>
      </c>
      <c r="D424" s="8">
        <v>45937</v>
      </c>
      <c r="E424" s="8">
        <v>45940</v>
      </c>
      <c r="F424" s="8">
        <v>45945</v>
      </c>
      <c r="G424" s="8">
        <v>45951</v>
      </c>
      <c r="H424" t="s">
        <v>22</v>
      </c>
      <c r="J424" s="8">
        <v>45979</v>
      </c>
      <c r="K424">
        <v>3</v>
      </c>
      <c r="L424">
        <v>5</v>
      </c>
      <c r="M424">
        <v>6</v>
      </c>
      <c r="N424">
        <v>5</v>
      </c>
      <c r="O424">
        <v>1</v>
      </c>
      <c r="P424">
        <v>1</v>
      </c>
      <c r="Q424">
        <v>1</v>
      </c>
      <c r="R424">
        <v>1</v>
      </c>
      <c r="S424" t="s">
        <v>1056</v>
      </c>
    </row>
    <row r="425" spans="1:19">
      <c r="A425" t="s">
        <v>109</v>
      </c>
      <c r="B425" t="s">
        <v>37</v>
      </c>
      <c r="C425" t="s">
        <v>21</v>
      </c>
      <c r="D425" s="8">
        <v>45938</v>
      </c>
      <c r="E425" s="8">
        <v>45939</v>
      </c>
      <c r="F425" s="8">
        <v>45942</v>
      </c>
      <c r="G425" s="8">
        <v>45945</v>
      </c>
      <c r="H425" t="s">
        <v>22</v>
      </c>
      <c r="J425" s="8">
        <v>45973</v>
      </c>
      <c r="K425">
        <v>1</v>
      </c>
      <c r="L425">
        <v>3</v>
      </c>
      <c r="M425">
        <v>3</v>
      </c>
      <c r="N425">
        <v>8</v>
      </c>
      <c r="O425">
        <v>1</v>
      </c>
      <c r="P425">
        <v>1</v>
      </c>
      <c r="Q425">
        <v>1</v>
      </c>
      <c r="R425">
        <v>1</v>
      </c>
      <c r="S425" t="s">
        <v>1057</v>
      </c>
    </row>
    <row r="426" spans="1:19">
      <c r="A426" t="s">
        <v>148</v>
      </c>
      <c r="B426" t="s">
        <v>37</v>
      </c>
      <c r="C426" t="s">
        <v>35</v>
      </c>
      <c r="D426" s="8">
        <v>45938</v>
      </c>
      <c r="E426" s="8">
        <v>45939</v>
      </c>
      <c r="F426" s="8">
        <v>45943</v>
      </c>
      <c r="G426" s="8">
        <v>45947</v>
      </c>
      <c r="H426" t="s">
        <v>22</v>
      </c>
      <c r="J426" s="8">
        <v>45971</v>
      </c>
      <c r="K426">
        <v>1</v>
      </c>
      <c r="L426">
        <v>4</v>
      </c>
      <c r="M426">
        <v>4</v>
      </c>
      <c r="N426">
        <v>8</v>
      </c>
      <c r="O426">
        <v>1</v>
      </c>
      <c r="P426">
        <v>1</v>
      </c>
      <c r="Q426">
        <v>1</v>
      </c>
      <c r="R426">
        <v>1</v>
      </c>
      <c r="S426" t="s">
        <v>1057</v>
      </c>
    </row>
    <row r="427" spans="1:19">
      <c r="A427" t="s">
        <v>205</v>
      </c>
      <c r="B427" t="s">
        <v>37</v>
      </c>
      <c r="C427" t="s">
        <v>35</v>
      </c>
      <c r="D427" s="8">
        <v>45961</v>
      </c>
      <c r="E427" s="8">
        <v>45966</v>
      </c>
      <c r="F427" s="8">
        <v>45970</v>
      </c>
      <c r="G427" s="8">
        <v>45976</v>
      </c>
      <c r="H427" t="s">
        <v>22</v>
      </c>
      <c r="J427" s="8">
        <v>45998</v>
      </c>
      <c r="K427">
        <v>5</v>
      </c>
      <c r="L427">
        <v>4</v>
      </c>
      <c r="M427">
        <v>6</v>
      </c>
      <c r="N427">
        <v>8</v>
      </c>
      <c r="O427">
        <v>1</v>
      </c>
      <c r="P427">
        <v>1</v>
      </c>
      <c r="Q427">
        <v>1</v>
      </c>
      <c r="R427">
        <v>1</v>
      </c>
      <c r="S427" t="s">
        <v>1057</v>
      </c>
    </row>
    <row r="428" spans="1:19">
      <c r="A428" t="s">
        <v>297</v>
      </c>
      <c r="B428" t="s">
        <v>37</v>
      </c>
      <c r="C428" t="s">
        <v>21</v>
      </c>
      <c r="D428" s="8">
        <v>45937</v>
      </c>
      <c r="E428" s="8">
        <v>45938</v>
      </c>
      <c r="F428" s="8">
        <v>45941</v>
      </c>
      <c r="G428" s="8">
        <v>45946</v>
      </c>
      <c r="H428" t="s">
        <v>22</v>
      </c>
      <c r="J428" s="8">
        <v>45968</v>
      </c>
      <c r="K428">
        <v>1</v>
      </c>
      <c r="L428">
        <v>3</v>
      </c>
      <c r="M428">
        <v>5</v>
      </c>
      <c r="N428">
        <v>7</v>
      </c>
      <c r="O428">
        <v>1</v>
      </c>
      <c r="P428">
        <v>1</v>
      </c>
      <c r="Q428">
        <v>1</v>
      </c>
      <c r="R428">
        <v>1</v>
      </c>
      <c r="S428" t="s">
        <v>1057</v>
      </c>
    </row>
    <row r="429" spans="1:19">
      <c r="A429" t="s">
        <v>339</v>
      </c>
      <c r="B429" t="s">
        <v>37</v>
      </c>
      <c r="C429" t="s">
        <v>21</v>
      </c>
      <c r="D429" s="8">
        <v>45950</v>
      </c>
      <c r="E429" s="8">
        <v>45955</v>
      </c>
      <c r="F429" s="8">
        <v>45960</v>
      </c>
      <c r="G429" s="8">
        <v>45965</v>
      </c>
      <c r="H429" t="s">
        <v>22</v>
      </c>
      <c r="J429" s="8">
        <v>45991</v>
      </c>
      <c r="K429">
        <v>5</v>
      </c>
      <c r="L429">
        <v>5</v>
      </c>
      <c r="M429">
        <v>5</v>
      </c>
      <c r="N429">
        <v>8</v>
      </c>
      <c r="O429">
        <v>1</v>
      </c>
      <c r="P429">
        <v>1</v>
      </c>
      <c r="Q429">
        <v>1</v>
      </c>
      <c r="R429">
        <v>1</v>
      </c>
      <c r="S429" t="s">
        <v>1057</v>
      </c>
    </row>
    <row r="430" spans="1:19">
      <c r="A430" t="s">
        <v>380</v>
      </c>
      <c r="B430" t="s">
        <v>37</v>
      </c>
      <c r="C430" t="s">
        <v>35</v>
      </c>
      <c r="D430" s="8">
        <v>45934</v>
      </c>
      <c r="E430" s="8">
        <v>45937</v>
      </c>
      <c r="F430" s="8">
        <v>45938</v>
      </c>
      <c r="G430" s="8">
        <v>45945</v>
      </c>
      <c r="H430" t="s">
        <v>22</v>
      </c>
      <c r="J430" s="8">
        <v>45965</v>
      </c>
      <c r="K430">
        <v>3</v>
      </c>
      <c r="L430">
        <v>1</v>
      </c>
      <c r="M430">
        <v>7</v>
      </c>
      <c r="N430">
        <v>8</v>
      </c>
      <c r="O430">
        <v>1</v>
      </c>
      <c r="P430">
        <v>1</v>
      </c>
      <c r="Q430">
        <v>1</v>
      </c>
      <c r="R430">
        <v>1</v>
      </c>
      <c r="S430" t="s">
        <v>1057</v>
      </c>
    </row>
    <row r="431" spans="1:19">
      <c r="A431" t="s">
        <v>403</v>
      </c>
      <c r="B431" t="s">
        <v>37</v>
      </c>
      <c r="C431" t="s">
        <v>21</v>
      </c>
      <c r="D431" s="8">
        <v>45958</v>
      </c>
      <c r="E431" s="8">
        <v>45961</v>
      </c>
      <c r="F431" s="8">
        <v>45966</v>
      </c>
      <c r="G431" s="8">
        <v>45969</v>
      </c>
      <c r="H431" t="s">
        <v>22</v>
      </c>
      <c r="J431" s="8">
        <v>45983</v>
      </c>
      <c r="K431">
        <v>3</v>
      </c>
      <c r="L431">
        <v>5</v>
      </c>
      <c r="M431">
        <v>3</v>
      </c>
      <c r="N431">
        <v>7</v>
      </c>
      <c r="O431">
        <v>1</v>
      </c>
      <c r="P431">
        <v>1</v>
      </c>
      <c r="Q431">
        <v>1</v>
      </c>
      <c r="R431">
        <v>1</v>
      </c>
      <c r="S431" t="s">
        <v>1057</v>
      </c>
    </row>
    <row r="432" spans="1:19">
      <c r="A432" t="s">
        <v>414</v>
      </c>
      <c r="B432" t="s">
        <v>37</v>
      </c>
      <c r="C432" t="s">
        <v>21</v>
      </c>
      <c r="D432" s="8">
        <v>45947</v>
      </c>
      <c r="E432" s="8">
        <v>45948</v>
      </c>
      <c r="F432" s="8">
        <v>45952</v>
      </c>
      <c r="G432" s="8">
        <v>45959</v>
      </c>
      <c r="H432" t="s">
        <v>22</v>
      </c>
      <c r="J432" s="8">
        <v>45978</v>
      </c>
      <c r="K432">
        <v>1</v>
      </c>
      <c r="L432">
        <v>4</v>
      </c>
      <c r="M432">
        <v>7</v>
      </c>
      <c r="N432">
        <v>8</v>
      </c>
      <c r="O432">
        <v>1</v>
      </c>
      <c r="P432">
        <v>1</v>
      </c>
      <c r="Q432">
        <v>1</v>
      </c>
      <c r="R432">
        <v>1</v>
      </c>
      <c r="S432" t="s">
        <v>1057</v>
      </c>
    </row>
    <row r="433" spans="1:19">
      <c r="A433" t="s">
        <v>432</v>
      </c>
      <c r="B433" t="s">
        <v>37</v>
      </c>
      <c r="C433" t="s">
        <v>21</v>
      </c>
      <c r="D433" s="8">
        <v>45946</v>
      </c>
      <c r="E433" s="8">
        <v>45948</v>
      </c>
      <c r="F433" s="8">
        <v>45949</v>
      </c>
      <c r="G433" s="8">
        <v>45956</v>
      </c>
      <c r="H433" t="s">
        <v>22</v>
      </c>
      <c r="J433" s="8">
        <v>45978</v>
      </c>
      <c r="K433">
        <v>2</v>
      </c>
      <c r="L433">
        <v>1</v>
      </c>
      <c r="M433">
        <v>7</v>
      </c>
      <c r="N433">
        <v>7</v>
      </c>
      <c r="O433">
        <v>1</v>
      </c>
      <c r="P433">
        <v>1</v>
      </c>
      <c r="Q433">
        <v>1</v>
      </c>
      <c r="R433">
        <v>1</v>
      </c>
      <c r="S433" t="s">
        <v>1057</v>
      </c>
    </row>
    <row r="434" spans="1:19">
      <c r="A434" t="s">
        <v>435</v>
      </c>
      <c r="B434" t="s">
        <v>37</v>
      </c>
      <c r="C434" t="s">
        <v>21</v>
      </c>
      <c r="D434" s="8">
        <v>45951</v>
      </c>
      <c r="E434" s="8">
        <v>45955</v>
      </c>
      <c r="F434" s="8">
        <v>45959</v>
      </c>
      <c r="G434" s="8">
        <v>45961</v>
      </c>
      <c r="H434" t="s">
        <v>22</v>
      </c>
      <c r="J434" s="8">
        <v>45990</v>
      </c>
      <c r="K434">
        <v>4</v>
      </c>
      <c r="L434">
        <v>4</v>
      </c>
      <c r="M434">
        <v>2</v>
      </c>
      <c r="N434">
        <v>7</v>
      </c>
      <c r="O434">
        <v>1</v>
      </c>
      <c r="P434">
        <v>1</v>
      </c>
      <c r="Q434">
        <v>1</v>
      </c>
      <c r="R434">
        <v>1</v>
      </c>
      <c r="S434" t="s">
        <v>1057</v>
      </c>
    </row>
    <row r="435" spans="1:19">
      <c r="A435" t="s">
        <v>460</v>
      </c>
      <c r="B435" t="s">
        <v>37</v>
      </c>
      <c r="C435" t="s">
        <v>21</v>
      </c>
      <c r="D435" s="8">
        <v>45940</v>
      </c>
      <c r="E435" s="8">
        <v>45942</v>
      </c>
      <c r="F435" s="8">
        <v>45944</v>
      </c>
      <c r="G435" s="8">
        <v>45946</v>
      </c>
      <c r="H435" t="s">
        <v>22</v>
      </c>
      <c r="J435" s="8">
        <v>45965</v>
      </c>
      <c r="K435">
        <v>2</v>
      </c>
      <c r="L435">
        <v>2</v>
      </c>
      <c r="M435">
        <v>2</v>
      </c>
      <c r="N435">
        <v>7</v>
      </c>
      <c r="O435">
        <v>1</v>
      </c>
      <c r="P435">
        <v>1</v>
      </c>
      <c r="Q435">
        <v>1</v>
      </c>
      <c r="R435">
        <v>1</v>
      </c>
      <c r="S435" t="s">
        <v>1057</v>
      </c>
    </row>
    <row r="436" spans="1:19">
      <c r="A436" t="s">
        <v>468</v>
      </c>
      <c r="B436" t="s">
        <v>37</v>
      </c>
      <c r="C436" t="s">
        <v>35</v>
      </c>
      <c r="D436" s="8">
        <v>45938</v>
      </c>
      <c r="E436" s="8">
        <v>45941</v>
      </c>
      <c r="F436" s="8">
        <v>45946</v>
      </c>
      <c r="G436" s="8">
        <v>45949</v>
      </c>
      <c r="H436" t="s">
        <v>22</v>
      </c>
      <c r="J436" s="8">
        <v>45961</v>
      </c>
      <c r="K436">
        <v>3</v>
      </c>
      <c r="L436">
        <v>5</v>
      </c>
      <c r="M436">
        <v>3</v>
      </c>
      <c r="N436">
        <v>7</v>
      </c>
      <c r="O436">
        <v>1</v>
      </c>
      <c r="P436">
        <v>1</v>
      </c>
      <c r="Q436">
        <v>1</v>
      </c>
      <c r="R436">
        <v>1</v>
      </c>
      <c r="S436" t="s">
        <v>1057</v>
      </c>
    </row>
    <row r="437" spans="1:19">
      <c r="A437" t="s">
        <v>471</v>
      </c>
      <c r="B437" t="s">
        <v>37</v>
      </c>
      <c r="C437" t="s">
        <v>35</v>
      </c>
      <c r="D437" s="8">
        <v>45935</v>
      </c>
      <c r="E437" s="8">
        <v>45940</v>
      </c>
      <c r="F437" s="8">
        <v>45944</v>
      </c>
      <c r="G437" s="8">
        <v>45951</v>
      </c>
      <c r="H437" t="s">
        <v>22</v>
      </c>
      <c r="J437" s="8">
        <v>45967</v>
      </c>
      <c r="K437">
        <v>5</v>
      </c>
      <c r="L437">
        <v>4</v>
      </c>
      <c r="M437">
        <v>7</v>
      </c>
      <c r="N437">
        <v>7</v>
      </c>
      <c r="O437">
        <v>1</v>
      </c>
      <c r="P437">
        <v>1</v>
      </c>
      <c r="Q437">
        <v>1</v>
      </c>
      <c r="R437">
        <v>1</v>
      </c>
      <c r="S437" t="s">
        <v>1057</v>
      </c>
    </row>
    <row r="438" spans="1:19">
      <c r="A438" t="s">
        <v>474</v>
      </c>
      <c r="B438" t="s">
        <v>37</v>
      </c>
      <c r="C438" t="s">
        <v>21</v>
      </c>
      <c r="D438" s="8">
        <v>45960</v>
      </c>
      <c r="E438" s="8">
        <v>45963</v>
      </c>
      <c r="F438" s="8">
        <v>45967</v>
      </c>
      <c r="G438" s="8">
        <v>45970</v>
      </c>
      <c r="H438" t="s">
        <v>22</v>
      </c>
      <c r="J438" s="8">
        <v>45995</v>
      </c>
      <c r="K438">
        <v>3</v>
      </c>
      <c r="L438">
        <v>4</v>
      </c>
      <c r="M438">
        <v>3</v>
      </c>
      <c r="N438">
        <v>8</v>
      </c>
      <c r="O438">
        <v>1</v>
      </c>
      <c r="P438">
        <v>1</v>
      </c>
      <c r="Q438">
        <v>1</v>
      </c>
      <c r="R438">
        <v>1</v>
      </c>
      <c r="S438" t="s">
        <v>1057</v>
      </c>
    </row>
    <row r="439" spans="1:19">
      <c r="A439" t="s">
        <v>531</v>
      </c>
      <c r="B439" t="s">
        <v>37</v>
      </c>
      <c r="C439" t="s">
        <v>35</v>
      </c>
      <c r="D439" s="8">
        <v>45960</v>
      </c>
      <c r="E439" s="8">
        <v>45962</v>
      </c>
      <c r="F439" s="8">
        <v>45967</v>
      </c>
      <c r="G439" s="8">
        <v>45970</v>
      </c>
      <c r="H439" t="s">
        <v>22</v>
      </c>
      <c r="J439" s="8">
        <v>45991</v>
      </c>
      <c r="K439">
        <v>2</v>
      </c>
      <c r="L439">
        <v>5</v>
      </c>
      <c r="M439">
        <v>3</v>
      </c>
      <c r="N439">
        <v>8</v>
      </c>
      <c r="O439">
        <v>1</v>
      </c>
      <c r="P439">
        <v>1</v>
      </c>
      <c r="Q439">
        <v>1</v>
      </c>
      <c r="R439">
        <v>1</v>
      </c>
      <c r="S439" t="s">
        <v>1057</v>
      </c>
    </row>
    <row r="440" spans="1:19">
      <c r="A440" t="s">
        <v>626</v>
      </c>
      <c r="B440" t="s">
        <v>37</v>
      </c>
      <c r="C440" t="s">
        <v>21</v>
      </c>
      <c r="D440" s="8">
        <v>45949</v>
      </c>
      <c r="E440" s="8">
        <v>45954</v>
      </c>
      <c r="F440" s="8">
        <v>45958</v>
      </c>
      <c r="G440" s="8">
        <v>45962</v>
      </c>
      <c r="H440" t="s">
        <v>22</v>
      </c>
      <c r="J440" s="8">
        <v>45992</v>
      </c>
      <c r="K440">
        <v>5</v>
      </c>
      <c r="L440">
        <v>4</v>
      </c>
      <c r="M440">
        <v>4</v>
      </c>
      <c r="N440">
        <v>7</v>
      </c>
      <c r="O440">
        <v>1</v>
      </c>
      <c r="P440">
        <v>1</v>
      </c>
      <c r="Q440">
        <v>1</v>
      </c>
      <c r="R440">
        <v>1</v>
      </c>
      <c r="S440" t="s">
        <v>1057</v>
      </c>
    </row>
    <row r="441" spans="1:19">
      <c r="A441" t="s">
        <v>645</v>
      </c>
      <c r="B441" t="s">
        <v>37</v>
      </c>
      <c r="C441" t="s">
        <v>21</v>
      </c>
      <c r="D441" s="8">
        <v>45951</v>
      </c>
      <c r="E441" s="8">
        <v>45955</v>
      </c>
      <c r="F441" s="8">
        <v>45960</v>
      </c>
      <c r="G441" s="8">
        <v>45962</v>
      </c>
      <c r="H441" t="s">
        <v>22</v>
      </c>
      <c r="J441" s="8">
        <v>45984</v>
      </c>
      <c r="K441">
        <v>4</v>
      </c>
      <c r="L441">
        <v>5</v>
      </c>
      <c r="M441">
        <v>2</v>
      </c>
      <c r="N441">
        <v>8</v>
      </c>
      <c r="O441">
        <v>1</v>
      </c>
      <c r="P441">
        <v>1</v>
      </c>
      <c r="Q441">
        <v>1</v>
      </c>
      <c r="R441">
        <v>1</v>
      </c>
      <c r="S441" t="s">
        <v>1057</v>
      </c>
    </row>
    <row r="442" spans="1:19">
      <c r="A442" t="s">
        <v>748</v>
      </c>
      <c r="B442" t="s">
        <v>37</v>
      </c>
      <c r="C442" t="s">
        <v>35</v>
      </c>
      <c r="D442" s="8">
        <v>45956</v>
      </c>
      <c r="E442" s="8">
        <v>45960</v>
      </c>
      <c r="F442" s="8">
        <v>45961</v>
      </c>
      <c r="G442" s="8">
        <v>45963</v>
      </c>
      <c r="H442" t="s">
        <v>22</v>
      </c>
      <c r="J442" s="8">
        <v>45993</v>
      </c>
      <c r="K442">
        <v>4</v>
      </c>
      <c r="L442">
        <v>1</v>
      </c>
      <c r="M442">
        <v>2</v>
      </c>
      <c r="N442">
        <v>7</v>
      </c>
      <c r="O442">
        <v>1</v>
      </c>
      <c r="P442">
        <v>1</v>
      </c>
      <c r="Q442">
        <v>1</v>
      </c>
      <c r="R442">
        <v>1</v>
      </c>
      <c r="S442" t="s">
        <v>1057</v>
      </c>
    </row>
    <row r="443" spans="1:19">
      <c r="A443" t="s">
        <v>772</v>
      </c>
      <c r="B443" t="s">
        <v>37</v>
      </c>
      <c r="C443" t="s">
        <v>35</v>
      </c>
      <c r="D443" s="8">
        <v>45961</v>
      </c>
      <c r="E443" s="8">
        <v>45964</v>
      </c>
      <c r="F443" s="8">
        <v>45965</v>
      </c>
      <c r="G443" s="8">
        <v>45970</v>
      </c>
      <c r="H443" t="s">
        <v>22</v>
      </c>
      <c r="J443" s="8">
        <v>45997</v>
      </c>
      <c r="K443">
        <v>3</v>
      </c>
      <c r="L443">
        <v>1</v>
      </c>
      <c r="M443">
        <v>5</v>
      </c>
      <c r="N443">
        <v>7</v>
      </c>
      <c r="O443">
        <v>1</v>
      </c>
      <c r="P443">
        <v>1</v>
      </c>
      <c r="Q443">
        <v>1</v>
      </c>
      <c r="R443">
        <v>1</v>
      </c>
      <c r="S443" t="s">
        <v>1057</v>
      </c>
    </row>
    <row r="444" spans="1:19">
      <c r="A444" t="s">
        <v>830</v>
      </c>
      <c r="B444" t="s">
        <v>37</v>
      </c>
      <c r="C444" t="s">
        <v>21</v>
      </c>
      <c r="D444" s="8">
        <v>45934</v>
      </c>
      <c r="E444" s="8">
        <v>45937</v>
      </c>
      <c r="F444" s="8">
        <v>45942</v>
      </c>
      <c r="G444" s="8">
        <v>45946</v>
      </c>
      <c r="H444" t="s">
        <v>22</v>
      </c>
      <c r="J444" s="8">
        <v>45956</v>
      </c>
      <c r="K444">
        <v>3</v>
      </c>
      <c r="L444">
        <v>5</v>
      </c>
      <c r="M444">
        <v>4</v>
      </c>
      <c r="N444">
        <v>7</v>
      </c>
      <c r="O444">
        <v>1</v>
      </c>
      <c r="P444">
        <v>1</v>
      </c>
      <c r="Q444">
        <v>1</v>
      </c>
      <c r="R444">
        <v>1</v>
      </c>
      <c r="S444" t="s">
        <v>1057</v>
      </c>
    </row>
    <row r="445" spans="1:19">
      <c r="A445" t="s">
        <v>844</v>
      </c>
      <c r="B445" t="s">
        <v>37</v>
      </c>
      <c r="C445" t="s">
        <v>21</v>
      </c>
      <c r="D445" s="8">
        <v>45945</v>
      </c>
      <c r="E445" s="8">
        <v>45950</v>
      </c>
      <c r="F445" s="8">
        <v>45953</v>
      </c>
      <c r="G445" s="8">
        <v>45960</v>
      </c>
      <c r="H445" t="s">
        <v>22</v>
      </c>
      <c r="J445" s="8">
        <v>45982</v>
      </c>
      <c r="K445">
        <v>5</v>
      </c>
      <c r="L445">
        <v>3</v>
      </c>
      <c r="M445">
        <v>7</v>
      </c>
      <c r="N445">
        <v>7</v>
      </c>
      <c r="O445">
        <v>1</v>
      </c>
      <c r="P445">
        <v>1</v>
      </c>
      <c r="Q445">
        <v>1</v>
      </c>
      <c r="R445">
        <v>1</v>
      </c>
      <c r="S445" t="s">
        <v>1057</v>
      </c>
    </row>
    <row r="446" spans="1:19">
      <c r="A446" t="s">
        <v>920</v>
      </c>
      <c r="B446" t="s">
        <v>37</v>
      </c>
      <c r="C446" t="s">
        <v>21</v>
      </c>
      <c r="D446" s="8">
        <v>45941</v>
      </c>
      <c r="E446" s="8">
        <v>45945</v>
      </c>
      <c r="F446" s="8">
        <v>45948</v>
      </c>
      <c r="G446" s="8">
        <v>45953</v>
      </c>
      <c r="H446" t="s">
        <v>22</v>
      </c>
      <c r="J446" s="8">
        <v>45978</v>
      </c>
      <c r="K446">
        <v>4</v>
      </c>
      <c r="L446">
        <v>3</v>
      </c>
      <c r="M446">
        <v>5</v>
      </c>
      <c r="N446">
        <v>7</v>
      </c>
      <c r="O446">
        <v>1</v>
      </c>
      <c r="P446">
        <v>1</v>
      </c>
      <c r="Q446">
        <v>1</v>
      </c>
      <c r="R446">
        <v>1</v>
      </c>
      <c r="S446" t="s">
        <v>1057</v>
      </c>
    </row>
    <row r="447" spans="1:19">
      <c r="A447" t="s">
        <v>938</v>
      </c>
      <c r="B447" t="s">
        <v>37</v>
      </c>
      <c r="C447" t="s">
        <v>21</v>
      </c>
      <c r="D447" s="8">
        <v>45931</v>
      </c>
      <c r="E447" s="8">
        <v>45935</v>
      </c>
      <c r="F447" s="8">
        <v>45940</v>
      </c>
      <c r="G447" s="8">
        <v>45943</v>
      </c>
      <c r="H447" t="s">
        <v>22</v>
      </c>
      <c r="J447" s="8">
        <v>45955</v>
      </c>
      <c r="K447">
        <v>4</v>
      </c>
      <c r="L447">
        <v>5</v>
      </c>
      <c r="M447">
        <v>3</v>
      </c>
      <c r="N447">
        <v>7</v>
      </c>
      <c r="O447">
        <v>1</v>
      </c>
      <c r="P447">
        <v>1</v>
      </c>
      <c r="Q447">
        <v>1</v>
      </c>
      <c r="R447">
        <v>1</v>
      </c>
      <c r="S447" t="s">
        <v>1057</v>
      </c>
    </row>
    <row r="448" spans="1:19">
      <c r="A448" t="s">
        <v>950</v>
      </c>
      <c r="B448" t="s">
        <v>37</v>
      </c>
      <c r="C448" t="s">
        <v>35</v>
      </c>
      <c r="D448" s="8">
        <v>45932</v>
      </c>
      <c r="E448" s="8">
        <v>45935</v>
      </c>
      <c r="F448" s="8">
        <v>45936</v>
      </c>
      <c r="G448" s="8">
        <v>45938</v>
      </c>
      <c r="H448" t="s">
        <v>22</v>
      </c>
      <c r="J448" s="8">
        <v>45949</v>
      </c>
      <c r="K448">
        <v>3</v>
      </c>
      <c r="L448">
        <v>1</v>
      </c>
      <c r="M448">
        <v>2</v>
      </c>
      <c r="N448">
        <v>8</v>
      </c>
      <c r="O448">
        <v>1</v>
      </c>
      <c r="P448">
        <v>1</v>
      </c>
      <c r="Q448">
        <v>1</v>
      </c>
      <c r="R448">
        <v>1</v>
      </c>
      <c r="S448" t="s">
        <v>1057</v>
      </c>
    </row>
    <row r="449" spans="1:19">
      <c r="A449" t="s">
        <v>963</v>
      </c>
      <c r="B449" t="s">
        <v>37</v>
      </c>
      <c r="C449" t="s">
        <v>21</v>
      </c>
      <c r="D449" s="8">
        <v>45949</v>
      </c>
      <c r="E449" s="8">
        <v>45953</v>
      </c>
      <c r="F449" s="8">
        <v>45954</v>
      </c>
      <c r="G449" s="8">
        <v>45956</v>
      </c>
      <c r="H449" t="s">
        <v>22</v>
      </c>
      <c r="J449" s="8">
        <v>45971</v>
      </c>
      <c r="K449">
        <v>4</v>
      </c>
      <c r="L449">
        <v>1</v>
      </c>
      <c r="M449">
        <v>2</v>
      </c>
      <c r="N449">
        <v>7</v>
      </c>
      <c r="O449">
        <v>1</v>
      </c>
      <c r="P449">
        <v>1</v>
      </c>
      <c r="Q449">
        <v>1</v>
      </c>
      <c r="R449">
        <v>1</v>
      </c>
      <c r="S449" t="s">
        <v>1057</v>
      </c>
    </row>
    <row r="450" spans="1:19">
      <c r="A450" t="s">
        <v>1026</v>
      </c>
      <c r="B450" t="s">
        <v>37</v>
      </c>
      <c r="C450" t="s">
        <v>35</v>
      </c>
      <c r="D450" s="8">
        <v>45954</v>
      </c>
      <c r="E450" s="8">
        <v>45957</v>
      </c>
      <c r="F450" s="8">
        <v>45959</v>
      </c>
      <c r="G450" s="8">
        <v>45963</v>
      </c>
      <c r="H450" t="s">
        <v>22</v>
      </c>
      <c r="J450" s="8">
        <v>45989</v>
      </c>
      <c r="K450">
        <v>3</v>
      </c>
      <c r="L450">
        <v>2</v>
      </c>
      <c r="M450">
        <v>4</v>
      </c>
      <c r="N450">
        <v>7</v>
      </c>
      <c r="O450">
        <v>1</v>
      </c>
      <c r="P450">
        <v>1</v>
      </c>
      <c r="Q450">
        <v>1</v>
      </c>
      <c r="R450">
        <v>1</v>
      </c>
      <c r="S450" t="s">
        <v>1057</v>
      </c>
    </row>
    <row r="451" spans="1:19">
      <c r="A451" t="s">
        <v>124</v>
      </c>
      <c r="B451" t="s">
        <v>37</v>
      </c>
      <c r="C451" t="s">
        <v>35</v>
      </c>
      <c r="D451" s="8">
        <v>45933</v>
      </c>
      <c r="E451" s="8">
        <v>45938</v>
      </c>
      <c r="F451" s="8">
        <v>45943</v>
      </c>
      <c r="G451" s="8">
        <v>45946</v>
      </c>
      <c r="H451" t="s">
        <v>22</v>
      </c>
      <c r="J451" s="8">
        <v>45974</v>
      </c>
      <c r="K451">
        <v>5</v>
      </c>
      <c r="L451">
        <v>5</v>
      </c>
      <c r="M451">
        <v>3</v>
      </c>
      <c r="N451">
        <v>9</v>
      </c>
      <c r="O451">
        <v>1</v>
      </c>
      <c r="P451">
        <v>1</v>
      </c>
      <c r="Q451">
        <v>1</v>
      </c>
      <c r="R451">
        <v>1</v>
      </c>
      <c r="S451" t="s">
        <v>1058</v>
      </c>
    </row>
    <row r="452" spans="1:19">
      <c r="A452" t="s">
        <v>147</v>
      </c>
      <c r="B452" t="s">
        <v>37</v>
      </c>
      <c r="C452" t="s">
        <v>21</v>
      </c>
      <c r="D452" s="8">
        <v>45939</v>
      </c>
      <c r="E452" s="8">
        <v>45944</v>
      </c>
      <c r="F452" s="8">
        <v>45947</v>
      </c>
      <c r="G452" s="8">
        <v>45949</v>
      </c>
      <c r="H452" t="s">
        <v>22</v>
      </c>
      <c r="J452" s="8">
        <v>45969</v>
      </c>
      <c r="K452">
        <v>5</v>
      </c>
      <c r="L452">
        <v>3</v>
      </c>
      <c r="M452">
        <v>2</v>
      </c>
      <c r="N452">
        <v>10</v>
      </c>
      <c r="O452">
        <v>1</v>
      </c>
      <c r="P452">
        <v>1</v>
      </c>
      <c r="Q452">
        <v>1</v>
      </c>
      <c r="R452">
        <v>1</v>
      </c>
      <c r="S452" t="s">
        <v>1058</v>
      </c>
    </row>
    <row r="453" spans="1:19">
      <c r="A453" t="s">
        <v>211</v>
      </c>
      <c r="B453" t="s">
        <v>37</v>
      </c>
      <c r="C453" t="s">
        <v>21</v>
      </c>
      <c r="D453" s="8">
        <v>45934</v>
      </c>
      <c r="E453" s="8">
        <v>45935</v>
      </c>
      <c r="F453" s="8">
        <v>45937</v>
      </c>
      <c r="G453" s="8">
        <v>45940</v>
      </c>
      <c r="H453" t="s">
        <v>22</v>
      </c>
      <c r="J453" s="8">
        <v>45960</v>
      </c>
      <c r="K453">
        <v>1</v>
      </c>
      <c r="L453">
        <v>2</v>
      </c>
      <c r="M453">
        <v>3</v>
      </c>
      <c r="N453">
        <v>9</v>
      </c>
      <c r="O453">
        <v>1</v>
      </c>
      <c r="P453">
        <v>1</v>
      </c>
      <c r="Q453">
        <v>1</v>
      </c>
      <c r="R453">
        <v>1</v>
      </c>
      <c r="S453" t="s">
        <v>1058</v>
      </c>
    </row>
    <row r="454" spans="1:19">
      <c r="A454" t="s">
        <v>224</v>
      </c>
      <c r="B454" t="s">
        <v>37</v>
      </c>
      <c r="C454" t="s">
        <v>21</v>
      </c>
      <c r="D454" s="8">
        <v>45949</v>
      </c>
      <c r="E454" s="8">
        <v>45954</v>
      </c>
      <c r="F454" s="8">
        <v>45958</v>
      </c>
      <c r="G454" s="8">
        <v>45962</v>
      </c>
      <c r="H454" t="s">
        <v>22</v>
      </c>
      <c r="J454" s="8">
        <v>45977</v>
      </c>
      <c r="K454">
        <v>5</v>
      </c>
      <c r="L454">
        <v>4</v>
      </c>
      <c r="M454">
        <v>4</v>
      </c>
      <c r="N454">
        <v>10</v>
      </c>
      <c r="O454">
        <v>1</v>
      </c>
      <c r="P454">
        <v>1</v>
      </c>
      <c r="Q454">
        <v>1</v>
      </c>
      <c r="R454">
        <v>1</v>
      </c>
      <c r="S454" t="s">
        <v>1058</v>
      </c>
    </row>
    <row r="455" spans="1:19">
      <c r="A455" t="s">
        <v>331</v>
      </c>
      <c r="B455" t="s">
        <v>37</v>
      </c>
      <c r="C455" t="s">
        <v>35</v>
      </c>
      <c r="D455" s="8">
        <v>45945</v>
      </c>
      <c r="E455" s="8">
        <v>45950</v>
      </c>
      <c r="F455" s="8">
        <v>45951</v>
      </c>
      <c r="G455" s="8">
        <v>45953</v>
      </c>
      <c r="H455" t="s">
        <v>22</v>
      </c>
      <c r="J455" s="8">
        <v>45976</v>
      </c>
      <c r="K455">
        <v>5</v>
      </c>
      <c r="L455">
        <v>1</v>
      </c>
      <c r="M455">
        <v>2</v>
      </c>
      <c r="N455">
        <v>10</v>
      </c>
      <c r="O455">
        <v>1</v>
      </c>
      <c r="P455">
        <v>1</v>
      </c>
      <c r="Q455">
        <v>1</v>
      </c>
      <c r="R455">
        <v>1</v>
      </c>
      <c r="S455" t="s">
        <v>1058</v>
      </c>
    </row>
    <row r="456" spans="1:19">
      <c r="A456" t="s">
        <v>373</v>
      </c>
      <c r="B456" t="s">
        <v>37</v>
      </c>
      <c r="C456" t="s">
        <v>21</v>
      </c>
      <c r="D456" s="8">
        <v>45933</v>
      </c>
      <c r="E456" s="8">
        <v>45934</v>
      </c>
      <c r="F456" s="8">
        <v>45935</v>
      </c>
      <c r="G456" s="8">
        <v>45939</v>
      </c>
      <c r="H456" t="s">
        <v>22</v>
      </c>
      <c r="J456" s="8">
        <v>45951</v>
      </c>
      <c r="K456">
        <v>1</v>
      </c>
      <c r="L456">
        <v>1</v>
      </c>
      <c r="M456">
        <v>4</v>
      </c>
      <c r="N456">
        <v>10</v>
      </c>
      <c r="O456">
        <v>1</v>
      </c>
      <c r="P456">
        <v>1</v>
      </c>
      <c r="Q456">
        <v>1</v>
      </c>
      <c r="R456">
        <v>1</v>
      </c>
      <c r="S456" t="s">
        <v>1058</v>
      </c>
    </row>
    <row r="457" spans="1:19">
      <c r="A457" t="s">
        <v>398</v>
      </c>
      <c r="B457" t="s">
        <v>37</v>
      </c>
      <c r="C457" t="s">
        <v>21</v>
      </c>
      <c r="D457" s="8">
        <v>45939</v>
      </c>
      <c r="E457" s="8">
        <v>45940</v>
      </c>
      <c r="F457" s="8">
        <v>45943</v>
      </c>
      <c r="G457" s="8">
        <v>45946</v>
      </c>
      <c r="H457" t="s">
        <v>22</v>
      </c>
      <c r="J457" s="8">
        <v>45972</v>
      </c>
      <c r="K457">
        <v>1</v>
      </c>
      <c r="L457">
        <v>3</v>
      </c>
      <c r="M457">
        <v>3</v>
      </c>
      <c r="N457">
        <v>10</v>
      </c>
      <c r="O457">
        <v>1</v>
      </c>
      <c r="P457">
        <v>1</v>
      </c>
      <c r="Q457">
        <v>1</v>
      </c>
      <c r="R457">
        <v>1</v>
      </c>
      <c r="S457" t="s">
        <v>1058</v>
      </c>
    </row>
    <row r="458" spans="1:19">
      <c r="A458" t="s">
        <v>407</v>
      </c>
      <c r="B458" t="s">
        <v>37</v>
      </c>
      <c r="C458" t="s">
        <v>35</v>
      </c>
      <c r="D458" s="8">
        <v>45952</v>
      </c>
      <c r="E458" s="8">
        <v>45955</v>
      </c>
      <c r="F458" s="8">
        <v>45956</v>
      </c>
      <c r="G458" s="8">
        <v>45958</v>
      </c>
      <c r="H458" t="s">
        <v>22</v>
      </c>
      <c r="J458" s="8">
        <v>45986</v>
      </c>
      <c r="K458">
        <v>3</v>
      </c>
      <c r="L458">
        <v>1</v>
      </c>
      <c r="M458">
        <v>2</v>
      </c>
      <c r="N458">
        <v>9</v>
      </c>
      <c r="O458">
        <v>1</v>
      </c>
      <c r="P458">
        <v>1</v>
      </c>
      <c r="Q458">
        <v>1</v>
      </c>
      <c r="R458">
        <v>1</v>
      </c>
      <c r="S458" t="s">
        <v>1058</v>
      </c>
    </row>
    <row r="459" spans="1:19">
      <c r="A459" t="s">
        <v>519</v>
      </c>
      <c r="B459" t="s">
        <v>37</v>
      </c>
      <c r="C459" t="s">
        <v>21</v>
      </c>
      <c r="D459" s="8">
        <v>45938</v>
      </c>
      <c r="E459" s="8">
        <v>45942</v>
      </c>
      <c r="F459" s="8">
        <v>45945</v>
      </c>
      <c r="G459" s="8">
        <v>45949</v>
      </c>
      <c r="H459" t="s">
        <v>22</v>
      </c>
      <c r="J459" s="8">
        <v>45973</v>
      </c>
      <c r="K459">
        <v>4</v>
      </c>
      <c r="L459">
        <v>3</v>
      </c>
      <c r="M459">
        <v>4</v>
      </c>
      <c r="N459">
        <v>9</v>
      </c>
      <c r="O459">
        <v>1</v>
      </c>
      <c r="P459">
        <v>1</v>
      </c>
      <c r="Q459">
        <v>1</v>
      </c>
      <c r="R459">
        <v>1</v>
      </c>
      <c r="S459" t="s">
        <v>1058</v>
      </c>
    </row>
    <row r="460" spans="1:19">
      <c r="A460" t="s">
        <v>536</v>
      </c>
      <c r="B460" t="s">
        <v>37</v>
      </c>
      <c r="C460" t="s">
        <v>21</v>
      </c>
      <c r="D460" s="8">
        <v>45956</v>
      </c>
      <c r="E460" s="8">
        <v>45957</v>
      </c>
      <c r="F460" s="8">
        <v>45962</v>
      </c>
      <c r="G460" s="8">
        <v>45964</v>
      </c>
      <c r="H460" t="s">
        <v>22</v>
      </c>
      <c r="J460" s="8">
        <v>45989</v>
      </c>
      <c r="K460">
        <v>1</v>
      </c>
      <c r="L460">
        <v>5</v>
      </c>
      <c r="M460">
        <v>2</v>
      </c>
      <c r="N460">
        <v>10</v>
      </c>
      <c r="O460">
        <v>1</v>
      </c>
      <c r="P460">
        <v>1</v>
      </c>
      <c r="Q460">
        <v>1</v>
      </c>
      <c r="R460">
        <v>1</v>
      </c>
      <c r="S460" t="s">
        <v>1058</v>
      </c>
    </row>
    <row r="461" spans="1:19">
      <c r="A461" t="s">
        <v>551</v>
      </c>
      <c r="B461" t="s">
        <v>37</v>
      </c>
      <c r="C461" t="s">
        <v>35</v>
      </c>
      <c r="D461" s="8">
        <v>45958</v>
      </c>
      <c r="E461" s="8">
        <v>45962</v>
      </c>
      <c r="F461" s="8">
        <v>45967</v>
      </c>
      <c r="G461" s="8">
        <v>45972</v>
      </c>
      <c r="H461" t="s">
        <v>22</v>
      </c>
      <c r="J461" s="8">
        <v>45983</v>
      </c>
      <c r="K461">
        <v>4</v>
      </c>
      <c r="L461">
        <v>5</v>
      </c>
      <c r="M461">
        <v>5</v>
      </c>
      <c r="N461">
        <v>10</v>
      </c>
      <c r="O461">
        <v>1</v>
      </c>
      <c r="P461">
        <v>1</v>
      </c>
      <c r="Q461">
        <v>1</v>
      </c>
      <c r="R461">
        <v>1</v>
      </c>
      <c r="S461" t="s">
        <v>1058</v>
      </c>
    </row>
    <row r="462" spans="1:19">
      <c r="A462" t="s">
        <v>575</v>
      </c>
      <c r="B462" t="s">
        <v>37</v>
      </c>
      <c r="C462" t="s">
        <v>21</v>
      </c>
      <c r="D462" s="8">
        <v>45941</v>
      </c>
      <c r="E462" s="8">
        <v>45946</v>
      </c>
      <c r="F462" s="8">
        <v>45950</v>
      </c>
      <c r="G462" s="8">
        <v>45954</v>
      </c>
      <c r="H462" t="s">
        <v>22</v>
      </c>
      <c r="J462" s="8">
        <v>45984</v>
      </c>
      <c r="K462">
        <v>5</v>
      </c>
      <c r="L462">
        <v>4</v>
      </c>
      <c r="M462">
        <v>4</v>
      </c>
      <c r="N462">
        <v>9</v>
      </c>
      <c r="O462">
        <v>1</v>
      </c>
      <c r="P462">
        <v>1</v>
      </c>
      <c r="Q462">
        <v>1</v>
      </c>
      <c r="R462">
        <v>1</v>
      </c>
      <c r="S462" t="s">
        <v>1058</v>
      </c>
    </row>
    <row r="463" spans="1:19">
      <c r="A463" t="s">
        <v>612</v>
      </c>
      <c r="B463" t="s">
        <v>37</v>
      </c>
      <c r="C463" t="s">
        <v>35</v>
      </c>
      <c r="D463" s="8">
        <v>45959</v>
      </c>
      <c r="E463" s="8">
        <v>45960</v>
      </c>
      <c r="F463" s="8">
        <v>45962</v>
      </c>
      <c r="G463" s="8">
        <v>45964</v>
      </c>
      <c r="H463" t="s">
        <v>22</v>
      </c>
      <c r="J463" s="8">
        <v>45989</v>
      </c>
      <c r="K463">
        <v>1</v>
      </c>
      <c r="L463">
        <v>2</v>
      </c>
      <c r="M463">
        <v>2</v>
      </c>
      <c r="N463">
        <v>9</v>
      </c>
      <c r="O463">
        <v>1</v>
      </c>
      <c r="P463">
        <v>1</v>
      </c>
      <c r="Q463">
        <v>1</v>
      </c>
      <c r="R463">
        <v>1</v>
      </c>
      <c r="S463" t="s">
        <v>1058</v>
      </c>
    </row>
    <row r="464" spans="1:19">
      <c r="A464" t="s">
        <v>622</v>
      </c>
      <c r="B464" t="s">
        <v>37</v>
      </c>
      <c r="C464" t="s">
        <v>21</v>
      </c>
      <c r="D464" s="8">
        <v>45935</v>
      </c>
      <c r="E464" s="8">
        <v>45938</v>
      </c>
      <c r="F464" s="8">
        <v>45939</v>
      </c>
      <c r="G464" s="8">
        <v>45943</v>
      </c>
      <c r="H464" t="s">
        <v>22</v>
      </c>
      <c r="J464" s="8">
        <v>45961</v>
      </c>
      <c r="K464">
        <v>3</v>
      </c>
      <c r="L464">
        <v>1</v>
      </c>
      <c r="M464">
        <v>4</v>
      </c>
      <c r="N464">
        <v>9</v>
      </c>
      <c r="O464">
        <v>1</v>
      </c>
      <c r="P464">
        <v>1</v>
      </c>
      <c r="Q464">
        <v>1</v>
      </c>
      <c r="R464">
        <v>1</v>
      </c>
      <c r="S464" t="s">
        <v>1058</v>
      </c>
    </row>
    <row r="465" spans="1:19">
      <c r="A465" t="s">
        <v>694</v>
      </c>
      <c r="B465" t="s">
        <v>37</v>
      </c>
      <c r="C465" t="s">
        <v>21</v>
      </c>
      <c r="D465" s="8">
        <v>45952</v>
      </c>
      <c r="E465" s="8">
        <v>45956</v>
      </c>
      <c r="F465" s="8">
        <v>45957</v>
      </c>
      <c r="G465" s="8">
        <v>45961</v>
      </c>
      <c r="H465" t="s">
        <v>22</v>
      </c>
      <c r="J465" s="8">
        <v>45984</v>
      </c>
      <c r="K465">
        <v>4</v>
      </c>
      <c r="L465">
        <v>1</v>
      </c>
      <c r="M465">
        <v>4</v>
      </c>
      <c r="N465">
        <v>9</v>
      </c>
      <c r="O465">
        <v>1</v>
      </c>
      <c r="P465">
        <v>1</v>
      </c>
      <c r="Q465">
        <v>1</v>
      </c>
      <c r="R465">
        <v>1</v>
      </c>
      <c r="S465" t="s">
        <v>1058</v>
      </c>
    </row>
    <row r="466" spans="1:19">
      <c r="A466" t="s">
        <v>714</v>
      </c>
      <c r="B466" t="s">
        <v>37</v>
      </c>
      <c r="C466" t="s">
        <v>21</v>
      </c>
      <c r="D466" s="8">
        <v>45937</v>
      </c>
      <c r="E466" s="8">
        <v>45942</v>
      </c>
      <c r="F466" s="8">
        <v>45943</v>
      </c>
      <c r="G466" s="8">
        <v>45948</v>
      </c>
      <c r="H466" t="s">
        <v>22</v>
      </c>
      <c r="J466" s="8">
        <v>45973</v>
      </c>
      <c r="K466">
        <v>5</v>
      </c>
      <c r="L466">
        <v>1</v>
      </c>
      <c r="M466">
        <v>5</v>
      </c>
      <c r="N466">
        <v>9</v>
      </c>
      <c r="O466">
        <v>1</v>
      </c>
      <c r="P466">
        <v>1</v>
      </c>
      <c r="Q466">
        <v>1</v>
      </c>
      <c r="R466">
        <v>1</v>
      </c>
      <c r="S466" t="s">
        <v>1058</v>
      </c>
    </row>
    <row r="467" spans="1:19">
      <c r="A467" t="s">
        <v>737</v>
      </c>
      <c r="B467" t="s">
        <v>37</v>
      </c>
      <c r="C467" t="s">
        <v>21</v>
      </c>
      <c r="D467" s="8">
        <v>45954</v>
      </c>
      <c r="E467" s="8">
        <v>45957</v>
      </c>
      <c r="F467" s="8">
        <v>45959</v>
      </c>
      <c r="G467" s="8">
        <v>45965</v>
      </c>
      <c r="H467" t="s">
        <v>22</v>
      </c>
      <c r="J467" s="8">
        <v>45989</v>
      </c>
      <c r="K467">
        <v>3</v>
      </c>
      <c r="L467">
        <v>2</v>
      </c>
      <c r="M467">
        <v>6</v>
      </c>
      <c r="N467">
        <v>9</v>
      </c>
      <c r="O467">
        <v>1</v>
      </c>
      <c r="P467">
        <v>1</v>
      </c>
      <c r="Q467">
        <v>1</v>
      </c>
      <c r="R467">
        <v>1</v>
      </c>
      <c r="S467" t="s">
        <v>1058</v>
      </c>
    </row>
    <row r="468" spans="1:19">
      <c r="A468" t="s">
        <v>757</v>
      </c>
      <c r="B468" t="s">
        <v>37</v>
      </c>
      <c r="C468" t="s">
        <v>35</v>
      </c>
      <c r="D468" s="8">
        <v>45936</v>
      </c>
      <c r="E468" s="8">
        <v>45939</v>
      </c>
      <c r="F468" s="8">
        <v>45942</v>
      </c>
      <c r="G468" s="8">
        <v>45945</v>
      </c>
      <c r="H468" t="s">
        <v>22</v>
      </c>
      <c r="J468" s="8">
        <v>45970</v>
      </c>
      <c r="K468">
        <v>3</v>
      </c>
      <c r="L468">
        <v>3</v>
      </c>
      <c r="M468">
        <v>3</v>
      </c>
      <c r="N468">
        <v>10</v>
      </c>
      <c r="O468">
        <v>1</v>
      </c>
      <c r="P468">
        <v>1</v>
      </c>
      <c r="Q468">
        <v>1</v>
      </c>
      <c r="R468">
        <v>1</v>
      </c>
      <c r="S468" t="s">
        <v>1058</v>
      </c>
    </row>
    <row r="469" spans="1:19">
      <c r="A469" t="s">
        <v>762</v>
      </c>
      <c r="B469" t="s">
        <v>37</v>
      </c>
      <c r="C469" t="s">
        <v>21</v>
      </c>
      <c r="D469" s="8">
        <v>45946</v>
      </c>
      <c r="E469" s="8">
        <v>45949</v>
      </c>
      <c r="F469" s="8">
        <v>45953</v>
      </c>
      <c r="G469" s="8">
        <v>45958</v>
      </c>
      <c r="H469" t="s">
        <v>22</v>
      </c>
      <c r="J469" s="8">
        <v>45981</v>
      </c>
      <c r="K469">
        <v>3</v>
      </c>
      <c r="L469">
        <v>4</v>
      </c>
      <c r="M469">
        <v>5</v>
      </c>
      <c r="N469">
        <v>9</v>
      </c>
      <c r="O469">
        <v>1</v>
      </c>
      <c r="P469">
        <v>1</v>
      </c>
      <c r="Q469">
        <v>1</v>
      </c>
      <c r="R469">
        <v>1</v>
      </c>
      <c r="S469" t="s">
        <v>1058</v>
      </c>
    </row>
    <row r="470" spans="1:19">
      <c r="A470" t="s">
        <v>768</v>
      </c>
      <c r="B470" t="s">
        <v>37</v>
      </c>
      <c r="C470" t="s">
        <v>35</v>
      </c>
      <c r="D470" s="8">
        <v>45941</v>
      </c>
      <c r="E470" s="8">
        <v>45943</v>
      </c>
      <c r="F470" s="8">
        <v>45945</v>
      </c>
      <c r="G470" s="8">
        <v>45947</v>
      </c>
      <c r="H470" t="s">
        <v>22</v>
      </c>
      <c r="J470" s="8">
        <v>45969</v>
      </c>
      <c r="K470">
        <v>2</v>
      </c>
      <c r="L470">
        <v>2</v>
      </c>
      <c r="M470">
        <v>2</v>
      </c>
      <c r="N470">
        <v>9</v>
      </c>
      <c r="O470">
        <v>1</v>
      </c>
      <c r="P470">
        <v>1</v>
      </c>
      <c r="Q470">
        <v>1</v>
      </c>
      <c r="R470">
        <v>1</v>
      </c>
      <c r="S470" t="s">
        <v>1058</v>
      </c>
    </row>
    <row r="471" spans="1:19">
      <c r="A471" t="s">
        <v>808</v>
      </c>
      <c r="B471" t="s">
        <v>37</v>
      </c>
      <c r="C471" t="s">
        <v>35</v>
      </c>
      <c r="D471" s="8">
        <v>45952</v>
      </c>
      <c r="E471" s="8">
        <v>45954</v>
      </c>
      <c r="F471" s="8">
        <v>45959</v>
      </c>
      <c r="G471" s="8">
        <v>45964</v>
      </c>
      <c r="H471" t="s">
        <v>22</v>
      </c>
      <c r="J471" s="8">
        <v>45990</v>
      </c>
      <c r="K471">
        <v>2</v>
      </c>
      <c r="L471">
        <v>5</v>
      </c>
      <c r="M471">
        <v>5</v>
      </c>
      <c r="N471">
        <v>10</v>
      </c>
      <c r="O471">
        <v>1</v>
      </c>
      <c r="P471">
        <v>1</v>
      </c>
      <c r="Q471">
        <v>1</v>
      </c>
      <c r="R471">
        <v>1</v>
      </c>
      <c r="S471" t="s">
        <v>1058</v>
      </c>
    </row>
    <row r="472" spans="1:19">
      <c r="A472" t="s">
        <v>816</v>
      </c>
      <c r="B472" t="s">
        <v>37</v>
      </c>
      <c r="C472" t="s">
        <v>21</v>
      </c>
      <c r="D472" s="8">
        <v>45941</v>
      </c>
      <c r="E472" s="8">
        <v>45946</v>
      </c>
      <c r="F472" s="8">
        <v>45951</v>
      </c>
      <c r="G472" s="8">
        <v>45957</v>
      </c>
      <c r="H472" t="s">
        <v>22</v>
      </c>
      <c r="J472" s="8">
        <v>45977</v>
      </c>
      <c r="K472">
        <v>5</v>
      </c>
      <c r="L472">
        <v>5</v>
      </c>
      <c r="M472">
        <v>6</v>
      </c>
      <c r="N472">
        <v>9</v>
      </c>
      <c r="O472">
        <v>1</v>
      </c>
      <c r="P472">
        <v>1</v>
      </c>
      <c r="Q472">
        <v>1</v>
      </c>
      <c r="R472">
        <v>1</v>
      </c>
      <c r="S472" t="s">
        <v>1058</v>
      </c>
    </row>
    <row r="473" spans="1:19">
      <c r="A473" t="s">
        <v>864</v>
      </c>
      <c r="B473" t="s">
        <v>37</v>
      </c>
      <c r="C473" t="s">
        <v>35</v>
      </c>
      <c r="D473" s="8">
        <v>45944</v>
      </c>
      <c r="E473" s="8">
        <v>45946</v>
      </c>
      <c r="F473" s="8">
        <v>45951</v>
      </c>
      <c r="G473" s="8">
        <v>45958</v>
      </c>
      <c r="H473" t="s">
        <v>22</v>
      </c>
      <c r="J473" s="8">
        <v>45971</v>
      </c>
      <c r="K473">
        <v>2</v>
      </c>
      <c r="L473">
        <v>5</v>
      </c>
      <c r="M473">
        <v>7</v>
      </c>
      <c r="N473">
        <v>9</v>
      </c>
      <c r="O473">
        <v>1</v>
      </c>
      <c r="P473">
        <v>1</v>
      </c>
      <c r="Q473">
        <v>1</v>
      </c>
      <c r="R473">
        <v>1</v>
      </c>
      <c r="S473" t="s">
        <v>1058</v>
      </c>
    </row>
    <row r="474" spans="1:19">
      <c r="A474" t="s">
        <v>900</v>
      </c>
      <c r="B474" t="s">
        <v>37</v>
      </c>
      <c r="C474" t="s">
        <v>35</v>
      </c>
      <c r="D474" s="8">
        <v>45950</v>
      </c>
      <c r="E474" s="8">
        <v>45955</v>
      </c>
      <c r="F474" s="8">
        <v>45958</v>
      </c>
      <c r="G474" s="8">
        <v>45960</v>
      </c>
      <c r="H474" t="s">
        <v>22</v>
      </c>
      <c r="J474" s="8">
        <v>45973</v>
      </c>
      <c r="K474">
        <v>5</v>
      </c>
      <c r="L474">
        <v>3</v>
      </c>
      <c r="M474">
        <v>2</v>
      </c>
      <c r="N474">
        <v>9</v>
      </c>
      <c r="O474">
        <v>1</v>
      </c>
      <c r="P474">
        <v>1</v>
      </c>
      <c r="Q474">
        <v>1</v>
      </c>
      <c r="R474">
        <v>1</v>
      </c>
      <c r="S474" t="s">
        <v>1058</v>
      </c>
    </row>
    <row r="475" spans="1:19">
      <c r="A475" t="s">
        <v>932</v>
      </c>
      <c r="B475" t="s">
        <v>37</v>
      </c>
      <c r="C475" t="s">
        <v>35</v>
      </c>
      <c r="D475" s="8">
        <v>45939</v>
      </c>
      <c r="E475" s="8">
        <v>45943</v>
      </c>
      <c r="F475" s="8">
        <v>45945</v>
      </c>
      <c r="G475" s="8">
        <v>45948</v>
      </c>
      <c r="H475" t="s">
        <v>22</v>
      </c>
      <c r="J475" s="8">
        <v>45976</v>
      </c>
      <c r="K475">
        <v>4</v>
      </c>
      <c r="L475">
        <v>2</v>
      </c>
      <c r="M475">
        <v>3</v>
      </c>
      <c r="N475">
        <v>9</v>
      </c>
      <c r="O475">
        <v>1</v>
      </c>
      <c r="P475">
        <v>1</v>
      </c>
      <c r="Q475">
        <v>1</v>
      </c>
      <c r="R475">
        <v>1</v>
      </c>
      <c r="S475" t="s">
        <v>1058</v>
      </c>
    </row>
    <row r="476" spans="1:19">
      <c r="A476" t="s">
        <v>936</v>
      </c>
      <c r="B476" t="s">
        <v>37</v>
      </c>
      <c r="C476" t="s">
        <v>21</v>
      </c>
      <c r="D476" s="8">
        <v>45952</v>
      </c>
      <c r="E476" s="8">
        <v>45955</v>
      </c>
      <c r="F476" s="8">
        <v>45959</v>
      </c>
      <c r="G476" s="8">
        <v>45964</v>
      </c>
      <c r="H476" t="s">
        <v>22</v>
      </c>
      <c r="J476" s="8">
        <v>45990</v>
      </c>
      <c r="K476">
        <v>3</v>
      </c>
      <c r="L476">
        <v>4</v>
      </c>
      <c r="M476">
        <v>5</v>
      </c>
      <c r="N476">
        <v>9</v>
      </c>
      <c r="O476">
        <v>1</v>
      </c>
      <c r="P476">
        <v>1</v>
      </c>
      <c r="Q476">
        <v>1</v>
      </c>
      <c r="R476">
        <v>1</v>
      </c>
      <c r="S476" t="s">
        <v>1058</v>
      </c>
    </row>
    <row r="477" spans="1:19">
      <c r="A477" t="s">
        <v>967</v>
      </c>
      <c r="B477" t="s">
        <v>37</v>
      </c>
      <c r="C477" t="s">
        <v>35</v>
      </c>
      <c r="D477" s="8">
        <v>45938</v>
      </c>
      <c r="E477" s="8">
        <v>45939</v>
      </c>
      <c r="F477" s="8">
        <v>45944</v>
      </c>
      <c r="G477" s="8">
        <v>45949</v>
      </c>
      <c r="H477" t="s">
        <v>22</v>
      </c>
      <c r="J477" s="8">
        <v>45973</v>
      </c>
      <c r="K477">
        <v>1</v>
      </c>
      <c r="L477">
        <v>5</v>
      </c>
      <c r="M477">
        <v>5</v>
      </c>
      <c r="N477">
        <v>9</v>
      </c>
      <c r="O477">
        <v>1</v>
      </c>
      <c r="P477">
        <v>1</v>
      </c>
      <c r="Q477">
        <v>1</v>
      </c>
      <c r="R477">
        <v>1</v>
      </c>
      <c r="S477" t="s">
        <v>1058</v>
      </c>
    </row>
    <row r="478" spans="1:19">
      <c r="A478" t="s">
        <v>1003</v>
      </c>
      <c r="B478" t="s">
        <v>37</v>
      </c>
      <c r="C478" t="s">
        <v>35</v>
      </c>
      <c r="D478" s="8">
        <v>45951</v>
      </c>
      <c r="E478" s="8">
        <v>45952</v>
      </c>
      <c r="F478" s="8">
        <v>45955</v>
      </c>
      <c r="G478" s="8">
        <v>45962</v>
      </c>
      <c r="H478" t="s">
        <v>22</v>
      </c>
      <c r="J478" s="8">
        <v>45984</v>
      </c>
      <c r="K478">
        <v>1</v>
      </c>
      <c r="L478">
        <v>3</v>
      </c>
      <c r="M478">
        <v>7</v>
      </c>
      <c r="N478">
        <v>10</v>
      </c>
      <c r="O478">
        <v>1</v>
      </c>
      <c r="P478">
        <v>1</v>
      </c>
      <c r="Q478">
        <v>1</v>
      </c>
      <c r="R478">
        <v>1</v>
      </c>
      <c r="S478" t="s">
        <v>1058</v>
      </c>
    </row>
    <row r="479" spans="1:19">
      <c r="A479" t="s">
        <v>45</v>
      </c>
      <c r="B479" t="s">
        <v>24</v>
      </c>
      <c r="C479" t="s">
        <v>35</v>
      </c>
      <c r="D479" s="8">
        <v>45945</v>
      </c>
      <c r="E479" s="8">
        <v>45947</v>
      </c>
      <c r="F479" s="8">
        <v>45948</v>
      </c>
      <c r="G479" s="8">
        <v>45951</v>
      </c>
      <c r="H479" t="s">
        <v>28</v>
      </c>
      <c r="I479" t="s">
        <v>38</v>
      </c>
      <c r="K479">
        <v>2</v>
      </c>
      <c r="L479">
        <v>1</v>
      </c>
      <c r="M479">
        <v>3</v>
      </c>
      <c r="O479">
        <v>1</v>
      </c>
      <c r="P479">
        <v>1</v>
      </c>
      <c r="Q479">
        <v>1</v>
      </c>
      <c r="R479">
        <v>0</v>
      </c>
      <c r="S479" t="s">
        <v>1055</v>
      </c>
    </row>
    <row r="480" spans="1:19">
      <c r="A480" t="s">
        <v>71</v>
      </c>
      <c r="B480" t="s">
        <v>24</v>
      </c>
      <c r="C480" t="s">
        <v>21</v>
      </c>
      <c r="D480" s="8">
        <v>45957</v>
      </c>
      <c r="E480" s="8">
        <v>45960</v>
      </c>
      <c r="F480" s="8">
        <v>45964</v>
      </c>
      <c r="G480" s="8">
        <v>45969</v>
      </c>
      <c r="H480" t="s">
        <v>28</v>
      </c>
      <c r="I480" t="s">
        <v>29</v>
      </c>
      <c r="K480">
        <v>3</v>
      </c>
      <c r="L480">
        <v>4</v>
      </c>
      <c r="M480">
        <v>5</v>
      </c>
      <c r="O480">
        <v>1</v>
      </c>
      <c r="P480">
        <v>1</v>
      </c>
      <c r="Q480">
        <v>1</v>
      </c>
      <c r="R480">
        <v>0</v>
      </c>
      <c r="S480" t="s">
        <v>1055</v>
      </c>
    </row>
    <row r="481" spans="1:19">
      <c r="A481" t="s">
        <v>79</v>
      </c>
      <c r="B481" t="s">
        <v>24</v>
      </c>
      <c r="C481" t="s">
        <v>27</v>
      </c>
      <c r="D481" s="8">
        <v>45945</v>
      </c>
      <c r="H481" t="s">
        <v>28</v>
      </c>
      <c r="I481" t="s">
        <v>31</v>
      </c>
      <c r="O481">
        <v>1</v>
      </c>
      <c r="P481">
        <v>0</v>
      </c>
      <c r="Q481">
        <v>0</v>
      </c>
      <c r="R481">
        <v>0</v>
      </c>
      <c r="S481" t="s">
        <v>1055</v>
      </c>
    </row>
    <row r="482" spans="1:19">
      <c r="A482" t="s">
        <v>105</v>
      </c>
      <c r="B482" t="s">
        <v>24</v>
      </c>
      <c r="C482" t="s">
        <v>27</v>
      </c>
      <c r="D482" s="8">
        <v>45961</v>
      </c>
      <c r="H482" t="s">
        <v>28</v>
      </c>
      <c r="I482" t="s">
        <v>106</v>
      </c>
      <c r="O482">
        <v>1</v>
      </c>
      <c r="P482">
        <v>0</v>
      </c>
      <c r="Q482">
        <v>0</v>
      </c>
      <c r="R482">
        <v>0</v>
      </c>
      <c r="S482" t="s">
        <v>1055</v>
      </c>
    </row>
    <row r="483" spans="1:19">
      <c r="A483" t="s">
        <v>111</v>
      </c>
      <c r="B483" t="s">
        <v>24</v>
      </c>
      <c r="C483" t="s">
        <v>27</v>
      </c>
      <c r="D483" s="8">
        <v>45944</v>
      </c>
      <c r="H483" t="s">
        <v>28</v>
      </c>
      <c r="I483" t="s">
        <v>68</v>
      </c>
      <c r="O483">
        <v>1</v>
      </c>
      <c r="P483">
        <v>0</v>
      </c>
      <c r="Q483">
        <v>0</v>
      </c>
      <c r="R483">
        <v>0</v>
      </c>
      <c r="S483" t="s">
        <v>1055</v>
      </c>
    </row>
    <row r="484" spans="1:19">
      <c r="A484" t="s">
        <v>118</v>
      </c>
      <c r="B484" t="s">
        <v>24</v>
      </c>
      <c r="C484" t="s">
        <v>27</v>
      </c>
      <c r="D484" s="8">
        <v>45951</v>
      </c>
      <c r="H484" t="s">
        <v>28</v>
      </c>
      <c r="I484" t="s">
        <v>31</v>
      </c>
      <c r="O484">
        <v>1</v>
      </c>
      <c r="P484">
        <v>0</v>
      </c>
      <c r="Q484">
        <v>0</v>
      </c>
      <c r="R484">
        <v>0</v>
      </c>
      <c r="S484" t="s">
        <v>1055</v>
      </c>
    </row>
    <row r="485" spans="1:19">
      <c r="A485" t="s">
        <v>120</v>
      </c>
      <c r="B485" t="s">
        <v>24</v>
      </c>
      <c r="C485" t="s">
        <v>27</v>
      </c>
      <c r="D485" s="8">
        <v>45946</v>
      </c>
      <c r="H485" t="s">
        <v>28</v>
      </c>
      <c r="I485" t="s">
        <v>38</v>
      </c>
      <c r="O485">
        <v>1</v>
      </c>
      <c r="P485">
        <v>0</v>
      </c>
      <c r="Q485">
        <v>0</v>
      </c>
      <c r="R485">
        <v>0</v>
      </c>
      <c r="S485" t="s">
        <v>1055</v>
      </c>
    </row>
    <row r="486" spans="1:19">
      <c r="A486" t="s">
        <v>126</v>
      </c>
      <c r="B486" t="s">
        <v>24</v>
      </c>
      <c r="C486" t="s">
        <v>27</v>
      </c>
      <c r="D486" s="8">
        <v>45938</v>
      </c>
      <c r="H486" t="s">
        <v>28</v>
      </c>
      <c r="I486" t="s">
        <v>68</v>
      </c>
      <c r="O486">
        <v>1</v>
      </c>
      <c r="P486">
        <v>0</v>
      </c>
      <c r="Q486">
        <v>0</v>
      </c>
      <c r="R486">
        <v>0</v>
      </c>
      <c r="S486" t="s">
        <v>1055</v>
      </c>
    </row>
    <row r="487" spans="1:19">
      <c r="A487" t="s">
        <v>129</v>
      </c>
      <c r="B487" t="s">
        <v>24</v>
      </c>
      <c r="C487" t="s">
        <v>35</v>
      </c>
      <c r="D487" s="8">
        <v>45938</v>
      </c>
      <c r="E487" s="8">
        <v>45942</v>
      </c>
      <c r="F487" s="8">
        <v>45945</v>
      </c>
      <c r="G487" s="8">
        <v>45952</v>
      </c>
      <c r="H487" t="s">
        <v>28</v>
      </c>
      <c r="I487" t="s">
        <v>68</v>
      </c>
      <c r="K487">
        <v>4</v>
      </c>
      <c r="L487">
        <v>3</v>
      </c>
      <c r="M487">
        <v>7</v>
      </c>
      <c r="O487">
        <v>1</v>
      </c>
      <c r="P487">
        <v>1</v>
      </c>
      <c r="Q487">
        <v>1</v>
      </c>
      <c r="R487">
        <v>0</v>
      </c>
      <c r="S487" t="s">
        <v>1055</v>
      </c>
    </row>
    <row r="488" spans="1:19">
      <c r="A488" t="s">
        <v>142</v>
      </c>
      <c r="B488" t="s">
        <v>24</v>
      </c>
      <c r="C488" t="s">
        <v>27</v>
      </c>
      <c r="D488" s="8">
        <v>45942</v>
      </c>
      <c r="H488" t="s">
        <v>28</v>
      </c>
      <c r="I488" t="s">
        <v>106</v>
      </c>
      <c r="O488">
        <v>1</v>
      </c>
      <c r="P488">
        <v>0</v>
      </c>
      <c r="Q488">
        <v>0</v>
      </c>
      <c r="R488">
        <v>0</v>
      </c>
      <c r="S488" t="s">
        <v>1055</v>
      </c>
    </row>
    <row r="489" spans="1:19">
      <c r="A489" t="s">
        <v>149</v>
      </c>
      <c r="B489" t="s">
        <v>24</v>
      </c>
      <c r="C489" t="s">
        <v>27</v>
      </c>
      <c r="D489" s="8">
        <v>45934</v>
      </c>
      <c r="H489" t="s">
        <v>28</v>
      </c>
      <c r="I489" t="s">
        <v>38</v>
      </c>
      <c r="O489">
        <v>1</v>
      </c>
      <c r="P489">
        <v>0</v>
      </c>
      <c r="Q489">
        <v>0</v>
      </c>
      <c r="R489">
        <v>0</v>
      </c>
      <c r="S489" t="s">
        <v>1055</v>
      </c>
    </row>
    <row r="490" spans="1:19">
      <c r="A490" t="s">
        <v>152</v>
      </c>
      <c r="B490" t="s">
        <v>24</v>
      </c>
      <c r="C490" t="s">
        <v>27</v>
      </c>
      <c r="D490" s="8">
        <v>45941</v>
      </c>
      <c r="H490" t="s">
        <v>28</v>
      </c>
      <c r="I490" t="s">
        <v>29</v>
      </c>
      <c r="O490">
        <v>1</v>
      </c>
      <c r="P490">
        <v>0</v>
      </c>
      <c r="Q490">
        <v>0</v>
      </c>
      <c r="R490">
        <v>0</v>
      </c>
      <c r="S490" t="s">
        <v>1055</v>
      </c>
    </row>
    <row r="491" spans="1:19">
      <c r="A491" t="s">
        <v>162</v>
      </c>
      <c r="B491" t="s">
        <v>24</v>
      </c>
      <c r="C491" t="s">
        <v>27</v>
      </c>
      <c r="D491" s="8">
        <v>45954</v>
      </c>
      <c r="H491" t="s">
        <v>28</v>
      </c>
      <c r="I491" t="s">
        <v>68</v>
      </c>
      <c r="O491">
        <v>1</v>
      </c>
      <c r="P491">
        <v>0</v>
      </c>
      <c r="Q491">
        <v>0</v>
      </c>
      <c r="R491">
        <v>0</v>
      </c>
      <c r="S491" t="s">
        <v>1055</v>
      </c>
    </row>
    <row r="492" spans="1:19">
      <c r="A492" t="s">
        <v>167</v>
      </c>
      <c r="B492" t="s">
        <v>24</v>
      </c>
      <c r="C492" t="s">
        <v>27</v>
      </c>
      <c r="D492" s="8">
        <v>45955</v>
      </c>
      <c r="H492" t="s">
        <v>28</v>
      </c>
      <c r="I492" t="s">
        <v>31</v>
      </c>
      <c r="O492">
        <v>1</v>
      </c>
      <c r="P492">
        <v>0</v>
      </c>
      <c r="Q492">
        <v>0</v>
      </c>
      <c r="R492">
        <v>0</v>
      </c>
      <c r="S492" t="s">
        <v>1055</v>
      </c>
    </row>
    <row r="493" spans="1:19">
      <c r="A493" t="s">
        <v>184</v>
      </c>
      <c r="B493" t="s">
        <v>24</v>
      </c>
      <c r="C493" t="s">
        <v>27</v>
      </c>
      <c r="D493" s="8">
        <v>45932</v>
      </c>
      <c r="H493" t="s">
        <v>28</v>
      </c>
      <c r="I493" t="s">
        <v>29</v>
      </c>
      <c r="O493">
        <v>1</v>
      </c>
      <c r="P493">
        <v>0</v>
      </c>
      <c r="Q493">
        <v>0</v>
      </c>
      <c r="R493">
        <v>0</v>
      </c>
      <c r="S493" t="s">
        <v>1055</v>
      </c>
    </row>
    <row r="494" spans="1:19">
      <c r="A494" t="s">
        <v>185</v>
      </c>
      <c r="B494" t="s">
        <v>24</v>
      </c>
      <c r="C494" t="s">
        <v>27</v>
      </c>
      <c r="D494" s="8">
        <v>45932</v>
      </c>
      <c r="H494" t="s">
        <v>28</v>
      </c>
      <c r="I494" t="s">
        <v>38</v>
      </c>
      <c r="O494">
        <v>1</v>
      </c>
      <c r="P494">
        <v>0</v>
      </c>
      <c r="Q494">
        <v>0</v>
      </c>
      <c r="R494">
        <v>0</v>
      </c>
      <c r="S494" t="s">
        <v>1055</v>
      </c>
    </row>
    <row r="495" spans="1:19">
      <c r="A495" t="s">
        <v>187</v>
      </c>
      <c r="B495" t="s">
        <v>24</v>
      </c>
      <c r="C495" t="s">
        <v>27</v>
      </c>
      <c r="D495" s="8">
        <v>45940</v>
      </c>
      <c r="H495" t="s">
        <v>28</v>
      </c>
      <c r="I495" t="s">
        <v>29</v>
      </c>
      <c r="O495">
        <v>1</v>
      </c>
      <c r="P495">
        <v>0</v>
      </c>
      <c r="Q495">
        <v>0</v>
      </c>
      <c r="R495">
        <v>0</v>
      </c>
      <c r="S495" t="s">
        <v>1055</v>
      </c>
    </row>
    <row r="496" spans="1:19">
      <c r="A496" t="s">
        <v>189</v>
      </c>
      <c r="B496" t="s">
        <v>24</v>
      </c>
      <c r="C496" t="s">
        <v>27</v>
      </c>
      <c r="D496" s="8">
        <v>45961</v>
      </c>
      <c r="H496" t="s">
        <v>28</v>
      </c>
      <c r="I496" t="s">
        <v>68</v>
      </c>
      <c r="O496">
        <v>1</v>
      </c>
      <c r="P496">
        <v>0</v>
      </c>
      <c r="Q496">
        <v>0</v>
      </c>
      <c r="R496">
        <v>0</v>
      </c>
      <c r="S496" t="s">
        <v>1055</v>
      </c>
    </row>
    <row r="497" spans="1:19">
      <c r="A497" t="s">
        <v>223</v>
      </c>
      <c r="B497" t="s">
        <v>24</v>
      </c>
      <c r="C497" t="s">
        <v>27</v>
      </c>
      <c r="D497" s="8">
        <v>45956</v>
      </c>
      <c r="H497" t="s">
        <v>28</v>
      </c>
      <c r="I497" t="s">
        <v>29</v>
      </c>
      <c r="O497">
        <v>1</v>
      </c>
      <c r="P497">
        <v>0</v>
      </c>
      <c r="Q497">
        <v>0</v>
      </c>
      <c r="R497">
        <v>0</v>
      </c>
      <c r="S497" t="s">
        <v>1055</v>
      </c>
    </row>
    <row r="498" spans="1:19">
      <c r="A498" t="s">
        <v>225</v>
      </c>
      <c r="B498" t="s">
        <v>24</v>
      </c>
      <c r="C498" t="s">
        <v>21</v>
      </c>
      <c r="D498" s="8">
        <v>45961</v>
      </c>
      <c r="E498" s="8">
        <v>45965</v>
      </c>
      <c r="F498" s="8">
        <v>45970</v>
      </c>
      <c r="G498" s="8">
        <v>45972</v>
      </c>
      <c r="H498" t="s">
        <v>28</v>
      </c>
      <c r="I498" t="s">
        <v>38</v>
      </c>
      <c r="K498">
        <v>4</v>
      </c>
      <c r="L498">
        <v>5</v>
      </c>
      <c r="M498">
        <v>2</v>
      </c>
      <c r="O498">
        <v>1</v>
      </c>
      <c r="P498">
        <v>1</v>
      </c>
      <c r="Q498">
        <v>1</v>
      </c>
      <c r="R498">
        <v>0</v>
      </c>
      <c r="S498" t="s">
        <v>1055</v>
      </c>
    </row>
    <row r="499" spans="1:19">
      <c r="A499" t="s">
        <v>239</v>
      </c>
      <c r="B499" t="s">
        <v>24</v>
      </c>
      <c r="C499" t="s">
        <v>27</v>
      </c>
      <c r="D499" s="8">
        <v>45947</v>
      </c>
      <c r="H499" t="s">
        <v>28</v>
      </c>
      <c r="I499" t="s">
        <v>68</v>
      </c>
      <c r="O499">
        <v>1</v>
      </c>
      <c r="P499">
        <v>0</v>
      </c>
      <c r="Q499">
        <v>0</v>
      </c>
      <c r="R499">
        <v>0</v>
      </c>
      <c r="S499" t="s">
        <v>1055</v>
      </c>
    </row>
    <row r="500" spans="1:19">
      <c r="A500" t="s">
        <v>243</v>
      </c>
      <c r="B500" t="s">
        <v>24</v>
      </c>
      <c r="C500" t="s">
        <v>27</v>
      </c>
      <c r="D500" s="8">
        <v>45945</v>
      </c>
      <c r="H500" t="s">
        <v>28</v>
      </c>
      <c r="I500" t="s">
        <v>106</v>
      </c>
      <c r="O500">
        <v>1</v>
      </c>
      <c r="P500">
        <v>0</v>
      </c>
      <c r="Q500">
        <v>0</v>
      </c>
      <c r="R500">
        <v>0</v>
      </c>
      <c r="S500" t="s">
        <v>1055</v>
      </c>
    </row>
    <row r="501" spans="1:19">
      <c r="A501" t="s">
        <v>247</v>
      </c>
      <c r="B501" t="s">
        <v>24</v>
      </c>
      <c r="C501" t="s">
        <v>27</v>
      </c>
      <c r="D501" s="8">
        <v>45944</v>
      </c>
      <c r="H501" t="s">
        <v>28</v>
      </c>
      <c r="I501" t="s">
        <v>31</v>
      </c>
      <c r="O501">
        <v>1</v>
      </c>
      <c r="P501">
        <v>0</v>
      </c>
      <c r="Q501">
        <v>0</v>
      </c>
      <c r="R501">
        <v>0</v>
      </c>
      <c r="S501" t="s">
        <v>1055</v>
      </c>
    </row>
    <row r="502" spans="1:19">
      <c r="A502" t="s">
        <v>250</v>
      </c>
      <c r="B502" t="s">
        <v>24</v>
      </c>
      <c r="C502" t="s">
        <v>21</v>
      </c>
      <c r="D502" s="8">
        <v>45950</v>
      </c>
      <c r="E502" s="8">
        <v>45954</v>
      </c>
      <c r="F502" s="8">
        <v>45959</v>
      </c>
      <c r="G502" s="8">
        <v>45962</v>
      </c>
      <c r="H502" t="s">
        <v>28</v>
      </c>
      <c r="I502" t="s">
        <v>106</v>
      </c>
      <c r="K502">
        <v>4</v>
      </c>
      <c r="L502">
        <v>5</v>
      </c>
      <c r="M502">
        <v>3</v>
      </c>
      <c r="O502">
        <v>1</v>
      </c>
      <c r="P502">
        <v>1</v>
      </c>
      <c r="Q502">
        <v>1</v>
      </c>
      <c r="R502">
        <v>0</v>
      </c>
      <c r="S502" t="s">
        <v>1055</v>
      </c>
    </row>
    <row r="503" spans="1:19">
      <c r="A503" t="s">
        <v>275</v>
      </c>
      <c r="B503" t="s">
        <v>24</v>
      </c>
      <c r="C503" t="s">
        <v>27</v>
      </c>
      <c r="D503" s="8">
        <v>45946</v>
      </c>
      <c r="H503" t="s">
        <v>28</v>
      </c>
      <c r="I503" t="s">
        <v>29</v>
      </c>
      <c r="O503">
        <v>1</v>
      </c>
      <c r="P503">
        <v>0</v>
      </c>
      <c r="Q503">
        <v>0</v>
      </c>
      <c r="R503">
        <v>0</v>
      </c>
      <c r="S503" t="s">
        <v>1055</v>
      </c>
    </row>
    <row r="504" spans="1:19">
      <c r="A504" t="s">
        <v>278</v>
      </c>
      <c r="B504" t="s">
        <v>24</v>
      </c>
      <c r="C504" t="s">
        <v>21</v>
      </c>
      <c r="D504" s="8">
        <v>45938</v>
      </c>
      <c r="E504" s="8">
        <v>45940</v>
      </c>
      <c r="F504" s="8">
        <v>45943</v>
      </c>
      <c r="G504" s="8">
        <v>45950</v>
      </c>
      <c r="H504" t="s">
        <v>28</v>
      </c>
      <c r="I504" t="s">
        <v>38</v>
      </c>
      <c r="K504">
        <v>2</v>
      </c>
      <c r="L504">
        <v>3</v>
      </c>
      <c r="M504">
        <v>7</v>
      </c>
      <c r="O504">
        <v>1</v>
      </c>
      <c r="P504">
        <v>1</v>
      </c>
      <c r="Q504">
        <v>1</v>
      </c>
      <c r="R504">
        <v>0</v>
      </c>
      <c r="S504" t="s">
        <v>1055</v>
      </c>
    </row>
    <row r="505" spans="1:19">
      <c r="A505" t="s">
        <v>291</v>
      </c>
      <c r="B505" t="s">
        <v>24</v>
      </c>
      <c r="C505" t="s">
        <v>35</v>
      </c>
      <c r="D505" s="8">
        <v>45956</v>
      </c>
      <c r="E505" s="8">
        <v>45961</v>
      </c>
      <c r="F505" s="8">
        <v>45963</v>
      </c>
      <c r="G505" s="8">
        <v>45966</v>
      </c>
      <c r="H505" t="s">
        <v>28</v>
      </c>
      <c r="I505" t="s">
        <v>68</v>
      </c>
      <c r="K505">
        <v>5</v>
      </c>
      <c r="L505">
        <v>2</v>
      </c>
      <c r="M505">
        <v>3</v>
      </c>
      <c r="O505">
        <v>1</v>
      </c>
      <c r="P505">
        <v>1</v>
      </c>
      <c r="Q505">
        <v>1</v>
      </c>
      <c r="R505">
        <v>0</v>
      </c>
      <c r="S505" t="s">
        <v>1055</v>
      </c>
    </row>
    <row r="506" spans="1:19">
      <c r="A506" t="s">
        <v>321</v>
      </c>
      <c r="B506" t="s">
        <v>24</v>
      </c>
      <c r="C506" t="s">
        <v>21</v>
      </c>
      <c r="D506" s="8">
        <v>45945</v>
      </c>
      <c r="E506" s="8">
        <v>45946</v>
      </c>
      <c r="F506" s="8">
        <v>45947</v>
      </c>
      <c r="G506" s="8">
        <v>45949</v>
      </c>
      <c r="H506" t="s">
        <v>28</v>
      </c>
      <c r="I506" t="s">
        <v>38</v>
      </c>
      <c r="K506">
        <v>1</v>
      </c>
      <c r="L506">
        <v>1</v>
      </c>
      <c r="M506">
        <v>2</v>
      </c>
      <c r="O506">
        <v>1</v>
      </c>
      <c r="P506">
        <v>1</v>
      </c>
      <c r="Q506">
        <v>1</v>
      </c>
      <c r="R506">
        <v>0</v>
      </c>
      <c r="S506" t="s">
        <v>1055</v>
      </c>
    </row>
    <row r="507" spans="1:19">
      <c r="A507" t="s">
        <v>325</v>
      </c>
      <c r="B507" t="s">
        <v>24</v>
      </c>
      <c r="C507" t="s">
        <v>27</v>
      </c>
      <c r="D507" s="8">
        <v>45943</v>
      </c>
      <c r="H507" t="s">
        <v>28</v>
      </c>
      <c r="I507" t="s">
        <v>29</v>
      </c>
      <c r="O507">
        <v>1</v>
      </c>
      <c r="P507">
        <v>0</v>
      </c>
      <c r="Q507">
        <v>0</v>
      </c>
      <c r="R507">
        <v>0</v>
      </c>
      <c r="S507" t="s">
        <v>1055</v>
      </c>
    </row>
    <row r="508" spans="1:19">
      <c r="A508" t="s">
        <v>333</v>
      </c>
      <c r="B508" t="s">
        <v>24</v>
      </c>
      <c r="C508" t="s">
        <v>27</v>
      </c>
      <c r="D508" s="8">
        <v>45950</v>
      </c>
      <c r="H508" t="s">
        <v>28</v>
      </c>
      <c r="I508" t="s">
        <v>106</v>
      </c>
      <c r="O508">
        <v>1</v>
      </c>
      <c r="P508">
        <v>0</v>
      </c>
      <c r="Q508">
        <v>0</v>
      </c>
      <c r="R508">
        <v>0</v>
      </c>
      <c r="S508" t="s">
        <v>1055</v>
      </c>
    </row>
    <row r="509" spans="1:19">
      <c r="A509" t="s">
        <v>350</v>
      </c>
      <c r="B509" t="s">
        <v>24</v>
      </c>
      <c r="C509" t="s">
        <v>21</v>
      </c>
      <c r="D509" s="8">
        <v>45961</v>
      </c>
      <c r="E509" s="8">
        <v>45962</v>
      </c>
      <c r="F509" s="8">
        <v>45967</v>
      </c>
      <c r="G509" s="8">
        <v>45974</v>
      </c>
      <c r="H509" t="s">
        <v>28</v>
      </c>
      <c r="I509" t="s">
        <v>68</v>
      </c>
      <c r="K509">
        <v>1</v>
      </c>
      <c r="L509">
        <v>5</v>
      </c>
      <c r="M509">
        <v>7</v>
      </c>
      <c r="O509">
        <v>1</v>
      </c>
      <c r="P509">
        <v>1</v>
      </c>
      <c r="Q509">
        <v>1</v>
      </c>
      <c r="R509">
        <v>0</v>
      </c>
      <c r="S509" t="s">
        <v>1055</v>
      </c>
    </row>
    <row r="510" spans="1:19">
      <c r="A510" t="s">
        <v>352</v>
      </c>
      <c r="B510" t="s">
        <v>24</v>
      </c>
      <c r="C510" t="s">
        <v>21</v>
      </c>
      <c r="D510" s="8">
        <v>45955</v>
      </c>
      <c r="E510" s="8">
        <v>45959</v>
      </c>
      <c r="F510" s="8">
        <v>45960</v>
      </c>
      <c r="G510" s="8">
        <v>45962</v>
      </c>
      <c r="H510" t="s">
        <v>28</v>
      </c>
      <c r="I510" t="s">
        <v>38</v>
      </c>
      <c r="K510">
        <v>4</v>
      </c>
      <c r="L510">
        <v>1</v>
      </c>
      <c r="M510">
        <v>2</v>
      </c>
      <c r="O510">
        <v>1</v>
      </c>
      <c r="P510">
        <v>1</v>
      </c>
      <c r="Q510">
        <v>1</v>
      </c>
      <c r="R510">
        <v>0</v>
      </c>
      <c r="S510" t="s">
        <v>1055</v>
      </c>
    </row>
    <row r="511" spans="1:19">
      <c r="A511" t="s">
        <v>357</v>
      </c>
      <c r="B511" t="s">
        <v>24</v>
      </c>
      <c r="C511" t="s">
        <v>35</v>
      </c>
      <c r="D511" s="8">
        <v>45932</v>
      </c>
      <c r="E511" s="8">
        <v>45937</v>
      </c>
      <c r="F511" s="8">
        <v>45941</v>
      </c>
      <c r="G511" s="8">
        <v>45943</v>
      </c>
      <c r="H511" t="s">
        <v>28</v>
      </c>
      <c r="I511" t="s">
        <v>29</v>
      </c>
      <c r="K511">
        <v>5</v>
      </c>
      <c r="L511">
        <v>4</v>
      </c>
      <c r="M511">
        <v>2</v>
      </c>
      <c r="O511">
        <v>1</v>
      </c>
      <c r="P511">
        <v>1</v>
      </c>
      <c r="Q511">
        <v>1</v>
      </c>
      <c r="R511">
        <v>0</v>
      </c>
      <c r="S511" t="s">
        <v>1055</v>
      </c>
    </row>
    <row r="512" spans="1:19">
      <c r="A512" t="s">
        <v>383</v>
      </c>
      <c r="B512" t="s">
        <v>24</v>
      </c>
      <c r="C512" t="s">
        <v>21</v>
      </c>
      <c r="D512" s="8">
        <v>45941</v>
      </c>
      <c r="E512" s="8">
        <v>45943</v>
      </c>
      <c r="F512" s="8">
        <v>45946</v>
      </c>
      <c r="G512" s="8">
        <v>45948</v>
      </c>
      <c r="H512" t="s">
        <v>28</v>
      </c>
      <c r="I512" t="s">
        <v>29</v>
      </c>
      <c r="K512">
        <v>2</v>
      </c>
      <c r="L512">
        <v>3</v>
      </c>
      <c r="M512">
        <v>2</v>
      </c>
      <c r="O512">
        <v>1</v>
      </c>
      <c r="P512">
        <v>1</v>
      </c>
      <c r="Q512">
        <v>1</v>
      </c>
      <c r="R512">
        <v>0</v>
      </c>
      <c r="S512" t="s">
        <v>1055</v>
      </c>
    </row>
    <row r="513" spans="1:19">
      <c r="A513" t="s">
        <v>391</v>
      </c>
      <c r="B513" t="s">
        <v>24</v>
      </c>
      <c r="C513" t="s">
        <v>27</v>
      </c>
      <c r="D513" s="8">
        <v>45957</v>
      </c>
      <c r="H513" t="s">
        <v>28</v>
      </c>
      <c r="I513" t="s">
        <v>29</v>
      </c>
      <c r="O513">
        <v>1</v>
      </c>
      <c r="P513">
        <v>0</v>
      </c>
      <c r="Q513">
        <v>0</v>
      </c>
      <c r="R513">
        <v>0</v>
      </c>
      <c r="S513" t="s">
        <v>1055</v>
      </c>
    </row>
    <row r="514" spans="1:19">
      <c r="A514" t="s">
        <v>400</v>
      </c>
      <c r="B514" t="s">
        <v>24</v>
      </c>
      <c r="C514" t="s">
        <v>35</v>
      </c>
      <c r="D514" s="8">
        <v>45934</v>
      </c>
      <c r="E514" s="8">
        <v>45939</v>
      </c>
      <c r="F514" s="8">
        <v>45941</v>
      </c>
      <c r="G514" s="8">
        <v>45943</v>
      </c>
      <c r="H514" t="s">
        <v>28</v>
      </c>
      <c r="I514" t="s">
        <v>31</v>
      </c>
      <c r="K514">
        <v>5</v>
      </c>
      <c r="L514">
        <v>2</v>
      </c>
      <c r="M514">
        <v>2</v>
      </c>
      <c r="O514">
        <v>1</v>
      </c>
      <c r="P514">
        <v>1</v>
      </c>
      <c r="Q514">
        <v>1</v>
      </c>
      <c r="R514">
        <v>0</v>
      </c>
      <c r="S514" t="s">
        <v>1055</v>
      </c>
    </row>
    <row r="515" spans="1:19">
      <c r="A515" t="s">
        <v>417</v>
      </c>
      <c r="B515" t="s">
        <v>24</v>
      </c>
      <c r="C515" t="s">
        <v>35</v>
      </c>
      <c r="D515" s="8">
        <v>45955</v>
      </c>
      <c r="E515" s="8">
        <v>45960</v>
      </c>
      <c r="F515" s="8">
        <v>45964</v>
      </c>
      <c r="G515" s="8">
        <v>45966</v>
      </c>
      <c r="H515" t="s">
        <v>28</v>
      </c>
      <c r="I515" t="s">
        <v>31</v>
      </c>
      <c r="K515">
        <v>5</v>
      </c>
      <c r="L515">
        <v>4</v>
      </c>
      <c r="M515">
        <v>2</v>
      </c>
      <c r="O515">
        <v>1</v>
      </c>
      <c r="P515">
        <v>1</v>
      </c>
      <c r="Q515">
        <v>1</v>
      </c>
      <c r="R515">
        <v>0</v>
      </c>
      <c r="S515" t="s">
        <v>1055</v>
      </c>
    </row>
    <row r="516" spans="1:19">
      <c r="A516" t="s">
        <v>426</v>
      </c>
      <c r="B516" t="s">
        <v>24</v>
      </c>
      <c r="C516" t="s">
        <v>27</v>
      </c>
      <c r="D516" s="8">
        <v>45935</v>
      </c>
      <c r="H516" t="s">
        <v>28</v>
      </c>
      <c r="I516" t="s">
        <v>29</v>
      </c>
      <c r="O516">
        <v>1</v>
      </c>
      <c r="P516">
        <v>0</v>
      </c>
      <c r="Q516">
        <v>0</v>
      </c>
      <c r="R516">
        <v>0</v>
      </c>
      <c r="S516" t="s">
        <v>1055</v>
      </c>
    </row>
    <row r="517" spans="1:19">
      <c r="A517" t="s">
        <v>436</v>
      </c>
      <c r="B517" t="s">
        <v>24</v>
      </c>
      <c r="C517" t="s">
        <v>27</v>
      </c>
      <c r="D517" s="8">
        <v>45950</v>
      </c>
      <c r="H517" t="s">
        <v>28</v>
      </c>
      <c r="I517" t="s">
        <v>38</v>
      </c>
      <c r="O517">
        <v>1</v>
      </c>
      <c r="P517">
        <v>0</v>
      </c>
      <c r="Q517">
        <v>0</v>
      </c>
      <c r="R517">
        <v>0</v>
      </c>
      <c r="S517" t="s">
        <v>1055</v>
      </c>
    </row>
    <row r="518" spans="1:19">
      <c r="A518" t="s">
        <v>447</v>
      </c>
      <c r="B518" t="s">
        <v>24</v>
      </c>
      <c r="C518" t="s">
        <v>35</v>
      </c>
      <c r="D518" s="8">
        <v>45938</v>
      </c>
      <c r="E518" s="8">
        <v>45941</v>
      </c>
      <c r="F518" s="8">
        <v>45942</v>
      </c>
      <c r="G518" s="8">
        <v>45945</v>
      </c>
      <c r="H518" t="s">
        <v>28</v>
      </c>
      <c r="I518" t="s">
        <v>106</v>
      </c>
      <c r="K518">
        <v>3</v>
      </c>
      <c r="L518">
        <v>1</v>
      </c>
      <c r="M518">
        <v>3</v>
      </c>
      <c r="O518">
        <v>1</v>
      </c>
      <c r="P518">
        <v>1</v>
      </c>
      <c r="Q518">
        <v>1</v>
      </c>
      <c r="R518">
        <v>0</v>
      </c>
      <c r="S518" t="s">
        <v>1055</v>
      </c>
    </row>
    <row r="519" spans="1:19">
      <c r="A519" t="s">
        <v>480</v>
      </c>
      <c r="B519" t="s">
        <v>24</v>
      </c>
      <c r="C519" t="s">
        <v>27</v>
      </c>
      <c r="D519" s="8">
        <v>45958</v>
      </c>
      <c r="H519" t="s">
        <v>28</v>
      </c>
      <c r="I519" t="s">
        <v>31</v>
      </c>
      <c r="O519">
        <v>1</v>
      </c>
      <c r="P519">
        <v>0</v>
      </c>
      <c r="Q519">
        <v>0</v>
      </c>
      <c r="R519">
        <v>0</v>
      </c>
      <c r="S519" t="s">
        <v>1055</v>
      </c>
    </row>
    <row r="520" spans="1:19">
      <c r="A520" t="s">
        <v>487</v>
      </c>
      <c r="B520" t="s">
        <v>24</v>
      </c>
      <c r="C520" t="s">
        <v>27</v>
      </c>
      <c r="D520" s="8">
        <v>45941</v>
      </c>
      <c r="H520" t="s">
        <v>28</v>
      </c>
      <c r="I520" t="s">
        <v>38</v>
      </c>
      <c r="O520">
        <v>1</v>
      </c>
      <c r="P520">
        <v>0</v>
      </c>
      <c r="Q520">
        <v>0</v>
      </c>
      <c r="R520">
        <v>0</v>
      </c>
      <c r="S520" t="s">
        <v>1055</v>
      </c>
    </row>
    <row r="521" spans="1:19">
      <c r="A521" t="s">
        <v>489</v>
      </c>
      <c r="B521" t="s">
        <v>24</v>
      </c>
      <c r="C521" t="s">
        <v>21</v>
      </c>
      <c r="D521" s="8">
        <v>45956</v>
      </c>
      <c r="E521" s="8">
        <v>45958</v>
      </c>
      <c r="F521" s="8">
        <v>45961</v>
      </c>
      <c r="G521" s="8">
        <v>45968</v>
      </c>
      <c r="H521" t="s">
        <v>28</v>
      </c>
      <c r="I521" t="s">
        <v>68</v>
      </c>
      <c r="K521">
        <v>2</v>
      </c>
      <c r="L521">
        <v>3</v>
      </c>
      <c r="M521">
        <v>7</v>
      </c>
      <c r="O521">
        <v>1</v>
      </c>
      <c r="P521">
        <v>1</v>
      </c>
      <c r="Q521">
        <v>1</v>
      </c>
      <c r="R521">
        <v>0</v>
      </c>
      <c r="S521" t="s">
        <v>1055</v>
      </c>
    </row>
    <row r="522" spans="1:19">
      <c r="A522" t="s">
        <v>493</v>
      </c>
      <c r="B522" t="s">
        <v>24</v>
      </c>
      <c r="C522" t="s">
        <v>21</v>
      </c>
      <c r="D522" s="8">
        <v>45931</v>
      </c>
      <c r="E522" s="8">
        <v>45935</v>
      </c>
      <c r="F522" s="8">
        <v>45939</v>
      </c>
      <c r="G522" s="8">
        <v>45945</v>
      </c>
      <c r="H522" t="s">
        <v>28</v>
      </c>
      <c r="I522" t="s">
        <v>68</v>
      </c>
      <c r="K522">
        <v>4</v>
      </c>
      <c r="L522">
        <v>4</v>
      </c>
      <c r="M522">
        <v>6</v>
      </c>
      <c r="O522">
        <v>1</v>
      </c>
      <c r="P522">
        <v>1</v>
      </c>
      <c r="Q522">
        <v>1</v>
      </c>
      <c r="R522">
        <v>0</v>
      </c>
      <c r="S522" t="s">
        <v>1055</v>
      </c>
    </row>
    <row r="523" spans="1:19">
      <c r="A523" t="s">
        <v>495</v>
      </c>
      <c r="B523" t="s">
        <v>24</v>
      </c>
      <c r="C523" t="s">
        <v>27</v>
      </c>
      <c r="D523" s="8">
        <v>45954</v>
      </c>
      <c r="H523" t="s">
        <v>28</v>
      </c>
      <c r="I523" t="s">
        <v>38</v>
      </c>
      <c r="O523">
        <v>1</v>
      </c>
      <c r="P523">
        <v>0</v>
      </c>
      <c r="Q523">
        <v>0</v>
      </c>
      <c r="R523">
        <v>0</v>
      </c>
      <c r="S523" t="s">
        <v>1055</v>
      </c>
    </row>
    <row r="524" spans="1:19">
      <c r="A524" t="s">
        <v>504</v>
      </c>
      <c r="B524" t="s">
        <v>24</v>
      </c>
      <c r="C524" t="s">
        <v>27</v>
      </c>
      <c r="D524" s="8">
        <v>45945</v>
      </c>
      <c r="H524" t="s">
        <v>28</v>
      </c>
      <c r="I524" t="s">
        <v>68</v>
      </c>
      <c r="O524">
        <v>1</v>
      </c>
      <c r="P524">
        <v>0</v>
      </c>
      <c r="Q524">
        <v>0</v>
      </c>
      <c r="R524">
        <v>0</v>
      </c>
      <c r="S524" t="s">
        <v>1055</v>
      </c>
    </row>
    <row r="525" spans="1:19">
      <c r="A525" t="s">
        <v>524</v>
      </c>
      <c r="B525" t="s">
        <v>24</v>
      </c>
      <c r="C525" t="s">
        <v>21</v>
      </c>
      <c r="D525" s="8">
        <v>45955</v>
      </c>
      <c r="E525" s="8">
        <v>45956</v>
      </c>
      <c r="F525" s="8">
        <v>45959</v>
      </c>
      <c r="G525" s="8">
        <v>45963</v>
      </c>
      <c r="H525" t="s">
        <v>28</v>
      </c>
      <c r="I525" t="s">
        <v>29</v>
      </c>
      <c r="K525">
        <v>1</v>
      </c>
      <c r="L525">
        <v>3</v>
      </c>
      <c r="M525">
        <v>4</v>
      </c>
      <c r="O525">
        <v>1</v>
      </c>
      <c r="P525">
        <v>1</v>
      </c>
      <c r="Q525">
        <v>1</v>
      </c>
      <c r="R525">
        <v>0</v>
      </c>
      <c r="S525" t="s">
        <v>1055</v>
      </c>
    </row>
    <row r="526" spans="1:19">
      <c r="A526" t="s">
        <v>529</v>
      </c>
      <c r="B526" t="s">
        <v>24</v>
      </c>
      <c r="C526" t="s">
        <v>27</v>
      </c>
      <c r="D526" s="8">
        <v>45946</v>
      </c>
      <c r="H526" t="s">
        <v>28</v>
      </c>
      <c r="I526" t="s">
        <v>68</v>
      </c>
      <c r="O526">
        <v>1</v>
      </c>
      <c r="P526">
        <v>0</v>
      </c>
      <c r="Q526">
        <v>0</v>
      </c>
      <c r="R526">
        <v>0</v>
      </c>
      <c r="S526" t="s">
        <v>1055</v>
      </c>
    </row>
    <row r="527" spans="1:19">
      <c r="A527" t="s">
        <v>592</v>
      </c>
      <c r="B527" t="s">
        <v>24</v>
      </c>
      <c r="C527" t="s">
        <v>27</v>
      </c>
      <c r="D527" s="8">
        <v>45933</v>
      </c>
      <c r="H527" t="s">
        <v>28</v>
      </c>
      <c r="I527" t="s">
        <v>31</v>
      </c>
      <c r="O527">
        <v>1</v>
      </c>
      <c r="P527">
        <v>0</v>
      </c>
      <c r="Q527">
        <v>0</v>
      </c>
      <c r="R527">
        <v>0</v>
      </c>
      <c r="S527" t="s">
        <v>1055</v>
      </c>
    </row>
    <row r="528" spans="1:19">
      <c r="A528" t="s">
        <v>594</v>
      </c>
      <c r="B528" t="s">
        <v>24</v>
      </c>
      <c r="C528" t="s">
        <v>27</v>
      </c>
      <c r="D528" s="8">
        <v>45951</v>
      </c>
      <c r="H528" t="s">
        <v>28</v>
      </c>
      <c r="I528" t="s">
        <v>106</v>
      </c>
      <c r="O528">
        <v>1</v>
      </c>
      <c r="P528">
        <v>0</v>
      </c>
      <c r="Q528">
        <v>0</v>
      </c>
      <c r="R528">
        <v>0</v>
      </c>
      <c r="S528" t="s">
        <v>1055</v>
      </c>
    </row>
    <row r="529" spans="1:19">
      <c r="A529" t="s">
        <v>600</v>
      </c>
      <c r="B529" t="s">
        <v>24</v>
      </c>
      <c r="C529" t="s">
        <v>27</v>
      </c>
      <c r="D529" s="8">
        <v>45933</v>
      </c>
      <c r="H529" t="s">
        <v>28</v>
      </c>
      <c r="I529" t="s">
        <v>106</v>
      </c>
      <c r="O529">
        <v>1</v>
      </c>
      <c r="P529">
        <v>0</v>
      </c>
      <c r="Q529">
        <v>0</v>
      </c>
      <c r="R529">
        <v>0</v>
      </c>
      <c r="S529" t="s">
        <v>1055</v>
      </c>
    </row>
    <row r="530" spans="1:19">
      <c r="A530" t="s">
        <v>633</v>
      </c>
      <c r="B530" t="s">
        <v>24</v>
      </c>
      <c r="C530" t="s">
        <v>27</v>
      </c>
      <c r="D530" s="8">
        <v>45950</v>
      </c>
      <c r="H530" t="s">
        <v>28</v>
      </c>
      <c r="I530" t="s">
        <v>106</v>
      </c>
      <c r="O530">
        <v>1</v>
      </c>
      <c r="P530">
        <v>0</v>
      </c>
      <c r="Q530">
        <v>0</v>
      </c>
      <c r="R530">
        <v>0</v>
      </c>
      <c r="S530" t="s">
        <v>1055</v>
      </c>
    </row>
    <row r="531" spans="1:19">
      <c r="A531" t="s">
        <v>646</v>
      </c>
      <c r="B531" t="s">
        <v>24</v>
      </c>
      <c r="C531" t="s">
        <v>27</v>
      </c>
      <c r="D531" s="8">
        <v>45939</v>
      </c>
      <c r="H531" t="s">
        <v>28</v>
      </c>
      <c r="I531" t="s">
        <v>106</v>
      </c>
      <c r="O531">
        <v>1</v>
      </c>
      <c r="P531">
        <v>0</v>
      </c>
      <c r="Q531">
        <v>0</v>
      </c>
      <c r="R531">
        <v>0</v>
      </c>
      <c r="S531" t="s">
        <v>1055</v>
      </c>
    </row>
    <row r="532" spans="1:19">
      <c r="A532" t="s">
        <v>651</v>
      </c>
      <c r="B532" t="s">
        <v>24</v>
      </c>
      <c r="C532" t="s">
        <v>27</v>
      </c>
      <c r="D532" s="8">
        <v>45959</v>
      </c>
      <c r="H532" t="s">
        <v>28</v>
      </c>
      <c r="I532" t="s">
        <v>106</v>
      </c>
      <c r="O532">
        <v>1</v>
      </c>
      <c r="P532">
        <v>0</v>
      </c>
      <c r="Q532">
        <v>0</v>
      </c>
      <c r="R532">
        <v>0</v>
      </c>
      <c r="S532" t="s">
        <v>1055</v>
      </c>
    </row>
    <row r="533" spans="1:19">
      <c r="A533" t="s">
        <v>661</v>
      </c>
      <c r="B533" t="s">
        <v>24</v>
      </c>
      <c r="C533" t="s">
        <v>21</v>
      </c>
      <c r="D533" s="8">
        <v>45961</v>
      </c>
      <c r="E533" s="8">
        <v>45964</v>
      </c>
      <c r="F533" s="8">
        <v>45965</v>
      </c>
      <c r="G533" s="8">
        <v>45968</v>
      </c>
      <c r="H533" t="s">
        <v>28</v>
      </c>
      <c r="I533" t="s">
        <v>31</v>
      </c>
      <c r="K533">
        <v>3</v>
      </c>
      <c r="L533">
        <v>1</v>
      </c>
      <c r="M533">
        <v>3</v>
      </c>
      <c r="O533">
        <v>1</v>
      </c>
      <c r="P533">
        <v>1</v>
      </c>
      <c r="Q533">
        <v>1</v>
      </c>
      <c r="R533">
        <v>0</v>
      </c>
      <c r="S533" t="s">
        <v>1055</v>
      </c>
    </row>
    <row r="534" spans="1:19">
      <c r="A534" t="s">
        <v>673</v>
      </c>
      <c r="B534" t="s">
        <v>24</v>
      </c>
      <c r="C534" t="s">
        <v>27</v>
      </c>
      <c r="D534" s="8">
        <v>45937</v>
      </c>
      <c r="H534" t="s">
        <v>28</v>
      </c>
      <c r="I534" t="s">
        <v>31</v>
      </c>
      <c r="O534">
        <v>1</v>
      </c>
      <c r="P534">
        <v>0</v>
      </c>
      <c r="Q534">
        <v>0</v>
      </c>
      <c r="R534">
        <v>0</v>
      </c>
      <c r="S534" t="s">
        <v>1055</v>
      </c>
    </row>
    <row r="535" spans="1:19">
      <c r="A535" t="s">
        <v>687</v>
      </c>
      <c r="B535" t="s">
        <v>24</v>
      </c>
      <c r="C535" t="s">
        <v>27</v>
      </c>
      <c r="D535" s="8">
        <v>45957</v>
      </c>
      <c r="H535" t="s">
        <v>28</v>
      </c>
      <c r="I535" t="s">
        <v>68</v>
      </c>
      <c r="O535">
        <v>1</v>
      </c>
      <c r="P535">
        <v>0</v>
      </c>
      <c r="Q535">
        <v>0</v>
      </c>
      <c r="R535">
        <v>0</v>
      </c>
      <c r="S535" t="s">
        <v>1055</v>
      </c>
    </row>
    <row r="536" spans="1:19">
      <c r="A536" t="s">
        <v>703</v>
      </c>
      <c r="B536" t="s">
        <v>24</v>
      </c>
      <c r="C536" t="s">
        <v>27</v>
      </c>
      <c r="D536" s="8">
        <v>45959</v>
      </c>
      <c r="H536" t="s">
        <v>28</v>
      </c>
      <c r="I536" t="s">
        <v>38</v>
      </c>
      <c r="O536">
        <v>1</v>
      </c>
      <c r="P536">
        <v>0</v>
      </c>
      <c r="Q536">
        <v>0</v>
      </c>
      <c r="R536">
        <v>0</v>
      </c>
      <c r="S536" t="s">
        <v>1055</v>
      </c>
    </row>
    <row r="537" spans="1:19">
      <c r="A537" t="s">
        <v>731</v>
      </c>
      <c r="B537" t="s">
        <v>24</v>
      </c>
      <c r="C537" t="s">
        <v>27</v>
      </c>
      <c r="D537" s="8">
        <v>45940</v>
      </c>
      <c r="H537" t="s">
        <v>28</v>
      </c>
      <c r="I537" t="s">
        <v>106</v>
      </c>
      <c r="O537">
        <v>1</v>
      </c>
      <c r="P537">
        <v>0</v>
      </c>
      <c r="Q537">
        <v>0</v>
      </c>
      <c r="R537">
        <v>0</v>
      </c>
      <c r="S537" t="s">
        <v>1055</v>
      </c>
    </row>
    <row r="538" spans="1:19">
      <c r="A538" t="s">
        <v>740</v>
      </c>
      <c r="B538" t="s">
        <v>24</v>
      </c>
      <c r="C538" t="s">
        <v>35</v>
      </c>
      <c r="D538" s="8">
        <v>45960</v>
      </c>
      <c r="E538" s="8">
        <v>45962</v>
      </c>
      <c r="F538" s="8">
        <v>45967</v>
      </c>
      <c r="G538" s="8">
        <v>45969</v>
      </c>
      <c r="H538" t="s">
        <v>28</v>
      </c>
      <c r="I538" t="s">
        <v>38</v>
      </c>
      <c r="K538">
        <v>2</v>
      </c>
      <c r="L538">
        <v>5</v>
      </c>
      <c r="M538">
        <v>2</v>
      </c>
      <c r="O538">
        <v>1</v>
      </c>
      <c r="P538">
        <v>1</v>
      </c>
      <c r="Q538">
        <v>1</v>
      </c>
      <c r="R538">
        <v>0</v>
      </c>
      <c r="S538" t="s">
        <v>1055</v>
      </c>
    </row>
    <row r="539" spans="1:19">
      <c r="A539" t="s">
        <v>817</v>
      </c>
      <c r="B539" t="s">
        <v>24</v>
      </c>
      <c r="C539" t="s">
        <v>27</v>
      </c>
      <c r="D539" s="8">
        <v>45960</v>
      </c>
      <c r="H539" t="s">
        <v>28</v>
      </c>
      <c r="I539" t="s">
        <v>68</v>
      </c>
      <c r="O539">
        <v>1</v>
      </c>
      <c r="P539">
        <v>0</v>
      </c>
      <c r="Q539">
        <v>0</v>
      </c>
      <c r="R539">
        <v>0</v>
      </c>
      <c r="S539" t="s">
        <v>1055</v>
      </c>
    </row>
    <row r="540" spans="1:19">
      <c r="A540" t="s">
        <v>819</v>
      </c>
      <c r="B540" t="s">
        <v>24</v>
      </c>
      <c r="C540" t="s">
        <v>27</v>
      </c>
      <c r="D540" s="8">
        <v>45938</v>
      </c>
      <c r="H540" t="s">
        <v>28</v>
      </c>
      <c r="I540" t="s">
        <v>106</v>
      </c>
      <c r="O540">
        <v>1</v>
      </c>
      <c r="P540">
        <v>0</v>
      </c>
      <c r="Q540">
        <v>0</v>
      </c>
      <c r="R540">
        <v>0</v>
      </c>
      <c r="S540" t="s">
        <v>1055</v>
      </c>
    </row>
    <row r="541" spans="1:19">
      <c r="A541" t="s">
        <v>831</v>
      </c>
      <c r="B541" t="s">
        <v>24</v>
      </c>
      <c r="C541" t="s">
        <v>27</v>
      </c>
      <c r="D541" s="8">
        <v>45935</v>
      </c>
      <c r="H541" t="s">
        <v>28</v>
      </c>
      <c r="I541" t="s">
        <v>106</v>
      </c>
      <c r="O541">
        <v>1</v>
      </c>
      <c r="P541">
        <v>0</v>
      </c>
      <c r="Q541">
        <v>0</v>
      </c>
      <c r="R541">
        <v>0</v>
      </c>
      <c r="S541" t="s">
        <v>1055</v>
      </c>
    </row>
    <row r="542" spans="1:19">
      <c r="A542" t="s">
        <v>832</v>
      </c>
      <c r="B542" t="s">
        <v>24</v>
      </c>
      <c r="C542" t="s">
        <v>27</v>
      </c>
      <c r="D542" s="8">
        <v>45932</v>
      </c>
      <c r="H542" t="s">
        <v>28</v>
      </c>
      <c r="I542" t="s">
        <v>68</v>
      </c>
      <c r="O542">
        <v>1</v>
      </c>
      <c r="P542">
        <v>0</v>
      </c>
      <c r="Q542">
        <v>0</v>
      </c>
      <c r="R542">
        <v>0</v>
      </c>
      <c r="S542" t="s">
        <v>1055</v>
      </c>
    </row>
    <row r="543" spans="1:19">
      <c r="A543" t="s">
        <v>838</v>
      </c>
      <c r="B543" t="s">
        <v>24</v>
      </c>
      <c r="C543" t="s">
        <v>27</v>
      </c>
      <c r="D543" s="8">
        <v>45934</v>
      </c>
      <c r="H543" t="s">
        <v>28</v>
      </c>
      <c r="I543" t="s">
        <v>29</v>
      </c>
      <c r="O543">
        <v>1</v>
      </c>
      <c r="P543">
        <v>0</v>
      </c>
      <c r="Q543">
        <v>0</v>
      </c>
      <c r="R543">
        <v>0</v>
      </c>
      <c r="S543" t="s">
        <v>1055</v>
      </c>
    </row>
    <row r="544" spans="1:19">
      <c r="A544" t="s">
        <v>852</v>
      </c>
      <c r="B544" t="s">
        <v>24</v>
      </c>
      <c r="C544" t="s">
        <v>27</v>
      </c>
      <c r="D544" s="8">
        <v>45944</v>
      </c>
      <c r="H544" t="s">
        <v>28</v>
      </c>
      <c r="I544" t="s">
        <v>68</v>
      </c>
      <c r="O544">
        <v>1</v>
      </c>
      <c r="P544">
        <v>0</v>
      </c>
      <c r="Q544">
        <v>0</v>
      </c>
      <c r="R544">
        <v>0</v>
      </c>
      <c r="S544" t="s">
        <v>1055</v>
      </c>
    </row>
    <row r="545" spans="1:19">
      <c r="A545" t="s">
        <v>857</v>
      </c>
      <c r="B545" t="s">
        <v>24</v>
      </c>
      <c r="C545" t="s">
        <v>21</v>
      </c>
      <c r="D545" s="8">
        <v>45959</v>
      </c>
      <c r="E545" s="8">
        <v>45960</v>
      </c>
      <c r="F545" s="8">
        <v>45964</v>
      </c>
      <c r="G545" s="8">
        <v>45971</v>
      </c>
      <c r="H545" t="s">
        <v>28</v>
      </c>
      <c r="I545" t="s">
        <v>68</v>
      </c>
      <c r="K545">
        <v>1</v>
      </c>
      <c r="L545">
        <v>4</v>
      </c>
      <c r="M545">
        <v>7</v>
      </c>
      <c r="O545">
        <v>1</v>
      </c>
      <c r="P545">
        <v>1</v>
      </c>
      <c r="Q545">
        <v>1</v>
      </c>
      <c r="R545">
        <v>0</v>
      </c>
      <c r="S545" t="s">
        <v>1055</v>
      </c>
    </row>
    <row r="546" spans="1:19">
      <c r="A546" t="s">
        <v>862</v>
      </c>
      <c r="B546" t="s">
        <v>24</v>
      </c>
      <c r="C546" t="s">
        <v>21</v>
      </c>
      <c r="D546" s="8">
        <v>45946</v>
      </c>
      <c r="E546" s="8">
        <v>45951</v>
      </c>
      <c r="F546" s="8">
        <v>45953</v>
      </c>
      <c r="G546" s="8">
        <v>45959</v>
      </c>
      <c r="H546" t="s">
        <v>28</v>
      </c>
      <c r="I546" t="s">
        <v>31</v>
      </c>
      <c r="K546">
        <v>5</v>
      </c>
      <c r="L546">
        <v>2</v>
      </c>
      <c r="M546">
        <v>6</v>
      </c>
      <c r="O546">
        <v>1</v>
      </c>
      <c r="P546">
        <v>1</v>
      </c>
      <c r="Q546">
        <v>1</v>
      </c>
      <c r="R546">
        <v>0</v>
      </c>
      <c r="S546" t="s">
        <v>1055</v>
      </c>
    </row>
    <row r="547" spans="1:19">
      <c r="A547" t="s">
        <v>863</v>
      </c>
      <c r="B547" t="s">
        <v>24</v>
      </c>
      <c r="C547" t="s">
        <v>35</v>
      </c>
      <c r="D547" s="8">
        <v>45950</v>
      </c>
      <c r="E547" s="8">
        <v>45953</v>
      </c>
      <c r="F547" s="8">
        <v>45957</v>
      </c>
      <c r="G547" s="8">
        <v>45959</v>
      </c>
      <c r="H547" t="s">
        <v>28</v>
      </c>
      <c r="I547" t="s">
        <v>106</v>
      </c>
      <c r="K547">
        <v>3</v>
      </c>
      <c r="L547">
        <v>4</v>
      </c>
      <c r="M547">
        <v>2</v>
      </c>
      <c r="O547">
        <v>1</v>
      </c>
      <c r="P547">
        <v>1</v>
      </c>
      <c r="Q547">
        <v>1</v>
      </c>
      <c r="R547">
        <v>0</v>
      </c>
      <c r="S547" t="s">
        <v>1055</v>
      </c>
    </row>
    <row r="548" spans="1:19">
      <c r="A548" t="s">
        <v>877</v>
      </c>
      <c r="B548" t="s">
        <v>24</v>
      </c>
      <c r="C548" t="s">
        <v>27</v>
      </c>
      <c r="D548" s="8">
        <v>45942</v>
      </c>
      <c r="H548" t="s">
        <v>28</v>
      </c>
      <c r="I548" t="s">
        <v>31</v>
      </c>
      <c r="O548">
        <v>1</v>
      </c>
      <c r="P548">
        <v>0</v>
      </c>
      <c r="Q548">
        <v>0</v>
      </c>
      <c r="R548">
        <v>0</v>
      </c>
      <c r="S548" t="s">
        <v>1055</v>
      </c>
    </row>
    <row r="549" spans="1:19">
      <c r="A549" t="s">
        <v>885</v>
      </c>
      <c r="B549" t="s">
        <v>24</v>
      </c>
      <c r="C549" t="s">
        <v>27</v>
      </c>
      <c r="D549" s="8">
        <v>45932</v>
      </c>
      <c r="H549" t="s">
        <v>28</v>
      </c>
      <c r="I549" t="s">
        <v>106</v>
      </c>
      <c r="O549">
        <v>1</v>
      </c>
      <c r="P549">
        <v>0</v>
      </c>
      <c r="Q549">
        <v>0</v>
      </c>
      <c r="R549">
        <v>0</v>
      </c>
      <c r="S549" t="s">
        <v>1055</v>
      </c>
    </row>
    <row r="550" spans="1:19">
      <c r="A550" t="s">
        <v>895</v>
      </c>
      <c r="B550" t="s">
        <v>24</v>
      </c>
      <c r="C550" t="s">
        <v>35</v>
      </c>
      <c r="D550" s="8">
        <v>45933</v>
      </c>
      <c r="E550" s="8">
        <v>45936</v>
      </c>
      <c r="F550" s="8">
        <v>45939</v>
      </c>
      <c r="G550" s="8">
        <v>45945</v>
      </c>
      <c r="H550" t="s">
        <v>28</v>
      </c>
      <c r="I550" t="s">
        <v>68</v>
      </c>
      <c r="K550">
        <v>3</v>
      </c>
      <c r="L550">
        <v>3</v>
      </c>
      <c r="M550">
        <v>6</v>
      </c>
      <c r="O550">
        <v>1</v>
      </c>
      <c r="P550">
        <v>1</v>
      </c>
      <c r="Q550">
        <v>1</v>
      </c>
      <c r="R550">
        <v>0</v>
      </c>
      <c r="S550" t="s">
        <v>1055</v>
      </c>
    </row>
    <row r="551" spans="1:19">
      <c r="A551" t="s">
        <v>930</v>
      </c>
      <c r="B551" t="s">
        <v>24</v>
      </c>
      <c r="C551" t="s">
        <v>27</v>
      </c>
      <c r="D551" s="8">
        <v>45935</v>
      </c>
      <c r="H551" t="s">
        <v>28</v>
      </c>
      <c r="I551" t="s">
        <v>38</v>
      </c>
      <c r="O551">
        <v>1</v>
      </c>
      <c r="P551">
        <v>0</v>
      </c>
      <c r="Q551">
        <v>0</v>
      </c>
      <c r="R551">
        <v>0</v>
      </c>
      <c r="S551" t="s">
        <v>1055</v>
      </c>
    </row>
    <row r="552" spans="1:19">
      <c r="A552" t="s">
        <v>937</v>
      </c>
      <c r="B552" t="s">
        <v>24</v>
      </c>
      <c r="C552" t="s">
        <v>27</v>
      </c>
      <c r="D552" s="8">
        <v>45958</v>
      </c>
      <c r="H552" t="s">
        <v>28</v>
      </c>
      <c r="I552" t="s">
        <v>68</v>
      </c>
      <c r="O552">
        <v>1</v>
      </c>
      <c r="P552">
        <v>0</v>
      </c>
      <c r="Q552">
        <v>0</v>
      </c>
      <c r="R552">
        <v>0</v>
      </c>
      <c r="S552" t="s">
        <v>1055</v>
      </c>
    </row>
    <row r="553" spans="1:19">
      <c r="A553" t="s">
        <v>960</v>
      </c>
      <c r="B553" t="s">
        <v>24</v>
      </c>
      <c r="C553" t="s">
        <v>35</v>
      </c>
      <c r="D553" s="8">
        <v>45955</v>
      </c>
      <c r="E553" s="8">
        <v>45957</v>
      </c>
      <c r="F553" s="8">
        <v>45960</v>
      </c>
      <c r="G553" s="8">
        <v>45963</v>
      </c>
      <c r="H553" t="s">
        <v>28</v>
      </c>
      <c r="I553" t="s">
        <v>68</v>
      </c>
      <c r="K553">
        <v>2</v>
      </c>
      <c r="L553">
        <v>3</v>
      </c>
      <c r="M553">
        <v>3</v>
      </c>
      <c r="O553">
        <v>1</v>
      </c>
      <c r="P553">
        <v>1</v>
      </c>
      <c r="Q553">
        <v>1</v>
      </c>
      <c r="R553">
        <v>0</v>
      </c>
      <c r="S553" t="s">
        <v>1055</v>
      </c>
    </row>
    <row r="554" spans="1:19">
      <c r="A554" t="s">
        <v>1001</v>
      </c>
      <c r="B554" t="s">
        <v>24</v>
      </c>
      <c r="C554" t="s">
        <v>27</v>
      </c>
      <c r="D554" s="8">
        <v>45939</v>
      </c>
      <c r="H554" t="s">
        <v>28</v>
      </c>
      <c r="I554" t="s">
        <v>68</v>
      </c>
      <c r="O554">
        <v>1</v>
      </c>
      <c r="P554">
        <v>0</v>
      </c>
      <c r="Q554">
        <v>0</v>
      </c>
      <c r="R554">
        <v>0</v>
      </c>
      <c r="S554" t="s">
        <v>1055</v>
      </c>
    </row>
    <row r="555" spans="1:19">
      <c r="A555" t="s">
        <v>1008</v>
      </c>
      <c r="B555" t="s">
        <v>24</v>
      </c>
      <c r="C555" t="s">
        <v>21</v>
      </c>
      <c r="D555" s="8">
        <v>45943</v>
      </c>
      <c r="E555" s="8">
        <v>45946</v>
      </c>
      <c r="F555" s="8">
        <v>45950</v>
      </c>
      <c r="G555" s="8">
        <v>45955</v>
      </c>
      <c r="H555" t="s">
        <v>28</v>
      </c>
      <c r="I555" t="s">
        <v>31</v>
      </c>
      <c r="K555">
        <v>3</v>
      </c>
      <c r="L555">
        <v>4</v>
      </c>
      <c r="M555">
        <v>5</v>
      </c>
      <c r="O555">
        <v>1</v>
      </c>
      <c r="P555">
        <v>1</v>
      </c>
      <c r="Q555">
        <v>1</v>
      </c>
      <c r="R555">
        <v>0</v>
      </c>
      <c r="S555" t="s">
        <v>1055</v>
      </c>
    </row>
    <row r="556" spans="1:19">
      <c r="A556" t="s">
        <v>42</v>
      </c>
      <c r="B556" t="s">
        <v>24</v>
      </c>
      <c r="C556" t="s">
        <v>21</v>
      </c>
      <c r="D556" s="8">
        <v>45951</v>
      </c>
      <c r="E556" s="8">
        <v>45954</v>
      </c>
      <c r="F556" s="8">
        <v>45958</v>
      </c>
      <c r="G556" s="8">
        <v>45960</v>
      </c>
      <c r="H556" t="s">
        <v>22</v>
      </c>
      <c r="J556" s="8">
        <v>45971</v>
      </c>
      <c r="K556">
        <v>3</v>
      </c>
      <c r="L556">
        <v>4</v>
      </c>
      <c r="M556">
        <v>2</v>
      </c>
      <c r="N556">
        <v>0</v>
      </c>
      <c r="O556">
        <v>1</v>
      </c>
      <c r="P556">
        <v>1</v>
      </c>
      <c r="Q556">
        <v>1</v>
      </c>
      <c r="R556">
        <v>1</v>
      </c>
      <c r="S556" t="s">
        <v>1056</v>
      </c>
    </row>
    <row r="557" spans="1:19">
      <c r="A557" t="s">
        <v>55</v>
      </c>
      <c r="B557" t="s">
        <v>24</v>
      </c>
      <c r="C557" t="s">
        <v>21</v>
      </c>
      <c r="D557" s="8">
        <v>45950</v>
      </c>
      <c r="E557" s="8">
        <v>45955</v>
      </c>
      <c r="F557" s="8">
        <v>45957</v>
      </c>
      <c r="G557" s="8">
        <v>45964</v>
      </c>
      <c r="H557" t="s">
        <v>22</v>
      </c>
      <c r="J557" s="8">
        <v>45984</v>
      </c>
      <c r="K557">
        <v>5</v>
      </c>
      <c r="L557">
        <v>2</v>
      </c>
      <c r="M557">
        <v>7</v>
      </c>
      <c r="N557">
        <v>1</v>
      </c>
      <c r="O557">
        <v>1</v>
      </c>
      <c r="P557">
        <v>1</v>
      </c>
      <c r="Q557">
        <v>1</v>
      </c>
      <c r="R557">
        <v>1</v>
      </c>
      <c r="S557" t="s">
        <v>1056</v>
      </c>
    </row>
    <row r="558" spans="1:19">
      <c r="A558" t="s">
        <v>61</v>
      </c>
      <c r="B558" t="s">
        <v>24</v>
      </c>
      <c r="C558" t="s">
        <v>21</v>
      </c>
      <c r="D558" s="8">
        <v>45945</v>
      </c>
      <c r="E558" s="8">
        <v>45948</v>
      </c>
      <c r="F558" s="8">
        <v>45950</v>
      </c>
      <c r="G558" s="8">
        <v>45953</v>
      </c>
      <c r="H558" t="s">
        <v>22</v>
      </c>
      <c r="J558" s="8">
        <v>45967</v>
      </c>
      <c r="K558">
        <v>3</v>
      </c>
      <c r="L558">
        <v>2</v>
      </c>
      <c r="M558">
        <v>3</v>
      </c>
      <c r="N558">
        <v>3</v>
      </c>
      <c r="O558">
        <v>1</v>
      </c>
      <c r="P558">
        <v>1</v>
      </c>
      <c r="Q558">
        <v>1</v>
      </c>
      <c r="R558">
        <v>1</v>
      </c>
      <c r="S558" t="s">
        <v>1056</v>
      </c>
    </row>
    <row r="559" spans="1:19">
      <c r="A559" t="s">
        <v>64</v>
      </c>
      <c r="B559" t="s">
        <v>24</v>
      </c>
      <c r="C559" t="s">
        <v>21</v>
      </c>
      <c r="D559" s="8">
        <v>45954</v>
      </c>
      <c r="E559" s="8">
        <v>45957</v>
      </c>
      <c r="F559" s="8">
        <v>45958</v>
      </c>
      <c r="G559" s="8">
        <v>45961</v>
      </c>
      <c r="H559" t="s">
        <v>22</v>
      </c>
      <c r="J559" s="8">
        <v>45974</v>
      </c>
      <c r="K559">
        <v>3</v>
      </c>
      <c r="L559">
        <v>1</v>
      </c>
      <c r="M559">
        <v>3</v>
      </c>
      <c r="N559">
        <v>3</v>
      </c>
      <c r="O559">
        <v>1</v>
      </c>
      <c r="P559">
        <v>1</v>
      </c>
      <c r="Q559">
        <v>1</v>
      </c>
      <c r="R559">
        <v>1</v>
      </c>
      <c r="S559" t="s">
        <v>1056</v>
      </c>
    </row>
    <row r="560" spans="1:19">
      <c r="A560" t="s">
        <v>85</v>
      </c>
      <c r="B560" t="s">
        <v>24</v>
      </c>
      <c r="C560" t="s">
        <v>21</v>
      </c>
      <c r="D560" s="8">
        <v>45931</v>
      </c>
      <c r="E560" s="8">
        <v>45936</v>
      </c>
      <c r="F560" s="8">
        <v>45938</v>
      </c>
      <c r="G560" s="8">
        <v>45942</v>
      </c>
      <c r="H560" t="s">
        <v>22</v>
      </c>
      <c r="J560" s="8">
        <v>45972</v>
      </c>
      <c r="K560">
        <v>5</v>
      </c>
      <c r="L560">
        <v>2</v>
      </c>
      <c r="M560">
        <v>4</v>
      </c>
      <c r="N560">
        <v>4</v>
      </c>
      <c r="O560">
        <v>1</v>
      </c>
      <c r="P560">
        <v>1</v>
      </c>
      <c r="Q560">
        <v>1</v>
      </c>
      <c r="R560">
        <v>1</v>
      </c>
      <c r="S560" t="s">
        <v>1056</v>
      </c>
    </row>
    <row r="561" spans="1:19">
      <c r="A561" t="s">
        <v>99</v>
      </c>
      <c r="B561" t="s">
        <v>24</v>
      </c>
      <c r="C561" t="s">
        <v>35</v>
      </c>
      <c r="D561" s="8">
        <v>45953</v>
      </c>
      <c r="E561" s="8">
        <v>45956</v>
      </c>
      <c r="F561" s="8">
        <v>45959</v>
      </c>
      <c r="G561" s="8">
        <v>45961</v>
      </c>
      <c r="H561" t="s">
        <v>22</v>
      </c>
      <c r="J561" s="8">
        <v>45980</v>
      </c>
      <c r="K561">
        <v>3</v>
      </c>
      <c r="L561">
        <v>3</v>
      </c>
      <c r="M561">
        <v>2</v>
      </c>
      <c r="N561">
        <v>5</v>
      </c>
      <c r="O561">
        <v>1</v>
      </c>
      <c r="P561">
        <v>1</v>
      </c>
      <c r="Q561">
        <v>1</v>
      </c>
      <c r="R561">
        <v>1</v>
      </c>
      <c r="S561" t="s">
        <v>1056</v>
      </c>
    </row>
    <row r="562" spans="1:19">
      <c r="A562" t="s">
        <v>116</v>
      </c>
      <c r="B562" t="s">
        <v>24</v>
      </c>
      <c r="C562" t="s">
        <v>35</v>
      </c>
      <c r="D562" s="8">
        <v>45953</v>
      </c>
      <c r="E562" s="8">
        <v>45958</v>
      </c>
      <c r="F562" s="8">
        <v>45961</v>
      </c>
      <c r="G562" s="8">
        <v>45966</v>
      </c>
      <c r="H562" t="s">
        <v>22</v>
      </c>
      <c r="J562" s="8">
        <v>45981</v>
      </c>
      <c r="K562">
        <v>5</v>
      </c>
      <c r="L562">
        <v>3</v>
      </c>
      <c r="M562">
        <v>5</v>
      </c>
      <c r="N562">
        <v>5</v>
      </c>
      <c r="O562">
        <v>1</v>
      </c>
      <c r="P562">
        <v>1</v>
      </c>
      <c r="Q562">
        <v>1</v>
      </c>
      <c r="R562">
        <v>1</v>
      </c>
      <c r="S562" t="s">
        <v>1056</v>
      </c>
    </row>
    <row r="563" spans="1:19">
      <c r="A563" t="s">
        <v>117</v>
      </c>
      <c r="B563" t="s">
        <v>24</v>
      </c>
      <c r="C563" t="s">
        <v>21</v>
      </c>
      <c r="D563" s="8">
        <v>45946</v>
      </c>
      <c r="E563" s="8">
        <v>45950</v>
      </c>
      <c r="F563" s="8">
        <v>45952</v>
      </c>
      <c r="G563" s="8">
        <v>45958</v>
      </c>
      <c r="H563" t="s">
        <v>22</v>
      </c>
      <c r="J563" s="8">
        <v>45987</v>
      </c>
      <c r="K563">
        <v>4</v>
      </c>
      <c r="L563">
        <v>2</v>
      </c>
      <c r="M563">
        <v>6</v>
      </c>
      <c r="N563">
        <v>4</v>
      </c>
      <c r="O563">
        <v>1</v>
      </c>
      <c r="P563">
        <v>1</v>
      </c>
      <c r="Q563">
        <v>1</v>
      </c>
      <c r="R563">
        <v>1</v>
      </c>
      <c r="S563" t="s">
        <v>1056</v>
      </c>
    </row>
    <row r="564" spans="1:19">
      <c r="A564" t="s">
        <v>123</v>
      </c>
      <c r="B564" t="s">
        <v>24</v>
      </c>
      <c r="C564" t="s">
        <v>21</v>
      </c>
      <c r="D564" s="8">
        <v>45931</v>
      </c>
      <c r="E564" s="8">
        <v>45932</v>
      </c>
      <c r="F564" s="8">
        <v>45935</v>
      </c>
      <c r="G564" s="8">
        <v>45940</v>
      </c>
      <c r="H564" t="s">
        <v>22</v>
      </c>
      <c r="J564" s="8">
        <v>45970</v>
      </c>
      <c r="K564">
        <v>1</v>
      </c>
      <c r="L564">
        <v>3</v>
      </c>
      <c r="M564">
        <v>5</v>
      </c>
      <c r="N564">
        <v>0</v>
      </c>
      <c r="O564">
        <v>1</v>
      </c>
      <c r="P564">
        <v>1</v>
      </c>
      <c r="Q564">
        <v>1</v>
      </c>
      <c r="R564">
        <v>1</v>
      </c>
      <c r="S564" t="s">
        <v>1056</v>
      </c>
    </row>
    <row r="565" spans="1:19">
      <c r="A565" t="s">
        <v>130</v>
      </c>
      <c r="B565" t="s">
        <v>24</v>
      </c>
      <c r="C565" t="s">
        <v>21</v>
      </c>
      <c r="D565" s="8">
        <v>45940</v>
      </c>
      <c r="E565" s="8">
        <v>45944</v>
      </c>
      <c r="F565" s="8">
        <v>45945</v>
      </c>
      <c r="G565" s="8">
        <v>45951</v>
      </c>
      <c r="H565" t="s">
        <v>22</v>
      </c>
      <c r="J565" s="8">
        <v>45976</v>
      </c>
      <c r="K565">
        <v>4</v>
      </c>
      <c r="L565">
        <v>1</v>
      </c>
      <c r="M565">
        <v>6</v>
      </c>
      <c r="N565">
        <v>6</v>
      </c>
      <c r="O565">
        <v>1</v>
      </c>
      <c r="P565">
        <v>1</v>
      </c>
      <c r="Q565">
        <v>1</v>
      </c>
      <c r="R565">
        <v>1</v>
      </c>
      <c r="S565" t="s">
        <v>1056</v>
      </c>
    </row>
    <row r="566" spans="1:19">
      <c r="A566" t="s">
        <v>141</v>
      </c>
      <c r="B566" t="s">
        <v>24</v>
      </c>
      <c r="C566" t="s">
        <v>35</v>
      </c>
      <c r="D566" s="8">
        <v>45941</v>
      </c>
      <c r="E566" s="8">
        <v>45942</v>
      </c>
      <c r="F566" s="8">
        <v>45945</v>
      </c>
      <c r="G566" s="8">
        <v>45948</v>
      </c>
      <c r="H566" t="s">
        <v>22</v>
      </c>
      <c r="J566" s="8">
        <v>45978</v>
      </c>
      <c r="K566">
        <v>1</v>
      </c>
      <c r="L566">
        <v>3</v>
      </c>
      <c r="M566">
        <v>3</v>
      </c>
      <c r="N566">
        <v>4</v>
      </c>
      <c r="O566">
        <v>1</v>
      </c>
      <c r="P566">
        <v>1</v>
      </c>
      <c r="Q566">
        <v>1</v>
      </c>
      <c r="R566">
        <v>1</v>
      </c>
      <c r="S566" t="s">
        <v>1056</v>
      </c>
    </row>
    <row r="567" spans="1:19">
      <c r="A567" t="s">
        <v>146</v>
      </c>
      <c r="B567" t="s">
        <v>24</v>
      </c>
      <c r="C567" t="s">
        <v>35</v>
      </c>
      <c r="D567" s="8">
        <v>45940</v>
      </c>
      <c r="E567" s="8">
        <v>45942</v>
      </c>
      <c r="F567" s="8">
        <v>45946</v>
      </c>
      <c r="G567" s="8">
        <v>45952</v>
      </c>
      <c r="H567" t="s">
        <v>22</v>
      </c>
      <c r="J567" s="8">
        <v>45982</v>
      </c>
      <c r="K567">
        <v>2</v>
      </c>
      <c r="L567">
        <v>4</v>
      </c>
      <c r="M567">
        <v>6</v>
      </c>
      <c r="N567">
        <v>6</v>
      </c>
      <c r="O567">
        <v>1</v>
      </c>
      <c r="P567">
        <v>1</v>
      </c>
      <c r="Q567">
        <v>1</v>
      </c>
      <c r="R567">
        <v>1</v>
      </c>
      <c r="S567" t="s">
        <v>1056</v>
      </c>
    </row>
    <row r="568" spans="1:19">
      <c r="A568" t="s">
        <v>150</v>
      </c>
      <c r="B568" t="s">
        <v>24</v>
      </c>
      <c r="C568" t="s">
        <v>35</v>
      </c>
      <c r="D568" s="8">
        <v>45954</v>
      </c>
      <c r="E568" s="8">
        <v>45955</v>
      </c>
      <c r="F568" s="8">
        <v>45957</v>
      </c>
      <c r="G568" s="8">
        <v>45959</v>
      </c>
      <c r="H568" t="s">
        <v>22</v>
      </c>
      <c r="J568" s="8">
        <v>45969</v>
      </c>
      <c r="K568">
        <v>1</v>
      </c>
      <c r="L568">
        <v>2</v>
      </c>
      <c r="M568">
        <v>2</v>
      </c>
      <c r="N568">
        <v>1</v>
      </c>
      <c r="O568">
        <v>1</v>
      </c>
      <c r="P568">
        <v>1</v>
      </c>
      <c r="Q568">
        <v>1</v>
      </c>
      <c r="R568">
        <v>1</v>
      </c>
      <c r="S568" t="s">
        <v>1056</v>
      </c>
    </row>
    <row r="569" spans="1:19">
      <c r="A569" t="s">
        <v>151</v>
      </c>
      <c r="B569" t="s">
        <v>24</v>
      </c>
      <c r="C569" t="s">
        <v>21</v>
      </c>
      <c r="D569" s="8">
        <v>45937</v>
      </c>
      <c r="E569" s="8">
        <v>45940</v>
      </c>
      <c r="F569" s="8">
        <v>45942</v>
      </c>
      <c r="G569" s="8">
        <v>45947</v>
      </c>
      <c r="H569" t="s">
        <v>22</v>
      </c>
      <c r="J569" s="8">
        <v>45965</v>
      </c>
      <c r="K569">
        <v>3</v>
      </c>
      <c r="L569">
        <v>2</v>
      </c>
      <c r="M569">
        <v>5</v>
      </c>
      <c r="N569">
        <v>5</v>
      </c>
      <c r="O569">
        <v>1</v>
      </c>
      <c r="P569">
        <v>1</v>
      </c>
      <c r="Q569">
        <v>1</v>
      </c>
      <c r="R569">
        <v>1</v>
      </c>
      <c r="S569" t="s">
        <v>1056</v>
      </c>
    </row>
    <row r="570" spans="1:19">
      <c r="A570" t="s">
        <v>153</v>
      </c>
      <c r="B570" t="s">
        <v>24</v>
      </c>
      <c r="C570" t="s">
        <v>21</v>
      </c>
      <c r="D570" s="8">
        <v>45934</v>
      </c>
      <c r="E570" s="8">
        <v>45938</v>
      </c>
      <c r="F570" s="8">
        <v>45943</v>
      </c>
      <c r="G570" s="8">
        <v>45946</v>
      </c>
      <c r="H570" t="s">
        <v>22</v>
      </c>
      <c r="J570" s="8">
        <v>45962</v>
      </c>
      <c r="K570">
        <v>4</v>
      </c>
      <c r="L570">
        <v>5</v>
      </c>
      <c r="M570">
        <v>3</v>
      </c>
      <c r="N570">
        <v>1</v>
      </c>
      <c r="O570">
        <v>1</v>
      </c>
      <c r="P570">
        <v>1</v>
      </c>
      <c r="Q570">
        <v>1</v>
      </c>
      <c r="R570">
        <v>1</v>
      </c>
      <c r="S570" t="s">
        <v>1056</v>
      </c>
    </row>
    <row r="571" spans="1:19">
      <c r="A571" t="s">
        <v>154</v>
      </c>
      <c r="B571" t="s">
        <v>24</v>
      </c>
      <c r="C571" t="s">
        <v>35</v>
      </c>
      <c r="D571" s="8">
        <v>45954</v>
      </c>
      <c r="E571" s="8">
        <v>45958</v>
      </c>
      <c r="F571" s="8">
        <v>45961</v>
      </c>
      <c r="G571" s="8">
        <v>45964</v>
      </c>
      <c r="H571" t="s">
        <v>22</v>
      </c>
      <c r="J571" s="8">
        <v>45981</v>
      </c>
      <c r="K571">
        <v>4</v>
      </c>
      <c r="L571">
        <v>3</v>
      </c>
      <c r="M571">
        <v>3</v>
      </c>
      <c r="N571">
        <v>2</v>
      </c>
      <c r="O571">
        <v>1</v>
      </c>
      <c r="P571">
        <v>1</v>
      </c>
      <c r="Q571">
        <v>1</v>
      </c>
      <c r="R571">
        <v>1</v>
      </c>
      <c r="S571" t="s">
        <v>1056</v>
      </c>
    </row>
    <row r="572" spans="1:19">
      <c r="A572" t="s">
        <v>159</v>
      </c>
      <c r="B572" t="s">
        <v>24</v>
      </c>
      <c r="C572" t="s">
        <v>21</v>
      </c>
      <c r="D572" s="8">
        <v>45936</v>
      </c>
      <c r="E572" s="8">
        <v>45939</v>
      </c>
      <c r="F572" s="8">
        <v>45944</v>
      </c>
      <c r="G572" s="8">
        <v>45949</v>
      </c>
      <c r="H572" t="s">
        <v>22</v>
      </c>
      <c r="J572" s="8">
        <v>45959</v>
      </c>
      <c r="K572">
        <v>3</v>
      </c>
      <c r="L572">
        <v>5</v>
      </c>
      <c r="M572">
        <v>5</v>
      </c>
      <c r="N572">
        <v>4</v>
      </c>
      <c r="O572">
        <v>1</v>
      </c>
      <c r="P572">
        <v>1</v>
      </c>
      <c r="Q572">
        <v>1</v>
      </c>
      <c r="R572">
        <v>1</v>
      </c>
      <c r="S572" t="s">
        <v>1056</v>
      </c>
    </row>
    <row r="573" spans="1:19">
      <c r="A573" t="s">
        <v>169</v>
      </c>
      <c r="B573" t="s">
        <v>24</v>
      </c>
      <c r="C573" t="s">
        <v>21</v>
      </c>
      <c r="D573" s="8">
        <v>45950</v>
      </c>
      <c r="E573" s="8">
        <v>45954</v>
      </c>
      <c r="F573" s="8">
        <v>45959</v>
      </c>
      <c r="G573" s="8">
        <v>45966</v>
      </c>
      <c r="H573" t="s">
        <v>22</v>
      </c>
      <c r="J573" s="8">
        <v>45981</v>
      </c>
      <c r="K573">
        <v>4</v>
      </c>
      <c r="L573">
        <v>5</v>
      </c>
      <c r="M573">
        <v>7</v>
      </c>
      <c r="N573">
        <v>0</v>
      </c>
      <c r="O573">
        <v>1</v>
      </c>
      <c r="P573">
        <v>1</v>
      </c>
      <c r="Q573">
        <v>1</v>
      </c>
      <c r="R573">
        <v>1</v>
      </c>
      <c r="S573" t="s">
        <v>1056</v>
      </c>
    </row>
    <row r="574" spans="1:19">
      <c r="A574" t="s">
        <v>175</v>
      </c>
      <c r="B574" t="s">
        <v>24</v>
      </c>
      <c r="C574" t="s">
        <v>35</v>
      </c>
      <c r="D574" s="8">
        <v>45938</v>
      </c>
      <c r="E574" s="8">
        <v>45942</v>
      </c>
      <c r="F574" s="8">
        <v>45943</v>
      </c>
      <c r="G574" s="8">
        <v>45945</v>
      </c>
      <c r="H574" t="s">
        <v>22</v>
      </c>
      <c r="J574" s="8">
        <v>45967</v>
      </c>
      <c r="K574">
        <v>4</v>
      </c>
      <c r="L574">
        <v>1</v>
      </c>
      <c r="M574">
        <v>2</v>
      </c>
      <c r="N574">
        <v>4</v>
      </c>
      <c r="O574">
        <v>1</v>
      </c>
      <c r="P574">
        <v>1</v>
      </c>
      <c r="Q574">
        <v>1</v>
      </c>
      <c r="R574">
        <v>1</v>
      </c>
      <c r="S574" t="s">
        <v>1056</v>
      </c>
    </row>
    <row r="575" spans="1:19">
      <c r="A575" t="s">
        <v>178</v>
      </c>
      <c r="B575" t="s">
        <v>24</v>
      </c>
      <c r="C575" t="s">
        <v>21</v>
      </c>
      <c r="D575" s="8">
        <v>45940</v>
      </c>
      <c r="E575" s="8">
        <v>45941</v>
      </c>
      <c r="F575" s="8">
        <v>45945</v>
      </c>
      <c r="G575" s="8">
        <v>45948</v>
      </c>
      <c r="H575" t="s">
        <v>22</v>
      </c>
      <c r="J575" s="8">
        <v>45970</v>
      </c>
      <c r="K575">
        <v>1</v>
      </c>
      <c r="L575">
        <v>4</v>
      </c>
      <c r="M575">
        <v>3</v>
      </c>
      <c r="N575">
        <v>1</v>
      </c>
      <c r="O575">
        <v>1</v>
      </c>
      <c r="P575">
        <v>1</v>
      </c>
      <c r="Q575">
        <v>1</v>
      </c>
      <c r="R575">
        <v>1</v>
      </c>
      <c r="S575" t="s">
        <v>1056</v>
      </c>
    </row>
    <row r="576" spans="1:19">
      <c r="A576" t="s">
        <v>202</v>
      </c>
      <c r="B576" t="s">
        <v>24</v>
      </c>
      <c r="C576" t="s">
        <v>35</v>
      </c>
      <c r="D576" s="8">
        <v>45945</v>
      </c>
      <c r="E576" s="8">
        <v>45947</v>
      </c>
      <c r="F576" s="8">
        <v>45948</v>
      </c>
      <c r="G576" s="8">
        <v>45954</v>
      </c>
      <c r="H576" t="s">
        <v>22</v>
      </c>
      <c r="J576" s="8">
        <v>45974</v>
      </c>
      <c r="K576">
        <v>2</v>
      </c>
      <c r="L576">
        <v>1</v>
      </c>
      <c r="M576">
        <v>6</v>
      </c>
      <c r="N576">
        <v>2</v>
      </c>
      <c r="O576">
        <v>1</v>
      </c>
      <c r="P576">
        <v>1</v>
      </c>
      <c r="Q576">
        <v>1</v>
      </c>
      <c r="R576">
        <v>1</v>
      </c>
      <c r="S576" t="s">
        <v>1056</v>
      </c>
    </row>
    <row r="577" spans="1:19">
      <c r="A577" t="s">
        <v>216</v>
      </c>
      <c r="B577" t="s">
        <v>24</v>
      </c>
      <c r="C577" t="s">
        <v>35</v>
      </c>
      <c r="D577" s="8">
        <v>45933</v>
      </c>
      <c r="E577" s="8">
        <v>45934</v>
      </c>
      <c r="F577" s="8">
        <v>45937</v>
      </c>
      <c r="G577" s="8">
        <v>45944</v>
      </c>
      <c r="H577" t="s">
        <v>22</v>
      </c>
      <c r="J577" s="8">
        <v>45954</v>
      </c>
      <c r="K577">
        <v>1</v>
      </c>
      <c r="L577">
        <v>3</v>
      </c>
      <c r="M577">
        <v>7</v>
      </c>
      <c r="N577">
        <v>6</v>
      </c>
      <c r="O577">
        <v>1</v>
      </c>
      <c r="P577">
        <v>1</v>
      </c>
      <c r="Q577">
        <v>1</v>
      </c>
      <c r="R577">
        <v>1</v>
      </c>
      <c r="S577" t="s">
        <v>1056</v>
      </c>
    </row>
    <row r="578" spans="1:19">
      <c r="A578" t="s">
        <v>218</v>
      </c>
      <c r="B578" t="s">
        <v>24</v>
      </c>
      <c r="C578" t="s">
        <v>21</v>
      </c>
      <c r="D578" s="8">
        <v>45951</v>
      </c>
      <c r="E578" s="8">
        <v>45952</v>
      </c>
      <c r="F578" s="8">
        <v>45957</v>
      </c>
      <c r="G578" s="8">
        <v>45961</v>
      </c>
      <c r="H578" t="s">
        <v>22</v>
      </c>
      <c r="J578" s="8">
        <v>45991</v>
      </c>
      <c r="K578">
        <v>1</v>
      </c>
      <c r="L578">
        <v>5</v>
      </c>
      <c r="M578">
        <v>4</v>
      </c>
      <c r="N578">
        <v>2</v>
      </c>
      <c r="O578">
        <v>1</v>
      </c>
      <c r="P578">
        <v>1</v>
      </c>
      <c r="Q578">
        <v>1</v>
      </c>
      <c r="R578">
        <v>1</v>
      </c>
      <c r="S578" t="s">
        <v>1056</v>
      </c>
    </row>
    <row r="579" spans="1:19">
      <c r="A579" t="s">
        <v>227</v>
      </c>
      <c r="B579" t="s">
        <v>24</v>
      </c>
      <c r="C579" t="s">
        <v>21</v>
      </c>
      <c r="D579" s="8">
        <v>45933</v>
      </c>
      <c r="E579" s="8">
        <v>45936</v>
      </c>
      <c r="F579" s="8">
        <v>45940</v>
      </c>
      <c r="G579" s="8">
        <v>45942</v>
      </c>
      <c r="H579" t="s">
        <v>22</v>
      </c>
      <c r="J579" s="8">
        <v>45955</v>
      </c>
      <c r="K579">
        <v>3</v>
      </c>
      <c r="L579">
        <v>4</v>
      </c>
      <c r="M579">
        <v>2</v>
      </c>
      <c r="N579">
        <v>3</v>
      </c>
      <c r="O579">
        <v>1</v>
      </c>
      <c r="P579">
        <v>1</v>
      </c>
      <c r="Q579">
        <v>1</v>
      </c>
      <c r="R579">
        <v>1</v>
      </c>
      <c r="S579" t="s">
        <v>1056</v>
      </c>
    </row>
    <row r="580" spans="1:19">
      <c r="A580" t="s">
        <v>234</v>
      </c>
      <c r="B580" t="s">
        <v>24</v>
      </c>
      <c r="C580" t="s">
        <v>35</v>
      </c>
      <c r="D580" s="8">
        <v>45950</v>
      </c>
      <c r="E580" s="8">
        <v>45952</v>
      </c>
      <c r="F580" s="8">
        <v>45954</v>
      </c>
      <c r="G580" s="8">
        <v>45961</v>
      </c>
      <c r="H580" t="s">
        <v>22</v>
      </c>
      <c r="J580" s="8">
        <v>45988</v>
      </c>
      <c r="K580">
        <v>2</v>
      </c>
      <c r="L580">
        <v>2</v>
      </c>
      <c r="M580">
        <v>7</v>
      </c>
      <c r="N580">
        <v>2</v>
      </c>
      <c r="O580">
        <v>1</v>
      </c>
      <c r="P580">
        <v>1</v>
      </c>
      <c r="Q580">
        <v>1</v>
      </c>
      <c r="R580">
        <v>1</v>
      </c>
      <c r="S580" t="s">
        <v>1056</v>
      </c>
    </row>
    <row r="581" spans="1:19">
      <c r="A581" t="s">
        <v>235</v>
      </c>
      <c r="B581" t="s">
        <v>24</v>
      </c>
      <c r="C581" t="s">
        <v>35</v>
      </c>
      <c r="D581" s="8">
        <v>45956</v>
      </c>
      <c r="E581" s="8">
        <v>45961</v>
      </c>
      <c r="F581" s="8">
        <v>45962</v>
      </c>
      <c r="G581" s="8">
        <v>45966</v>
      </c>
      <c r="H581" t="s">
        <v>22</v>
      </c>
      <c r="J581" s="8">
        <v>45993</v>
      </c>
      <c r="K581">
        <v>5</v>
      </c>
      <c r="L581">
        <v>1</v>
      </c>
      <c r="M581">
        <v>4</v>
      </c>
      <c r="N581">
        <v>2</v>
      </c>
      <c r="O581">
        <v>1</v>
      </c>
      <c r="P581">
        <v>1</v>
      </c>
      <c r="Q581">
        <v>1</v>
      </c>
      <c r="R581">
        <v>1</v>
      </c>
      <c r="S581" t="s">
        <v>1056</v>
      </c>
    </row>
    <row r="582" spans="1:19">
      <c r="A582" t="s">
        <v>238</v>
      </c>
      <c r="B582" t="s">
        <v>24</v>
      </c>
      <c r="C582" t="s">
        <v>35</v>
      </c>
      <c r="D582" s="8">
        <v>45955</v>
      </c>
      <c r="E582" s="8">
        <v>45958</v>
      </c>
      <c r="F582" s="8">
        <v>45960</v>
      </c>
      <c r="G582" s="8">
        <v>45966</v>
      </c>
      <c r="H582" t="s">
        <v>22</v>
      </c>
      <c r="J582" s="8">
        <v>45985</v>
      </c>
      <c r="K582">
        <v>3</v>
      </c>
      <c r="L582">
        <v>2</v>
      </c>
      <c r="M582">
        <v>6</v>
      </c>
      <c r="N582">
        <v>2</v>
      </c>
      <c r="O582">
        <v>1</v>
      </c>
      <c r="P582">
        <v>1</v>
      </c>
      <c r="Q582">
        <v>1</v>
      </c>
      <c r="R582">
        <v>1</v>
      </c>
      <c r="S582" t="s">
        <v>1056</v>
      </c>
    </row>
    <row r="583" spans="1:19">
      <c r="A583" t="s">
        <v>270</v>
      </c>
      <c r="B583" t="s">
        <v>24</v>
      </c>
      <c r="C583" t="s">
        <v>21</v>
      </c>
      <c r="D583" s="8">
        <v>45931</v>
      </c>
      <c r="E583" s="8">
        <v>45934</v>
      </c>
      <c r="F583" s="8">
        <v>45935</v>
      </c>
      <c r="G583" s="8">
        <v>45942</v>
      </c>
      <c r="H583" t="s">
        <v>22</v>
      </c>
      <c r="J583" s="8">
        <v>45967</v>
      </c>
      <c r="K583">
        <v>3</v>
      </c>
      <c r="L583">
        <v>1</v>
      </c>
      <c r="M583">
        <v>7</v>
      </c>
      <c r="N583">
        <v>0</v>
      </c>
      <c r="O583">
        <v>1</v>
      </c>
      <c r="P583">
        <v>1</v>
      </c>
      <c r="Q583">
        <v>1</v>
      </c>
      <c r="R583">
        <v>1</v>
      </c>
      <c r="S583" t="s">
        <v>1056</v>
      </c>
    </row>
    <row r="584" spans="1:19">
      <c r="A584" t="s">
        <v>277</v>
      </c>
      <c r="B584" t="s">
        <v>24</v>
      </c>
      <c r="C584" t="s">
        <v>35</v>
      </c>
      <c r="D584" s="8">
        <v>45932</v>
      </c>
      <c r="E584" s="8">
        <v>45935</v>
      </c>
      <c r="F584" s="8">
        <v>45938</v>
      </c>
      <c r="G584" s="8">
        <v>45942</v>
      </c>
      <c r="H584" t="s">
        <v>22</v>
      </c>
      <c r="J584" s="8">
        <v>45958</v>
      </c>
      <c r="K584">
        <v>3</v>
      </c>
      <c r="L584">
        <v>3</v>
      </c>
      <c r="M584">
        <v>4</v>
      </c>
      <c r="N584">
        <v>6</v>
      </c>
      <c r="O584">
        <v>1</v>
      </c>
      <c r="P584">
        <v>1</v>
      </c>
      <c r="Q584">
        <v>1</v>
      </c>
      <c r="R584">
        <v>1</v>
      </c>
      <c r="S584" t="s">
        <v>1056</v>
      </c>
    </row>
    <row r="585" spans="1:19">
      <c r="A585" t="s">
        <v>286</v>
      </c>
      <c r="B585" t="s">
        <v>24</v>
      </c>
      <c r="C585" t="s">
        <v>21</v>
      </c>
      <c r="D585" s="8">
        <v>45952</v>
      </c>
      <c r="E585" s="8">
        <v>45957</v>
      </c>
      <c r="F585" s="8">
        <v>45958</v>
      </c>
      <c r="G585" s="8">
        <v>45961</v>
      </c>
      <c r="H585" t="s">
        <v>22</v>
      </c>
      <c r="J585" s="8">
        <v>45983</v>
      </c>
      <c r="K585">
        <v>5</v>
      </c>
      <c r="L585">
        <v>1</v>
      </c>
      <c r="M585">
        <v>3</v>
      </c>
      <c r="N585">
        <v>4</v>
      </c>
      <c r="O585">
        <v>1</v>
      </c>
      <c r="P585">
        <v>1</v>
      </c>
      <c r="Q585">
        <v>1</v>
      </c>
      <c r="R585">
        <v>1</v>
      </c>
      <c r="S585" t="s">
        <v>1056</v>
      </c>
    </row>
    <row r="586" spans="1:19">
      <c r="A586" t="s">
        <v>292</v>
      </c>
      <c r="B586" t="s">
        <v>24</v>
      </c>
      <c r="C586" t="s">
        <v>21</v>
      </c>
      <c r="D586" s="8">
        <v>45951</v>
      </c>
      <c r="E586" s="8">
        <v>45954</v>
      </c>
      <c r="F586" s="8">
        <v>45958</v>
      </c>
      <c r="G586" s="8">
        <v>45964</v>
      </c>
      <c r="H586" t="s">
        <v>22</v>
      </c>
      <c r="J586" s="8">
        <v>45982</v>
      </c>
      <c r="K586">
        <v>3</v>
      </c>
      <c r="L586">
        <v>4</v>
      </c>
      <c r="M586">
        <v>6</v>
      </c>
      <c r="N586">
        <v>4</v>
      </c>
      <c r="O586">
        <v>1</v>
      </c>
      <c r="P586">
        <v>1</v>
      </c>
      <c r="Q586">
        <v>1</v>
      </c>
      <c r="R586">
        <v>1</v>
      </c>
      <c r="S586" t="s">
        <v>1056</v>
      </c>
    </row>
    <row r="587" spans="1:19">
      <c r="A587" t="s">
        <v>293</v>
      </c>
      <c r="B587" t="s">
        <v>24</v>
      </c>
      <c r="C587" t="s">
        <v>21</v>
      </c>
      <c r="D587" s="8">
        <v>45949</v>
      </c>
      <c r="E587" s="8">
        <v>45952</v>
      </c>
      <c r="F587" s="8">
        <v>45957</v>
      </c>
      <c r="G587" s="8">
        <v>45964</v>
      </c>
      <c r="H587" t="s">
        <v>22</v>
      </c>
      <c r="J587" s="8">
        <v>45976</v>
      </c>
      <c r="K587">
        <v>3</v>
      </c>
      <c r="L587">
        <v>5</v>
      </c>
      <c r="M587">
        <v>7</v>
      </c>
      <c r="N587">
        <v>2</v>
      </c>
      <c r="O587">
        <v>1</v>
      </c>
      <c r="P587">
        <v>1</v>
      </c>
      <c r="Q587">
        <v>1</v>
      </c>
      <c r="R587">
        <v>1</v>
      </c>
      <c r="S587" t="s">
        <v>1056</v>
      </c>
    </row>
    <row r="588" spans="1:19">
      <c r="A588" t="s">
        <v>302</v>
      </c>
      <c r="B588" t="s">
        <v>24</v>
      </c>
      <c r="C588" t="s">
        <v>21</v>
      </c>
      <c r="D588" s="8">
        <v>45951</v>
      </c>
      <c r="E588" s="8">
        <v>45954</v>
      </c>
      <c r="F588" s="8">
        <v>45956</v>
      </c>
      <c r="G588" s="8">
        <v>45958</v>
      </c>
      <c r="H588" t="s">
        <v>22</v>
      </c>
      <c r="J588" s="8">
        <v>45980</v>
      </c>
      <c r="K588">
        <v>3</v>
      </c>
      <c r="L588">
        <v>2</v>
      </c>
      <c r="M588">
        <v>2</v>
      </c>
      <c r="N588">
        <v>1</v>
      </c>
      <c r="O588">
        <v>1</v>
      </c>
      <c r="P588">
        <v>1</v>
      </c>
      <c r="Q588">
        <v>1</v>
      </c>
      <c r="R588">
        <v>1</v>
      </c>
      <c r="S588" t="s">
        <v>1056</v>
      </c>
    </row>
    <row r="589" spans="1:19">
      <c r="A589" t="s">
        <v>307</v>
      </c>
      <c r="B589" t="s">
        <v>24</v>
      </c>
      <c r="C589" t="s">
        <v>21</v>
      </c>
      <c r="D589" s="8">
        <v>45935</v>
      </c>
      <c r="E589" s="8">
        <v>45940</v>
      </c>
      <c r="F589" s="8">
        <v>45944</v>
      </c>
      <c r="G589" s="8">
        <v>45951</v>
      </c>
      <c r="H589" t="s">
        <v>22</v>
      </c>
      <c r="J589" s="8">
        <v>45969</v>
      </c>
      <c r="K589">
        <v>5</v>
      </c>
      <c r="L589">
        <v>4</v>
      </c>
      <c r="M589">
        <v>7</v>
      </c>
      <c r="N589">
        <v>3</v>
      </c>
      <c r="O589">
        <v>1</v>
      </c>
      <c r="P589">
        <v>1</v>
      </c>
      <c r="Q589">
        <v>1</v>
      </c>
      <c r="R589">
        <v>1</v>
      </c>
      <c r="S589" t="s">
        <v>1056</v>
      </c>
    </row>
    <row r="590" spans="1:19">
      <c r="A590" t="s">
        <v>317</v>
      </c>
      <c r="B590" t="s">
        <v>24</v>
      </c>
      <c r="C590" t="s">
        <v>21</v>
      </c>
      <c r="D590" s="8">
        <v>45960</v>
      </c>
      <c r="E590" s="8">
        <v>45963</v>
      </c>
      <c r="F590" s="8">
        <v>45965</v>
      </c>
      <c r="G590" s="8">
        <v>45971</v>
      </c>
      <c r="H590" t="s">
        <v>22</v>
      </c>
      <c r="J590" s="8">
        <v>45989</v>
      </c>
      <c r="K590">
        <v>3</v>
      </c>
      <c r="L590">
        <v>2</v>
      </c>
      <c r="M590">
        <v>6</v>
      </c>
      <c r="N590">
        <v>4</v>
      </c>
      <c r="O590">
        <v>1</v>
      </c>
      <c r="P590">
        <v>1</v>
      </c>
      <c r="Q590">
        <v>1</v>
      </c>
      <c r="R590">
        <v>1</v>
      </c>
      <c r="S590" t="s">
        <v>1056</v>
      </c>
    </row>
    <row r="591" spans="1:19">
      <c r="A591" t="s">
        <v>326</v>
      </c>
      <c r="B591" t="s">
        <v>24</v>
      </c>
      <c r="C591" t="s">
        <v>35</v>
      </c>
      <c r="D591" s="8">
        <v>45961</v>
      </c>
      <c r="E591" s="8">
        <v>45966</v>
      </c>
      <c r="F591" s="8">
        <v>45971</v>
      </c>
      <c r="G591" s="8">
        <v>45978</v>
      </c>
      <c r="H591" t="s">
        <v>22</v>
      </c>
      <c r="J591" s="8">
        <v>45990</v>
      </c>
      <c r="K591">
        <v>5</v>
      </c>
      <c r="L591">
        <v>5</v>
      </c>
      <c r="M591">
        <v>7</v>
      </c>
      <c r="N591">
        <v>6</v>
      </c>
      <c r="O591">
        <v>1</v>
      </c>
      <c r="P591">
        <v>1</v>
      </c>
      <c r="Q591">
        <v>1</v>
      </c>
      <c r="R591">
        <v>1</v>
      </c>
      <c r="S591" t="s">
        <v>1056</v>
      </c>
    </row>
    <row r="592" spans="1:19">
      <c r="A592" t="s">
        <v>336</v>
      </c>
      <c r="B592" t="s">
        <v>24</v>
      </c>
      <c r="C592" t="s">
        <v>21</v>
      </c>
      <c r="D592" s="8">
        <v>45944</v>
      </c>
      <c r="E592" s="8">
        <v>45949</v>
      </c>
      <c r="F592" s="8">
        <v>45954</v>
      </c>
      <c r="G592" s="8">
        <v>45957</v>
      </c>
      <c r="H592" t="s">
        <v>22</v>
      </c>
      <c r="J592" s="8">
        <v>45984</v>
      </c>
      <c r="K592">
        <v>5</v>
      </c>
      <c r="L592">
        <v>5</v>
      </c>
      <c r="M592">
        <v>3</v>
      </c>
      <c r="N592">
        <v>6</v>
      </c>
      <c r="O592">
        <v>1</v>
      </c>
      <c r="P592">
        <v>1</v>
      </c>
      <c r="Q592">
        <v>1</v>
      </c>
      <c r="R592">
        <v>1</v>
      </c>
      <c r="S592" t="s">
        <v>1056</v>
      </c>
    </row>
    <row r="593" spans="1:19">
      <c r="A593" t="s">
        <v>338</v>
      </c>
      <c r="B593" t="s">
        <v>24</v>
      </c>
      <c r="C593" t="s">
        <v>21</v>
      </c>
      <c r="D593" s="8">
        <v>45941</v>
      </c>
      <c r="E593" s="8">
        <v>45944</v>
      </c>
      <c r="F593" s="8">
        <v>45949</v>
      </c>
      <c r="G593" s="8">
        <v>45952</v>
      </c>
      <c r="H593" t="s">
        <v>22</v>
      </c>
      <c r="J593" s="8">
        <v>45974</v>
      </c>
      <c r="K593">
        <v>3</v>
      </c>
      <c r="L593">
        <v>5</v>
      </c>
      <c r="M593">
        <v>3</v>
      </c>
      <c r="N593">
        <v>1</v>
      </c>
      <c r="O593">
        <v>1</v>
      </c>
      <c r="P593">
        <v>1</v>
      </c>
      <c r="Q593">
        <v>1</v>
      </c>
      <c r="R593">
        <v>1</v>
      </c>
      <c r="S593" t="s">
        <v>1056</v>
      </c>
    </row>
    <row r="594" spans="1:19">
      <c r="A594" t="s">
        <v>345</v>
      </c>
      <c r="B594" t="s">
        <v>24</v>
      </c>
      <c r="C594" t="s">
        <v>21</v>
      </c>
      <c r="D594" s="8">
        <v>45952</v>
      </c>
      <c r="E594" s="8">
        <v>45953</v>
      </c>
      <c r="F594" s="8">
        <v>45954</v>
      </c>
      <c r="G594" s="8">
        <v>45960</v>
      </c>
      <c r="H594" t="s">
        <v>22</v>
      </c>
      <c r="J594" s="8">
        <v>45985</v>
      </c>
      <c r="K594">
        <v>1</v>
      </c>
      <c r="L594">
        <v>1</v>
      </c>
      <c r="M594">
        <v>6</v>
      </c>
      <c r="N594">
        <v>6</v>
      </c>
      <c r="O594">
        <v>1</v>
      </c>
      <c r="P594">
        <v>1</v>
      </c>
      <c r="Q594">
        <v>1</v>
      </c>
      <c r="R594">
        <v>1</v>
      </c>
      <c r="S594" t="s">
        <v>1056</v>
      </c>
    </row>
    <row r="595" spans="1:19">
      <c r="A595" t="s">
        <v>353</v>
      </c>
      <c r="B595" t="s">
        <v>24</v>
      </c>
      <c r="C595" t="s">
        <v>21</v>
      </c>
      <c r="D595" s="8">
        <v>45952</v>
      </c>
      <c r="E595" s="8">
        <v>45956</v>
      </c>
      <c r="F595" s="8">
        <v>45960</v>
      </c>
      <c r="G595" s="8">
        <v>45962</v>
      </c>
      <c r="H595" t="s">
        <v>22</v>
      </c>
      <c r="J595" s="8">
        <v>45990</v>
      </c>
      <c r="K595">
        <v>4</v>
      </c>
      <c r="L595">
        <v>4</v>
      </c>
      <c r="M595">
        <v>2</v>
      </c>
      <c r="N595">
        <v>4</v>
      </c>
      <c r="O595">
        <v>1</v>
      </c>
      <c r="P595">
        <v>1</v>
      </c>
      <c r="Q595">
        <v>1</v>
      </c>
      <c r="R595">
        <v>1</v>
      </c>
      <c r="S595" t="s">
        <v>1056</v>
      </c>
    </row>
    <row r="596" spans="1:19">
      <c r="A596" t="s">
        <v>359</v>
      </c>
      <c r="B596" t="s">
        <v>24</v>
      </c>
      <c r="C596" t="s">
        <v>21</v>
      </c>
      <c r="D596" s="8">
        <v>45955</v>
      </c>
      <c r="E596" s="8">
        <v>45958</v>
      </c>
      <c r="F596" s="8">
        <v>45963</v>
      </c>
      <c r="G596" s="8">
        <v>45966</v>
      </c>
      <c r="H596" t="s">
        <v>22</v>
      </c>
      <c r="J596" s="8">
        <v>45995</v>
      </c>
      <c r="K596">
        <v>3</v>
      </c>
      <c r="L596">
        <v>5</v>
      </c>
      <c r="M596">
        <v>3</v>
      </c>
      <c r="N596">
        <v>6</v>
      </c>
      <c r="O596">
        <v>1</v>
      </c>
      <c r="P596">
        <v>1</v>
      </c>
      <c r="Q596">
        <v>1</v>
      </c>
      <c r="R596">
        <v>1</v>
      </c>
      <c r="S596" t="s">
        <v>1056</v>
      </c>
    </row>
    <row r="597" spans="1:19">
      <c r="A597" t="s">
        <v>361</v>
      </c>
      <c r="B597" t="s">
        <v>24</v>
      </c>
      <c r="C597" t="s">
        <v>21</v>
      </c>
      <c r="D597" s="8">
        <v>45946</v>
      </c>
      <c r="E597" s="8">
        <v>45949</v>
      </c>
      <c r="F597" s="8">
        <v>45954</v>
      </c>
      <c r="G597" s="8">
        <v>45959</v>
      </c>
      <c r="H597" t="s">
        <v>22</v>
      </c>
      <c r="J597" s="8">
        <v>45972</v>
      </c>
      <c r="K597">
        <v>3</v>
      </c>
      <c r="L597">
        <v>5</v>
      </c>
      <c r="M597">
        <v>5</v>
      </c>
      <c r="N597">
        <v>3</v>
      </c>
      <c r="O597">
        <v>1</v>
      </c>
      <c r="P597">
        <v>1</v>
      </c>
      <c r="Q597">
        <v>1</v>
      </c>
      <c r="R597">
        <v>1</v>
      </c>
      <c r="S597" t="s">
        <v>1056</v>
      </c>
    </row>
    <row r="598" spans="1:19">
      <c r="A598" t="s">
        <v>375</v>
      </c>
      <c r="B598" t="s">
        <v>24</v>
      </c>
      <c r="C598" t="s">
        <v>21</v>
      </c>
      <c r="D598" s="8">
        <v>45942</v>
      </c>
      <c r="E598" s="8">
        <v>45946</v>
      </c>
      <c r="F598" s="8">
        <v>45950</v>
      </c>
      <c r="G598" s="8">
        <v>45957</v>
      </c>
      <c r="H598" t="s">
        <v>22</v>
      </c>
      <c r="J598" s="8">
        <v>45973</v>
      </c>
      <c r="K598">
        <v>4</v>
      </c>
      <c r="L598">
        <v>4</v>
      </c>
      <c r="M598">
        <v>7</v>
      </c>
      <c r="N598">
        <v>4</v>
      </c>
      <c r="O598">
        <v>1</v>
      </c>
      <c r="P598">
        <v>1</v>
      </c>
      <c r="Q598">
        <v>1</v>
      </c>
      <c r="R598">
        <v>1</v>
      </c>
      <c r="S598" t="s">
        <v>1056</v>
      </c>
    </row>
    <row r="599" spans="1:19">
      <c r="A599" t="s">
        <v>382</v>
      </c>
      <c r="B599" t="s">
        <v>24</v>
      </c>
      <c r="C599" t="s">
        <v>21</v>
      </c>
      <c r="D599" s="8">
        <v>45936</v>
      </c>
      <c r="E599" s="8">
        <v>45941</v>
      </c>
      <c r="F599" s="8">
        <v>45942</v>
      </c>
      <c r="G599" s="8">
        <v>45945</v>
      </c>
      <c r="H599" t="s">
        <v>22</v>
      </c>
      <c r="J599" s="8">
        <v>45957</v>
      </c>
      <c r="K599">
        <v>5</v>
      </c>
      <c r="L599">
        <v>1</v>
      </c>
      <c r="M599">
        <v>3</v>
      </c>
      <c r="N599">
        <v>6</v>
      </c>
      <c r="O599">
        <v>1</v>
      </c>
      <c r="P599">
        <v>1</v>
      </c>
      <c r="Q599">
        <v>1</v>
      </c>
      <c r="R599">
        <v>1</v>
      </c>
      <c r="S599" t="s">
        <v>1056</v>
      </c>
    </row>
    <row r="600" spans="1:19">
      <c r="A600" t="s">
        <v>385</v>
      </c>
      <c r="B600" t="s">
        <v>24</v>
      </c>
      <c r="C600" t="s">
        <v>21</v>
      </c>
      <c r="D600" s="8">
        <v>45953</v>
      </c>
      <c r="E600" s="8">
        <v>45956</v>
      </c>
      <c r="F600" s="8">
        <v>45958</v>
      </c>
      <c r="G600" s="8">
        <v>45965</v>
      </c>
      <c r="H600" t="s">
        <v>22</v>
      </c>
      <c r="J600" s="8">
        <v>45987</v>
      </c>
      <c r="K600">
        <v>3</v>
      </c>
      <c r="L600">
        <v>2</v>
      </c>
      <c r="M600">
        <v>7</v>
      </c>
      <c r="N600">
        <v>5</v>
      </c>
      <c r="O600">
        <v>1</v>
      </c>
      <c r="P600">
        <v>1</v>
      </c>
      <c r="Q600">
        <v>1</v>
      </c>
      <c r="R600">
        <v>1</v>
      </c>
      <c r="S600" t="s">
        <v>1056</v>
      </c>
    </row>
    <row r="601" spans="1:19">
      <c r="A601" t="s">
        <v>387</v>
      </c>
      <c r="B601" t="s">
        <v>24</v>
      </c>
      <c r="C601" t="s">
        <v>35</v>
      </c>
      <c r="D601" s="8">
        <v>45940</v>
      </c>
      <c r="E601" s="8">
        <v>45944</v>
      </c>
      <c r="F601" s="8">
        <v>45946</v>
      </c>
      <c r="G601" s="8">
        <v>45950</v>
      </c>
      <c r="H601" t="s">
        <v>22</v>
      </c>
      <c r="J601" s="8">
        <v>45977</v>
      </c>
      <c r="K601">
        <v>4</v>
      </c>
      <c r="L601">
        <v>2</v>
      </c>
      <c r="M601">
        <v>4</v>
      </c>
      <c r="N601">
        <v>2</v>
      </c>
      <c r="O601">
        <v>1</v>
      </c>
      <c r="P601">
        <v>1</v>
      </c>
      <c r="Q601">
        <v>1</v>
      </c>
      <c r="R601">
        <v>1</v>
      </c>
      <c r="S601" t="s">
        <v>1056</v>
      </c>
    </row>
    <row r="602" spans="1:19">
      <c r="A602" t="s">
        <v>395</v>
      </c>
      <c r="B602" t="s">
        <v>24</v>
      </c>
      <c r="C602" t="s">
        <v>21</v>
      </c>
      <c r="D602" s="8">
        <v>45945</v>
      </c>
      <c r="E602" s="8">
        <v>45948</v>
      </c>
      <c r="F602" s="8">
        <v>45949</v>
      </c>
      <c r="G602" s="8">
        <v>45956</v>
      </c>
      <c r="H602" t="s">
        <v>22</v>
      </c>
      <c r="J602" s="8">
        <v>45966</v>
      </c>
      <c r="K602">
        <v>3</v>
      </c>
      <c r="L602">
        <v>1</v>
      </c>
      <c r="M602">
        <v>7</v>
      </c>
      <c r="N602">
        <v>1</v>
      </c>
      <c r="O602">
        <v>1</v>
      </c>
      <c r="P602">
        <v>1</v>
      </c>
      <c r="Q602">
        <v>1</v>
      </c>
      <c r="R602">
        <v>1</v>
      </c>
      <c r="S602" t="s">
        <v>1056</v>
      </c>
    </row>
    <row r="603" spans="1:19">
      <c r="A603" t="s">
        <v>402</v>
      </c>
      <c r="B603" t="s">
        <v>24</v>
      </c>
      <c r="C603" t="s">
        <v>35</v>
      </c>
      <c r="D603" s="8">
        <v>45943</v>
      </c>
      <c r="E603" s="8">
        <v>45944</v>
      </c>
      <c r="F603" s="8">
        <v>45948</v>
      </c>
      <c r="G603" s="8">
        <v>45954</v>
      </c>
      <c r="H603" t="s">
        <v>22</v>
      </c>
      <c r="J603" s="8">
        <v>45977</v>
      </c>
      <c r="K603">
        <v>1</v>
      </c>
      <c r="L603">
        <v>4</v>
      </c>
      <c r="M603">
        <v>6</v>
      </c>
      <c r="N603">
        <v>4</v>
      </c>
      <c r="O603">
        <v>1</v>
      </c>
      <c r="P603">
        <v>1</v>
      </c>
      <c r="Q603">
        <v>1</v>
      </c>
      <c r="R603">
        <v>1</v>
      </c>
      <c r="S603" t="s">
        <v>1056</v>
      </c>
    </row>
    <row r="604" spans="1:19">
      <c r="A604" t="s">
        <v>413</v>
      </c>
      <c r="B604" t="s">
        <v>24</v>
      </c>
      <c r="C604" t="s">
        <v>21</v>
      </c>
      <c r="D604" s="8">
        <v>45937</v>
      </c>
      <c r="E604" s="8">
        <v>45939</v>
      </c>
      <c r="F604" s="8">
        <v>45944</v>
      </c>
      <c r="G604" s="8">
        <v>45949</v>
      </c>
      <c r="H604" t="s">
        <v>22</v>
      </c>
      <c r="J604" s="8">
        <v>45962</v>
      </c>
      <c r="K604">
        <v>2</v>
      </c>
      <c r="L604">
        <v>5</v>
      </c>
      <c r="M604">
        <v>5</v>
      </c>
      <c r="N604">
        <v>1</v>
      </c>
      <c r="O604">
        <v>1</v>
      </c>
      <c r="P604">
        <v>1</v>
      </c>
      <c r="Q604">
        <v>1</v>
      </c>
      <c r="R604">
        <v>1</v>
      </c>
      <c r="S604" t="s">
        <v>1056</v>
      </c>
    </row>
    <row r="605" spans="1:19">
      <c r="A605" t="s">
        <v>415</v>
      </c>
      <c r="B605" t="s">
        <v>24</v>
      </c>
      <c r="C605" t="s">
        <v>21</v>
      </c>
      <c r="D605" s="8">
        <v>45942</v>
      </c>
      <c r="E605" s="8">
        <v>45945</v>
      </c>
      <c r="F605" s="8">
        <v>45947</v>
      </c>
      <c r="G605" s="8">
        <v>45950</v>
      </c>
      <c r="H605" t="s">
        <v>22</v>
      </c>
      <c r="J605" s="8">
        <v>45977</v>
      </c>
      <c r="K605">
        <v>3</v>
      </c>
      <c r="L605">
        <v>2</v>
      </c>
      <c r="M605">
        <v>3</v>
      </c>
      <c r="N605">
        <v>4</v>
      </c>
      <c r="O605">
        <v>1</v>
      </c>
      <c r="P605">
        <v>1</v>
      </c>
      <c r="Q605">
        <v>1</v>
      </c>
      <c r="R605">
        <v>1</v>
      </c>
      <c r="S605" t="s">
        <v>1056</v>
      </c>
    </row>
    <row r="606" spans="1:19">
      <c r="A606" t="s">
        <v>425</v>
      </c>
      <c r="B606" t="s">
        <v>24</v>
      </c>
      <c r="C606" t="s">
        <v>21</v>
      </c>
      <c r="D606" s="8">
        <v>45948</v>
      </c>
      <c r="E606" s="8">
        <v>45953</v>
      </c>
      <c r="F606" s="8">
        <v>45957</v>
      </c>
      <c r="G606" s="8">
        <v>45961</v>
      </c>
      <c r="H606" t="s">
        <v>22</v>
      </c>
      <c r="J606" s="8">
        <v>45989</v>
      </c>
      <c r="K606">
        <v>5</v>
      </c>
      <c r="L606">
        <v>4</v>
      </c>
      <c r="M606">
        <v>4</v>
      </c>
      <c r="N606">
        <v>6</v>
      </c>
      <c r="O606">
        <v>1</v>
      </c>
      <c r="P606">
        <v>1</v>
      </c>
      <c r="Q606">
        <v>1</v>
      </c>
      <c r="R606">
        <v>1</v>
      </c>
      <c r="S606" t="s">
        <v>1056</v>
      </c>
    </row>
    <row r="607" spans="1:19">
      <c r="A607" t="s">
        <v>431</v>
      </c>
      <c r="B607" t="s">
        <v>24</v>
      </c>
      <c r="C607" t="s">
        <v>21</v>
      </c>
      <c r="D607" s="8">
        <v>45953</v>
      </c>
      <c r="E607" s="8">
        <v>45958</v>
      </c>
      <c r="F607" s="8">
        <v>45959</v>
      </c>
      <c r="G607" s="8">
        <v>45962</v>
      </c>
      <c r="H607" t="s">
        <v>22</v>
      </c>
      <c r="J607" s="8">
        <v>45980</v>
      </c>
      <c r="K607">
        <v>5</v>
      </c>
      <c r="L607">
        <v>1</v>
      </c>
      <c r="M607">
        <v>3</v>
      </c>
      <c r="N607">
        <v>6</v>
      </c>
      <c r="O607">
        <v>1</v>
      </c>
      <c r="P607">
        <v>1</v>
      </c>
      <c r="Q607">
        <v>1</v>
      </c>
      <c r="R607">
        <v>1</v>
      </c>
      <c r="S607" t="s">
        <v>1056</v>
      </c>
    </row>
    <row r="608" spans="1:19">
      <c r="A608" t="s">
        <v>433</v>
      </c>
      <c r="B608" t="s">
        <v>24</v>
      </c>
      <c r="C608" t="s">
        <v>21</v>
      </c>
      <c r="D608" s="8">
        <v>45934</v>
      </c>
      <c r="E608" s="8">
        <v>45938</v>
      </c>
      <c r="F608" s="8">
        <v>45943</v>
      </c>
      <c r="G608" s="8">
        <v>45950</v>
      </c>
      <c r="H608" t="s">
        <v>22</v>
      </c>
      <c r="J608" s="8">
        <v>45964</v>
      </c>
      <c r="K608">
        <v>4</v>
      </c>
      <c r="L608">
        <v>5</v>
      </c>
      <c r="M608">
        <v>7</v>
      </c>
      <c r="N608">
        <v>1</v>
      </c>
      <c r="O608">
        <v>1</v>
      </c>
      <c r="P608">
        <v>1</v>
      </c>
      <c r="Q608">
        <v>1</v>
      </c>
      <c r="R608">
        <v>1</v>
      </c>
      <c r="S608" t="s">
        <v>1056</v>
      </c>
    </row>
    <row r="609" spans="1:19">
      <c r="A609" t="s">
        <v>457</v>
      </c>
      <c r="B609" t="s">
        <v>24</v>
      </c>
      <c r="C609" t="s">
        <v>21</v>
      </c>
      <c r="D609" s="8">
        <v>45946</v>
      </c>
      <c r="E609" s="8">
        <v>45951</v>
      </c>
      <c r="F609" s="8">
        <v>45954</v>
      </c>
      <c r="G609" s="8">
        <v>45956</v>
      </c>
      <c r="H609" t="s">
        <v>22</v>
      </c>
      <c r="J609" s="8">
        <v>45969</v>
      </c>
      <c r="K609">
        <v>5</v>
      </c>
      <c r="L609">
        <v>3</v>
      </c>
      <c r="M609">
        <v>2</v>
      </c>
      <c r="N609">
        <v>3</v>
      </c>
      <c r="O609">
        <v>1</v>
      </c>
      <c r="P609">
        <v>1</v>
      </c>
      <c r="Q609">
        <v>1</v>
      </c>
      <c r="R609">
        <v>1</v>
      </c>
      <c r="S609" t="s">
        <v>1056</v>
      </c>
    </row>
    <row r="610" spans="1:19">
      <c r="A610" t="s">
        <v>458</v>
      </c>
      <c r="B610" t="s">
        <v>24</v>
      </c>
      <c r="C610" t="s">
        <v>35</v>
      </c>
      <c r="D610" s="8">
        <v>45960</v>
      </c>
      <c r="E610" s="8">
        <v>45965</v>
      </c>
      <c r="F610" s="8">
        <v>45967</v>
      </c>
      <c r="G610" s="8">
        <v>45969</v>
      </c>
      <c r="H610" t="s">
        <v>22</v>
      </c>
      <c r="J610" s="8">
        <v>45986</v>
      </c>
      <c r="K610">
        <v>5</v>
      </c>
      <c r="L610">
        <v>2</v>
      </c>
      <c r="M610">
        <v>2</v>
      </c>
      <c r="N610">
        <v>3</v>
      </c>
      <c r="O610">
        <v>1</v>
      </c>
      <c r="P610">
        <v>1</v>
      </c>
      <c r="Q610">
        <v>1</v>
      </c>
      <c r="R610">
        <v>1</v>
      </c>
      <c r="S610" t="s">
        <v>1056</v>
      </c>
    </row>
    <row r="611" spans="1:19">
      <c r="A611" t="s">
        <v>478</v>
      </c>
      <c r="B611" t="s">
        <v>24</v>
      </c>
      <c r="C611" t="s">
        <v>35</v>
      </c>
      <c r="D611" s="8">
        <v>45959</v>
      </c>
      <c r="E611" s="8">
        <v>45962</v>
      </c>
      <c r="F611" s="8">
        <v>45966</v>
      </c>
      <c r="G611" s="8">
        <v>45972</v>
      </c>
      <c r="H611" t="s">
        <v>22</v>
      </c>
      <c r="J611" s="8">
        <v>45993</v>
      </c>
      <c r="K611">
        <v>3</v>
      </c>
      <c r="L611">
        <v>4</v>
      </c>
      <c r="M611">
        <v>6</v>
      </c>
      <c r="N611">
        <v>3</v>
      </c>
      <c r="O611">
        <v>1</v>
      </c>
      <c r="P611">
        <v>1</v>
      </c>
      <c r="Q611">
        <v>1</v>
      </c>
      <c r="R611">
        <v>1</v>
      </c>
      <c r="S611" t="s">
        <v>1056</v>
      </c>
    </row>
    <row r="612" spans="1:19">
      <c r="A612" t="s">
        <v>500</v>
      </c>
      <c r="B612" t="s">
        <v>24</v>
      </c>
      <c r="C612" t="s">
        <v>21</v>
      </c>
      <c r="D612" s="8">
        <v>45952</v>
      </c>
      <c r="E612" s="8">
        <v>45954</v>
      </c>
      <c r="F612" s="8">
        <v>45958</v>
      </c>
      <c r="G612" s="8">
        <v>45962</v>
      </c>
      <c r="H612" t="s">
        <v>22</v>
      </c>
      <c r="J612" s="8">
        <v>45978</v>
      </c>
      <c r="K612">
        <v>2</v>
      </c>
      <c r="L612">
        <v>4</v>
      </c>
      <c r="M612">
        <v>4</v>
      </c>
      <c r="N612">
        <v>1</v>
      </c>
      <c r="O612">
        <v>1</v>
      </c>
      <c r="P612">
        <v>1</v>
      </c>
      <c r="Q612">
        <v>1</v>
      </c>
      <c r="R612">
        <v>1</v>
      </c>
      <c r="S612" t="s">
        <v>1056</v>
      </c>
    </row>
    <row r="613" spans="1:19">
      <c r="A613" t="s">
        <v>515</v>
      </c>
      <c r="B613" t="s">
        <v>24</v>
      </c>
      <c r="C613" t="s">
        <v>21</v>
      </c>
      <c r="D613" s="8">
        <v>45941</v>
      </c>
      <c r="E613" s="8">
        <v>45942</v>
      </c>
      <c r="F613" s="8">
        <v>45944</v>
      </c>
      <c r="G613" s="8">
        <v>45946</v>
      </c>
      <c r="H613" t="s">
        <v>22</v>
      </c>
      <c r="J613" s="8">
        <v>45962</v>
      </c>
      <c r="K613">
        <v>1</v>
      </c>
      <c r="L613">
        <v>2</v>
      </c>
      <c r="M613">
        <v>2</v>
      </c>
      <c r="N613">
        <v>5</v>
      </c>
      <c r="O613">
        <v>1</v>
      </c>
      <c r="P613">
        <v>1</v>
      </c>
      <c r="Q613">
        <v>1</v>
      </c>
      <c r="R613">
        <v>1</v>
      </c>
      <c r="S613" t="s">
        <v>1056</v>
      </c>
    </row>
    <row r="614" spans="1:19">
      <c r="A614" t="s">
        <v>516</v>
      </c>
      <c r="B614" t="s">
        <v>24</v>
      </c>
      <c r="C614" t="s">
        <v>21</v>
      </c>
      <c r="D614" s="8">
        <v>45958</v>
      </c>
      <c r="E614" s="8">
        <v>45961</v>
      </c>
      <c r="F614" s="8">
        <v>45964</v>
      </c>
      <c r="G614" s="8">
        <v>45970</v>
      </c>
      <c r="H614" t="s">
        <v>22</v>
      </c>
      <c r="J614" s="8">
        <v>45988</v>
      </c>
      <c r="K614">
        <v>3</v>
      </c>
      <c r="L614">
        <v>3</v>
      </c>
      <c r="M614">
        <v>6</v>
      </c>
      <c r="N614">
        <v>5</v>
      </c>
      <c r="O614">
        <v>1</v>
      </c>
      <c r="P614">
        <v>1</v>
      </c>
      <c r="Q614">
        <v>1</v>
      </c>
      <c r="R614">
        <v>1</v>
      </c>
      <c r="S614" t="s">
        <v>1056</v>
      </c>
    </row>
    <row r="615" spans="1:19">
      <c r="A615" t="s">
        <v>537</v>
      </c>
      <c r="B615" t="s">
        <v>24</v>
      </c>
      <c r="C615" t="s">
        <v>21</v>
      </c>
      <c r="D615" s="8">
        <v>45957</v>
      </c>
      <c r="E615" s="8">
        <v>45960</v>
      </c>
      <c r="F615" s="8">
        <v>45962</v>
      </c>
      <c r="G615" s="8">
        <v>45964</v>
      </c>
      <c r="H615" t="s">
        <v>22</v>
      </c>
      <c r="J615" s="8">
        <v>45992</v>
      </c>
      <c r="K615">
        <v>3</v>
      </c>
      <c r="L615">
        <v>2</v>
      </c>
      <c r="M615">
        <v>2</v>
      </c>
      <c r="N615">
        <v>1</v>
      </c>
      <c r="O615">
        <v>1</v>
      </c>
      <c r="P615">
        <v>1</v>
      </c>
      <c r="Q615">
        <v>1</v>
      </c>
      <c r="R615">
        <v>1</v>
      </c>
      <c r="S615" t="s">
        <v>1056</v>
      </c>
    </row>
    <row r="616" spans="1:19">
      <c r="A616" t="s">
        <v>550</v>
      </c>
      <c r="B616" t="s">
        <v>24</v>
      </c>
      <c r="C616" t="s">
        <v>35</v>
      </c>
      <c r="D616" s="8">
        <v>45958</v>
      </c>
      <c r="E616" s="8">
        <v>45959</v>
      </c>
      <c r="F616" s="8">
        <v>45961</v>
      </c>
      <c r="G616" s="8">
        <v>45967</v>
      </c>
      <c r="H616" t="s">
        <v>22</v>
      </c>
      <c r="J616" s="8">
        <v>45989</v>
      </c>
      <c r="K616">
        <v>1</v>
      </c>
      <c r="L616">
        <v>2</v>
      </c>
      <c r="M616">
        <v>6</v>
      </c>
      <c r="N616">
        <v>1</v>
      </c>
      <c r="O616">
        <v>1</v>
      </c>
      <c r="P616">
        <v>1</v>
      </c>
      <c r="Q616">
        <v>1</v>
      </c>
      <c r="R616">
        <v>1</v>
      </c>
      <c r="S616" t="s">
        <v>1056</v>
      </c>
    </row>
    <row r="617" spans="1:19">
      <c r="A617" t="s">
        <v>552</v>
      </c>
      <c r="B617" t="s">
        <v>24</v>
      </c>
      <c r="C617" t="s">
        <v>21</v>
      </c>
      <c r="D617" s="8">
        <v>45945</v>
      </c>
      <c r="E617" s="8">
        <v>45950</v>
      </c>
      <c r="F617" s="8">
        <v>45952</v>
      </c>
      <c r="G617" s="8">
        <v>45957</v>
      </c>
      <c r="H617" t="s">
        <v>22</v>
      </c>
      <c r="J617" s="8">
        <v>45972</v>
      </c>
      <c r="K617">
        <v>5</v>
      </c>
      <c r="L617">
        <v>2</v>
      </c>
      <c r="M617">
        <v>5</v>
      </c>
      <c r="N617">
        <v>6</v>
      </c>
      <c r="O617">
        <v>1</v>
      </c>
      <c r="P617">
        <v>1</v>
      </c>
      <c r="Q617">
        <v>1</v>
      </c>
      <c r="R617">
        <v>1</v>
      </c>
      <c r="S617" t="s">
        <v>1056</v>
      </c>
    </row>
    <row r="618" spans="1:19">
      <c r="A618" t="s">
        <v>554</v>
      </c>
      <c r="B618" t="s">
        <v>24</v>
      </c>
      <c r="C618" t="s">
        <v>21</v>
      </c>
      <c r="D618" s="8">
        <v>45947</v>
      </c>
      <c r="E618" s="8">
        <v>45948</v>
      </c>
      <c r="F618" s="8">
        <v>45950</v>
      </c>
      <c r="G618" s="8">
        <v>45955</v>
      </c>
      <c r="H618" t="s">
        <v>22</v>
      </c>
      <c r="J618" s="8">
        <v>45971</v>
      </c>
      <c r="K618">
        <v>1</v>
      </c>
      <c r="L618">
        <v>2</v>
      </c>
      <c r="M618">
        <v>5</v>
      </c>
      <c r="N618">
        <v>4</v>
      </c>
      <c r="O618">
        <v>1</v>
      </c>
      <c r="P618">
        <v>1</v>
      </c>
      <c r="Q618">
        <v>1</v>
      </c>
      <c r="R618">
        <v>1</v>
      </c>
      <c r="S618" t="s">
        <v>1056</v>
      </c>
    </row>
    <row r="619" spans="1:19">
      <c r="A619" t="s">
        <v>559</v>
      </c>
      <c r="B619" t="s">
        <v>24</v>
      </c>
      <c r="C619" t="s">
        <v>21</v>
      </c>
      <c r="D619" s="8">
        <v>45935</v>
      </c>
      <c r="E619" s="8">
        <v>45937</v>
      </c>
      <c r="F619" s="8">
        <v>45941</v>
      </c>
      <c r="G619" s="8">
        <v>45947</v>
      </c>
      <c r="H619" t="s">
        <v>22</v>
      </c>
      <c r="J619" s="8">
        <v>45963</v>
      </c>
      <c r="K619">
        <v>2</v>
      </c>
      <c r="L619">
        <v>4</v>
      </c>
      <c r="M619">
        <v>6</v>
      </c>
      <c r="N619">
        <v>6</v>
      </c>
      <c r="O619">
        <v>1</v>
      </c>
      <c r="P619">
        <v>1</v>
      </c>
      <c r="Q619">
        <v>1</v>
      </c>
      <c r="R619">
        <v>1</v>
      </c>
      <c r="S619" t="s">
        <v>1056</v>
      </c>
    </row>
    <row r="620" spans="1:19">
      <c r="A620" t="s">
        <v>560</v>
      </c>
      <c r="B620" t="s">
        <v>24</v>
      </c>
      <c r="C620" t="s">
        <v>21</v>
      </c>
      <c r="D620" s="8">
        <v>45944</v>
      </c>
      <c r="E620" s="8">
        <v>45947</v>
      </c>
      <c r="F620" s="8">
        <v>45951</v>
      </c>
      <c r="G620" s="8">
        <v>45957</v>
      </c>
      <c r="H620" t="s">
        <v>22</v>
      </c>
      <c r="J620" s="8">
        <v>45975</v>
      </c>
      <c r="K620">
        <v>3</v>
      </c>
      <c r="L620">
        <v>4</v>
      </c>
      <c r="M620">
        <v>6</v>
      </c>
      <c r="N620">
        <v>4</v>
      </c>
      <c r="O620">
        <v>1</v>
      </c>
      <c r="P620">
        <v>1</v>
      </c>
      <c r="Q620">
        <v>1</v>
      </c>
      <c r="R620">
        <v>1</v>
      </c>
      <c r="S620" t="s">
        <v>1056</v>
      </c>
    </row>
    <row r="621" spans="1:19">
      <c r="A621" t="s">
        <v>578</v>
      </c>
      <c r="B621" t="s">
        <v>24</v>
      </c>
      <c r="C621" t="s">
        <v>35</v>
      </c>
      <c r="D621" s="8">
        <v>45958</v>
      </c>
      <c r="E621" s="8">
        <v>45963</v>
      </c>
      <c r="F621" s="8">
        <v>45966</v>
      </c>
      <c r="G621" s="8">
        <v>45973</v>
      </c>
      <c r="H621" t="s">
        <v>22</v>
      </c>
      <c r="J621" s="8">
        <v>45983</v>
      </c>
      <c r="K621">
        <v>5</v>
      </c>
      <c r="L621">
        <v>3</v>
      </c>
      <c r="M621">
        <v>7</v>
      </c>
      <c r="N621">
        <v>6</v>
      </c>
      <c r="O621">
        <v>1</v>
      </c>
      <c r="P621">
        <v>1</v>
      </c>
      <c r="Q621">
        <v>1</v>
      </c>
      <c r="R621">
        <v>1</v>
      </c>
      <c r="S621" t="s">
        <v>1056</v>
      </c>
    </row>
    <row r="622" spans="1:19">
      <c r="A622" t="s">
        <v>591</v>
      </c>
      <c r="B622" t="s">
        <v>24</v>
      </c>
      <c r="C622" t="s">
        <v>21</v>
      </c>
      <c r="D622" s="8">
        <v>45950</v>
      </c>
      <c r="E622" s="8">
        <v>45951</v>
      </c>
      <c r="F622" s="8">
        <v>45955</v>
      </c>
      <c r="G622" s="8">
        <v>45957</v>
      </c>
      <c r="H622" t="s">
        <v>22</v>
      </c>
      <c r="J622" s="8">
        <v>45973</v>
      </c>
      <c r="K622">
        <v>1</v>
      </c>
      <c r="L622">
        <v>4</v>
      </c>
      <c r="M622">
        <v>2</v>
      </c>
      <c r="N622">
        <v>6</v>
      </c>
      <c r="O622">
        <v>1</v>
      </c>
      <c r="P622">
        <v>1</v>
      </c>
      <c r="Q622">
        <v>1</v>
      </c>
      <c r="R622">
        <v>1</v>
      </c>
      <c r="S622" t="s">
        <v>1056</v>
      </c>
    </row>
    <row r="623" spans="1:19">
      <c r="A623" t="s">
        <v>595</v>
      </c>
      <c r="B623" t="s">
        <v>24</v>
      </c>
      <c r="C623" t="s">
        <v>21</v>
      </c>
      <c r="D623" s="8">
        <v>45952</v>
      </c>
      <c r="E623" s="8">
        <v>45953</v>
      </c>
      <c r="F623" s="8">
        <v>45955</v>
      </c>
      <c r="G623" s="8">
        <v>45957</v>
      </c>
      <c r="H623" t="s">
        <v>22</v>
      </c>
      <c r="J623" s="8">
        <v>45976</v>
      </c>
      <c r="K623">
        <v>1</v>
      </c>
      <c r="L623">
        <v>2</v>
      </c>
      <c r="M623">
        <v>2</v>
      </c>
      <c r="N623">
        <v>1</v>
      </c>
      <c r="O623">
        <v>1</v>
      </c>
      <c r="P623">
        <v>1</v>
      </c>
      <c r="Q623">
        <v>1</v>
      </c>
      <c r="R623">
        <v>1</v>
      </c>
      <c r="S623" t="s">
        <v>1056</v>
      </c>
    </row>
    <row r="624" spans="1:19">
      <c r="A624" t="s">
        <v>599</v>
      </c>
      <c r="B624" t="s">
        <v>24</v>
      </c>
      <c r="C624" t="s">
        <v>35</v>
      </c>
      <c r="D624" s="8">
        <v>45954</v>
      </c>
      <c r="E624" s="8">
        <v>45959</v>
      </c>
      <c r="F624" s="8">
        <v>45963</v>
      </c>
      <c r="G624" s="8">
        <v>45965</v>
      </c>
      <c r="H624" t="s">
        <v>22</v>
      </c>
      <c r="J624" s="8">
        <v>45993</v>
      </c>
      <c r="K624">
        <v>5</v>
      </c>
      <c r="L624">
        <v>4</v>
      </c>
      <c r="M624">
        <v>2</v>
      </c>
      <c r="N624">
        <v>3</v>
      </c>
      <c r="O624">
        <v>1</v>
      </c>
      <c r="P624">
        <v>1</v>
      </c>
      <c r="Q624">
        <v>1</v>
      </c>
      <c r="R624">
        <v>1</v>
      </c>
      <c r="S624" t="s">
        <v>1056</v>
      </c>
    </row>
    <row r="625" spans="1:19">
      <c r="A625" t="s">
        <v>607</v>
      </c>
      <c r="B625" t="s">
        <v>24</v>
      </c>
      <c r="C625" t="s">
        <v>21</v>
      </c>
      <c r="D625" s="8">
        <v>45934</v>
      </c>
      <c r="E625" s="8">
        <v>45936</v>
      </c>
      <c r="F625" s="8">
        <v>45940</v>
      </c>
      <c r="G625" s="8">
        <v>45942</v>
      </c>
      <c r="H625" t="s">
        <v>22</v>
      </c>
      <c r="J625" s="8">
        <v>45971</v>
      </c>
      <c r="K625">
        <v>2</v>
      </c>
      <c r="L625">
        <v>4</v>
      </c>
      <c r="M625">
        <v>2</v>
      </c>
      <c r="N625">
        <v>0</v>
      </c>
      <c r="O625">
        <v>1</v>
      </c>
      <c r="P625">
        <v>1</v>
      </c>
      <c r="Q625">
        <v>1</v>
      </c>
      <c r="R625">
        <v>1</v>
      </c>
      <c r="S625" t="s">
        <v>1056</v>
      </c>
    </row>
    <row r="626" spans="1:19">
      <c r="A626" t="s">
        <v>624</v>
      </c>
      <c r="B626" t="s">
        <v>24</v>
      </c>
      <c r="C626" t="s">
        <v>21</v>
      </c>
      <c r="D626" s="8">
        <v>45947</v>
      </c>
      <c r="E626" s="8">
        <v>45952</v>
      </c>
      <c r="F626" s="8">
        <v>45953</v>
      </c>
      <c r="G626" s="8">
        <v>45956</v>
      </c>
      <c r="H626" t="s">
        <v>22</v>
      </c>
      <c r="J626" s="8">
        <v>45986</v>
      </c>
      <c r="K626">
        <v>5</v>
      </c>
      <c r="L626">
        <v>1</v>
      </c>
      <c r="M626">
        <v>3</v>
      </c>
      <c r="N626">
        <v>0</v>
      </c>
      <c r="O626">
        <v>1</v>
      </c>
      <c r="P626">
        <v>1</v>
      </c>
      <c r="Q626">
        <v>1</v>
      </c>
      <c r="R626">
        <v>1</v>
      </c>
      <c r="S626" t="s">
        <v>1056</v>
      </c>
    </row>
    <row r="627" spans="1:19">
      <c r="A627" t="s">
        <v>630</v>
      </c>
      <c r="B627" t="s">
        <v>24</v>
      </c>
      <c r="C627" t="s">
        <v>21</v>
      </c>
      <c r="D627" s="8">
        <v>45936</v>
      </c>
      <c r="E627" s="8">
        <v>45938</v>
      </c>
      <c r="F627" s="8">
        <v>45940</v>
      </c>
      <c r="G627" s="8">
        <v>45944</v>
      </c>
      <c r="H627" t="s">
        <v>22</v>
      </c>
      <c r="J627" s="8">
        <v>45958</v>
      </c>
      <c r="K627">
        <v>2</v>
      </c>
      <c r="L627">
        <v>2</v>
      </c>
      <c r="M627">
        <v>4</v>
      </c>
      <c r="N627">
        <v>3</v>
      </c>
      <c r="O627">
        <v>1</v>
      </c>
      <c r="P627">
        <v>1</v>
      </c>
      <c r="Q627">
        <v>1</v>
      </c>
      <c r="R627">
        <v>1</v>
      </c>
      <c r="S627" t="s">
        <v>1056</v>
      </c>
    </row>
    <row r="628" spans="1:19">
      <c r="A628" t="s">
        <v>636</v>
      </c>
      <c r="B628" t="s">
        <v>24</v>
      </c>
      <c r="C628" t="s">
        <v>21</v>
      </c>
      <c r="D628" s="8">
        <v>45950</v>
      </c>
      <c r="E628" s="8">
        <v>45953</v>
      </c>
      <c r="F628" s="8">
        <v>45956</v>
      </c>
      <c r="G628" s="8">
        <v>45960</v>
      </c>
      <c r="H628" t="s">
        <v>22</v>
      </c>
      <c r="J628" s="8">
        <v>45982</v>
      </c>
      <c r="K628">
        <v>3</v>
      </c>
      <c r="L628">
        <v>3</v>
      </c>
      <c r="M628">
        <v>4</v>
      </c>
      <c r="N628">
        <v>6</v>
      </c>
      <c r="O628">
        <v>1</v>
      </c>
      <c r="P628">
        <v>1</v>
      </c>
      <c r="Q628">
        <v>1</v>
      </c>
      <c r="R628">
        <v>1</v>
      </c>
      <c r="S628" t="s">
        <v>1056</v>
      </c>
    </row>
    <row r="629" spans="1:19">
      <c r="A629" t="s">
        <v>640</v>
      </c>
      <c r="B629" t="s">
        <v>24</v>
      </c>
      <c r="C629" t="s">
        <v>35</v>
      </c>
      <c r="D629" s="8">
        <v>45960</v>
      </c>
      <c r="E629" s="8">
        <v>45964</v>
      </c>
      <c r="F629" s="8">
        <v>45968</v>
      </c>
      <c r="G629" s="8">
        <v>45970</v>
      </c>
      <c r="H629" t="s">
        <v>22</v>
      </c>
      <c r="J629" s="8">
        <v>46000</v>
      </c>
      <c r="K629">
        <v>4</v>
      </c>
      <c r="L629">
        <v>4</v>
      </c>
      <c r="M629">
        <v>2</v>
      </c>
      <c r="N629">
        <v>4</v>
      </c>
      <c r="O629">
        <v>1</v>
      </c>
      <c r="P629">
        <v>1</v>
      </c>
      <c r="Q629">
        <v>1</v>
      </c>
      <c r="R629">
        <v>1</v>
      </c>
      <c r="S629" t="s">
        <v>1056</v>
      </c>
    </row>
    <row r="630" spans="1:19">
      <c r="A630" t="s">
        <v>643</v>
      </c>
      <c r="B630" t="s">
        <v>24</v>
      </c>
      <c r="C630" t="s">
        <v>35</v>
      </c>
      <c r="D630" s="8">
        <v>45938</v>
      </c>
      <c r="E630" s="8">
        <v>45941</v>
      </c>
      <c r="F630" s="8">
        <v>45942</v>
      </c>
      <c r="G630" s="8">
        <v>45948</v>
      </c>
      <c r="H630" t="s">
        <v>22</v>
      </c>
      <c r="J630" s="8">
        <v>45966</v>
      </c>
      <c r="K630">
        <v>3</v>
      </c>
      <c r="L630">
        <v>1</v>
      </c>
      <c r="M630">
        <v>6</v>
      </c>
      <c r="N630">
        <v>1</v>
      </c>
      <c r="O630">
        <v>1</v>
      </c>
      <c r="P630">
        <v>1</v>
      </c>
      <c r="Q630">
        <v>1</v>
      </c>
      <c r="R630">
        <v>1</v>
      </c>
      <c r="S630" t="s">
        <v>1056</v>
      </c>
    </row>
    <row r="631" spans="1:19">
      <c r="A631" t="s">
        <v>644</v>
      </c>
      <c r="B631" t="s">
        <v>24</v>
      </c>
      <c r="C631" t="s">
        <v>21</v>
      </c>
      <c r="D631" s="8">
        <v>45945</v>
      </c>
      <c r="E631" s="8">
        <v>45947</v>
      </c>
      <c r="F631" s="8">
        <v>45952</v>
      </c>
      <c r="G631" s="8">
        <v>45956</v>
      </c>
      <c r="H631" t="s">
        <v>22</v>
      </c>
      <c r="J631" s="8">
        <v>45979</v>
      </c>
      <c r="K631">
        <v>2</v>
      </c>
      <c r="L631">
        <v>5</v>
      </c>
      <c r="M631">
        <v>4</v>
      </c>
      <c r="N631">
        <v>2</v>
      </c>
      <c r="O631">
        <v>1</v>
      </c>
      <c r="P631">
        <v>1</v>
      </c>
      <c r="Q631">
        <v>1</v>
      </c>
      <c r="R631">
        <v>1</v>
      </c>
      <c r="S631" t="s">
        <v>1056</v>
      </c>
    </row>
    <row r="632" spans="1:19">
      <c r="A632" t="s">
        <v>671</v>
      </c>
      <c r="B632" t="s">
        <v>24</v>
      </c>
      <c r="C632" t="s">
        <v>35</v>
      </c>
      <c r="D632" s="8">
        <v>45958</v>
      </c>
      <c r="E632" s="8">
        <v>45962</v>
      </c>
      <c r="F632" s="8">
        <v>45965</v>
      </c>
      <c r="G632" s="8">
        <v>45969</v>
      </c>
      <c r="H632" t="s">
        <v>22</v>
      </c>
      <c r="J632" s="8">
        <v>45988</v>
      </c>
      <c r="K632">
        <v>4</v>
      </c>
      <c r="L632">
        <v>3</v>
      </c>
      <c r="M632">
        <v>4</v>
      </c>
      <c r="N632">
        <v>1</v>
      </c>
      <c r="O632">
        <v>1</v>
      </c>
      <c r="P632">
        <v>1</v>
      </c>
      <c r="Q632">
        <v>1</v>
      </c>
      <c r="R632">
        <v>1</v>
      </c>
      <c r="S632" t="s">
        <v>1056</v>
      </c>
    </row>
    <row r="633" spans="1:19">
      <c r="A633" t="s">
        <v>676</v>
      </c>
      <c r="B633" t="s">
        <v>24</v>
      </c>
      <c r="C633" t="s">
        <v>35</v>
      </c>
      <c r="D633" s="8">
        <v>45946</v>
      </c>
      <c r="E633" s="8">
        <v>45950</v>
      </c>
      <c r="F633" s="8">
        <v>45953</v>
      </c>
      <c r="G633" s="8">
        <v>45955</v>
      </c>
      <c r="H633" t="s">
        <v>22</v>
      </c>
      <c r="J633" s="8">
        <v>45973</v>
      </c>
      <c r="K633">
        <v>4</v>
      </c>
      <c r="L633">
        <v>3</v>
      </c>
      <c r="M633">
        <v>2</v>
      </c>
      <c r="N633">
        <v>4</v>
      </c>
      <c r="O633">
        <v>1</v>
      </c>
      <c r="P633">
        <v>1</v>
      </c>
      <c r="Q633">
        <v>1</v>
      </c>
      <c r="R633">
        <v>1</v>
      </c>
      <c r="S633" t="s">
        <v>1056</v>
      </c>
    </row>
    <row r="634" spans="1:19">
      <c r="A634" t="s">
        <v>678</v>
      </c>
      <c r="B634" t="s">
        <v>24</v>
      </c>
      <c r="C634" t="s">
        <v>35</v>
      </c>
      <c r="D634" s="8">
        <v>45938</v>
      </c>
      <c r="E634" s="8">
        <v>45941</v>
      </c>
      <c r="F634" s="8">
        <v>45945</v>
      </c>
      <c r="G634" s="8">
        <v>45952</v>
      </c>
      <c r="H634" t="s">
        <v>22</v>
      </c>
      <c r="J634" s="8">
        <v>45967</v>
      </c>
      <c r="K634">
        <v>3</v>
      </c>
      <c r="L634">
        <v>4</v>
      </c>
      <c r="M634">
        <v>7</v>
      </c>
      <c r="N634">
        <v>0</v>
      </c>
      <c r="O634">
        <v>1</v>
      </c>
      <c r="P634">
        <v>1</v>
      </c>
      <c r="Q634">
        <v>1</v>
      </c>
      <c r="R634">
        <v>1</v>
      </c>
      <c r="S634" t="s">
        <v>1056</v>
      </c>
    </row>
    <row r="635" spans="1:19">
      <c r="A635" t="s">
        <v>692</v>
      </c>
      <c r="B635" t="s">
        <v>24</v>
      </c>
      <c r="C635" t="s">
        <v>21</v>
      </c>
      <c r="D635" s="8">
        <v>45949</v>
      </c>
      <c r="E635" s="8">
        <v>45951</v>
      </c>
      <c r="F635" s="8">
        <v>45956</v>
      </c>
      <c r="G635" s="8">
        <v>45958</v>
      </c>
      <c r="H635" t="s">
        <v>22</v>
      </c>
      <c r="J635" s="8">
        <v>45975</v>
      </c>
      <c r="K635">
        <v>2</v>
      </c>
      <c r="L635">
        <v>5</v>
      </c>
      <c r="M635">
        <v>2</v>
      </c>
      <c r="N635">
        <v>2</v>
      </c>
      <c r="O635">
        <v>1</v>
      </c>
      <c r="P635">
        <v>1</v>
      </c>
      <c r="Q635">
        <v>1</v>
      </c>
      <c r="R635">
        <v>1</v>
      </c>
      <c r="S635" t="s">
        <v>1056</v>
      </c>
    </row>
    <row r="636" spans="1:19">
      <c r="A636" t="s">
        <v>700</v>
      </c>
      <c r="B636" t="s">
        <v>24</v>
      </c>
      <c r="C636" t="s">
        <v>21</v>
      </c>
      <c r="D636" s="8">
        <v>45954</v>
      </c>
      <c r="E636" s="8">
        <v>45957</v>
      </c>
      <c r="F636" s="8">
        <v>45960</v>
      </c>
      <c r="G636" s="8">
        <v>45963</v>
      </c>
      <c r="H636" t="s">
        <v>22</v>
      </c>
      <c r="J636" s="8">
        <v>45987</v>
      </c>
      <c r="K636">
        <v>3</v>
      </c>
      <c r="L636">
        <v>3</v>
      </c>
      <c r="M636">
        <v>3</v>
      </c>
      <c r="N636">
        <v>0</v>
      </c>
      <c r="O636">
        <v>1</v>
      </c>
      <c r="P636">
        <v>1</v>
      </c>
      <c r="Q636">
        <v>1</v>
      </c>
      <c r="R636">
        <v>1</v>
      </c>
      <c r="S636" t="s">
        <v>1056</v>
      </c>
    </row>
    <row r="637" spans="1:19">
      <c r="A637" t="s">
        <v>701</v>
      </c>
      <c r="B637" t="s">
        <v>24</v>
      </c>
      <c r="C637" t="s">
        <v>35</v>
      </c>
      <c r="D637" s="8">
        <v>45946</v>
      </c>
      <c r="E637" s="8">
        <v>45950</v>
      </c>
      <c r="F637" s="8">
        <v>45955</v>
      </c>
      <c r="G637" s="8">
        <v>45961</v>
      </c>
      <c r="H637" t="s">
        <v>22</v>
      </c>
      <c r="J637" s="8">
        <v>45974</v>
      </c>
      <c r="K637">
        <v>4</v>
      </c>
      <c r="L637">
        <v>5</v>
      </c>
      <c r="M637">
        <v>6</v>
      </c>
      <c r="N637">
        <v>2</v>
      </c>
      <c r="O637">
        <v>1</v>
      </c>
      <c r="P637">
        <v>1</v>
      </c>
      <c r="Q637">
        <v>1</v>
      </c>
      <c r="R637">
        <v>1</v>
      </c>
      <c r="S637" t="s">
        <v>1056</v>
      </c>
    </row>
    <row r="638" spans="1:19">
      <c r="A638" t="s">
        <v>713</v>
      </c>
      <c r="B638" t="s">
        <v>24</v>
      </c>
      <c r="C638" t="s">
        <v>21</v>
      </c>
      <c r="D638" s="8">
        <v>45951</v>
      </c>
      <c r="E638" s="8">
        <v>45952</v>
      </c>
      <c r="F638" s="8">
        <v>45953</v>
      </c>
      <c r="G638" s="8">
        <v>45959</v>
      </c>
      <c r="H638" t="s">
        <v>22</v>
      </c>
      <c r="J638" s="8">
        <v>45971</v>
      </c>
      <c r="K638">
        <v>1</v>
      </c>
      <c r="L638">
        <v>1</v>
      </c>
      <c r="M638">
        <v>6</v>
      </c>
      <c r="N638">
        <v>2</v>
      </c>
      <c r="O638">
        <v>1</v>
      </c>
      <c r="P638">
        <v>1</v>
      </c>
      <c r="Q638">
        <v>1</v>
      </c>
      <c r="R638">
        <v>1</v>
      </c>
      <c r="S638" t="s">
        <v>1056</v>
      </c>
    </row>
    <row r="639" spans="1:19">
      <c r="A639" t="s">
        <v>736</v>
      </c>
      <c r="B639" t="s">
        <v>24</v>
      </c>
      <c r="C639" t="s">
        <v>21</v>
      </c>
      <c r="D639" s="8">
        <v>45942</v>
      </c>
      <c r="E639" s="8">
        <v>45943</v>
      </c>
      <c r="F639" s="8">
        <v>45948</v>
      </c>
      <c r="G639" s="8">
        <v>45955</v>
      </c>
      <c r="H639" t="s">
        <v>22</v>
      </c>
      <c r="J639" s="8">
        <v>45983</v>
      </c>
      <c r="K639">
        <v>1</v>
      </c>
      <c r="L639">
        <v>5</v>
      </c>
      <c r="M639">
        <v>7</v>
      </c>
      <c r="N639">
        <v>2</v>
      </c>
      <c r="O639">
        <v>1</v>
      </c>
      <c r="P639">
        <v>1</v>
      </c>
      <c r="Q639">
        <v>1</v>
      </c>
      <c r="R639">
        <v>1</v>
      </c>
      <c r="S639" t="s">
        <v>1056</v>
      </c>
    </row>
    <row r="640" spans="1:19">
      <c r="A640" t="s">
        <v>742</v>
      </c>
      <c r="B640" t="s">
        <v>24</v>
      </c>
      <c r="C640" t="s">
        <v>21</v>
      </c>
      <c r="D640" s="8">
        <v>45941</v>
      </c>
      <c r="E640" s="8">
        <v>45944</v>
      </c>
      <c r="F640" s="8">
        <v>45948</v>
      </c>
      <c r="G640" s="8">
        <v>45950</v>
      </c>
      <c r="H640" t="s">
        <v>22</v>
      </c>
      <c r="J640" s="8">
        <v>45962</v>
      </c>
      <c r="K640">
        <v>3</v>
      </c>
      <c r="L640">
        <v>4</v>
      </c>
      <c r="M640">
        <v>2</v>
      </c>
      <c r="N640">
        <v>6</v>
      </c>
      <c r="O640">
        <v>1</v>
      </c>
      <c r="P640">
        <v>1</v>
      </c>
      <c r="Q640">
        <v>1</v>
      </c>
      <c r="R640">
        <v>1</v>
      </c>
      <c r="S640" t="s">
        <v>1056</v>
      </c>
    </row>
    <row r="641" spans="1:19">
      <c r="A641" t="s">
        <v>745</v>
      </c>
      <c r="B641" t="s">
        <v>24</v>
      </c>
      <c r="C641" t="s">
        <v>35</v>
      </c>
      <c r="D641" s="8">
        <v>45936</v>
      </c>
      <c r="E641" s="8">
        <v>45937</v>
      </c>
      <c r="F641" s="8">
        <v>45942</v>
      </c>
      <c r="G641" s="8">
        <v>45946</v>
      </c>
      <c r="H641" t="s">
        <v>22</v>
      </c>
      <c r="J641" s="8">
        <v>45976</v>
      </c>
      <c r="K641">
        <v>1</v>
      </c>
      <c r="L641">
        <v>5</v>
      </c>
      <c r="M641">
        <v>4</v>
      </c>
      <c r="N641">
        <v>5</v>
      </c>
      <c r="O641">
        <v>1</v>
      </c>
      <c r="P641">
        <v>1</v>
      </c>
      <c r="Q641">
        <v>1</v>
      </c>
      <c r="R641">
        <v>1</v>
      </c>
      <c r="S641" t="s">
        <v>1056</v>
      </c>
    </row>
    <row r="642" spans="1:19">
      <c r="A642" t="s">
        <v>751</v>
      </c>
      <c r="B642" t="s">
        <v>24</v>
      </c>
      <c r="C642" t="s">
        <v>35</v>
      </c>
      <c r="D642" s="8">
        <v>45942</v>
      </c>
      <c r="E642" s="8">
        <v>45943</v>
      </c>
      <c r="F642" s="8">
        <v>45944</v>
      </c>
      <c r="G642" s="8">
        <v>45951</v>
      </c>
      <c r="H642" t="s">
        <v>22</v>
      </c>
      <c r="J642" s="8">
        <v>45975</v>
      </c>
      <c r="K642">
        <v>1</v>
      </c>
      <c r="L642">
        <v>1</v>
      </c>
      <c r="M642">
        <v>7</v>
      </c>
      <c r="N642">
        <v>2</v>
      </c>
      <c r="O642">
        <v>1</v>
      </c>
      <c r="P642">
        <v>1</v>
      </c>
      <c r="Q642">
        <v>1</v>
      </c>
      <c r="R642">
        <v>1</v>
      </c>
      <c r="S642" t="s">
        <v>1056</v>
      </c>
    </row>
    <row r="643" spans="1:19">
      <c r="A643" t="s">
        <v>763</v>
      </c>
      <c r="B643" t="s">
        <v>24</v>
      </c>
      <c r="C643" t="s">
        <v>21</v>
      </c>
      <c r="D643" s="8">
        <v>45961</v>
      </c>
      <c r="E643" s="8">
        <v>45966</v>
      </c>
      <c r="F643" s="8">
        <v>45968</v>
      </c>
      <c r="G643" s="8">
        <v>45970</v>
      </c>
      <c r="H643" t="s">
        <v>22</v>
      </c>
      <c r="J643" s="8">
        <v>46000</v>
      </c>
      <c r="K643">
        <v>5</v>
      </c>
      <c r="L643">
        <v>2</v>
      </c>
      <c r="M643">
        <v>2</v>
      </c>
      <c r="N643">
        <v>1</v>
      </c>
      <c r="O643">
        <v>1</v>
      </c>
      <c r="P643">
        <v>1</v>
      </c>
      <c r="Q643">
        <v>1</v>
      </c>
      <c r="R643">
        <v>1</v>
      </c>
      <c r="S643" t="s">
        <v>1056</v>
      </c>
    </row>
    <row r="644" spans="1:19">
      <c r="A644" t="s">
        <v>766</v>
      </c>
      <c r="B644" t="s">
        <v>24</v>
      </c>
      <c r="C644" t="s">
        <v>21</v>
      </c>
      <c r="D644" s="8">
        <v>45954</v>
      </c>
      <c r="E644" s="8">
        <v>45956</v>
      </c>
      <c r="F644" s="8">
        <v>45960</v>
      </c>
      <c r="G644" s="8">
        <v>45964</v>
      </c>
      <c r="H644" t="s">
        <v>22</v>
      </c>
      <c r="J644" s="8">
        <v>45987</v>
      </c>
      <c r="K644">
        <v>2</v>
      </c>
      <c r="L644">
        <v>4</v>
      </c>
      <c r="M644">
        <v>4</v>
      </c>
      <c r="N644">
        <v>4</v>
      </c>
      <c r="O644">
        <v>1</v>
      </c>
      <c r="P644">
        <v>1</v>
      </c>
      <c r="Q644">
        <v>1</v>
      </c>
      <c r="R644">
        <v>1</v>
      </c>
      <c r="S644" t="s">
        <v>1056</v>
      </c>
    </row>
    <row r="645" spans="1:19">
      <c r="A645" t="s">
        <v>767</v>
      </c>
      <c r="B645" t="s">
        <v>24</v>
      </c>
      <c r="C645" t="s">
        <v>21</v>
      </c>
      <c r="D645" s="8">
        <v>45958</v>
      </c>
      <c r="E645" s="8">
        <v>45960</v>
      </c>
      <c r="F645" s="8">
        <v>45964</v>
      </c>
      <c r="G645" s="8">
        <v>45966</v>
      </c>
      <c r="H645" t="s">
        <v>22</v>
      </c>
      <c r="J645" s="8">
        <v>45991</v>
      </c>
      <c r="K645">
        <v>2</v>
      </c>
      <c r="L645">
        <v>4</v>
      </c>
      <c r="M645">
        <v>2</v>
      </c>
      <c r="N645">
        <v>4</v>
      </c>
      <c r="O645">
        <v>1</v>
      </c>
      <c r="P645">
        <v>1</v>
      </c>
      <c r="Q645">
        <v>1</v>
      </c>
      <c r="R645">
        <v>1</v>
      </c>
      <c r="S645" t="s">
        <v>1056</v>
      </c>
    </row>
    <row r="646" spans="1:19">
      <c r="A646" t="s">
        <v>774</v>
      </c>
      <c r="B646" t="s">
        <v>24</v>
      </c>
      <c r="C646" t="s">
        <v>21</v>
      </c>
      <c r="D646" s="8">
        <v>45935</v>
      </c>
      <c r="E646" s="8">
        <v>45940</v>
      </c>
      <c r="F646" s="8">
        <v>45943</v>
      </c>
      <c r="G646" s="8">
        <v>45947</v>
      </c>
      <c r="H646" t="s">
        <v>22</v>
      </c>
      <c r="J646" s="8">
        <v>45968</v>
      </c>
      <c r="K646">
        <v>5</v>
      </c>
      <c r="L646">
        <v>3</v>
      </c>
      <c r="M646">
        <v>4</v>
      </c>
      <c r="N646">
        <v>2</v>
      </c>
      <c r="O646">
        <v>1</v>
      </c>
      <c r="P646">
        <v>1</v>
      </c>
      <c r="Q646">
        <v>1</v>
      </c>
      <c r="R646">
        <v>1</v>
      </c>
      <c r="S646" t="s">
        <v>1056</v>
      </c>
    </row>
    <row r="647" spans="1:19">
      <c r="A647" t="s">
        <v>788</v>
      </c>
      <c r="B647" t="s">
        <v>24</v>
      </c>
      <c r="C647" t="s">
        <v>21</v>
      </c>
      <c r="D647" s="8">
        <v>45933</v>
      </c>
      <c r="E647" s="8">
        <v>45937</v>
      </c>
      <c r="F647" s="8">
        <v>45938</v>
      </c>
      <c r="G647" s="8">
        <v>45940</v>
      </c>
      <c r="H647" t="s">
        <v>22</v>
      </c>
      <c r="J647" s="8">
        <v>45954</v>
      </c>
      <c r="K647">
        <v>4</v>
      </c>
      <c r="L647">
        <v>1</v>
      </c>
      <c r="M647">
        <v>2</v>
      </c>
      <c r="N647">
        <v>5</v>
      </c>
      <c r="O647">
        <v>1</v>
      </c>
      <c r="P647">
        <v>1</v>
      </c>
      <c r="Q647">
        <v>1</v>
      </c>
      <c r="R647">
        <v>1</v>
      </c>
      <c r="S647" t="s">
        <v>1056</v>
      </c>
    </row>
    <row r="648" spans="1:19">
      <c r="A648" t="s">
        <v>798</v>
      </c>
      <c r="B648" t="s">
        <v>24</v>
      </c>
      <c r="C648" t="s">
        <v>21</v>
      </c>
      <c r="D648" s="8">
        <v>45954</v>
      </c>
      <c r="E648" s="8">
        <v>45958</v>
      </c>
      <c r="F648" s="8">
        <v>45959</v>
      </c>
      <c r="G648" s="8">
        <v>45963</v>
      </c>
      <c r="H648" t="s">
        <v>22</v>
      </c>
      <c r="J648" s="8">
        <v>45978</v>
      </c>
      <c r="K648">
        <v>4</v>
      </c>
      <c r="L648">
        <v>1</v>
      </c>
      <c r="M648">
        <v>4</v>
      </c>
      <c r="N648">
        <v>1</v>
      </c>
      <c r="O648">
        <v>1</v>
      </c>
      <c r="P648">
        <v>1</v>
      </c>
      <c r="Q648">
        <v>1</v>
      </c>
      <c r="R648">
        <v>1</v>
      </c>
      <c r="S648" t="s">
        <v>1056</v>
      </c>
    </row>
    <row r="649" spans="1:19">
      <c r="A649" t="s">
        <v>802</v>
      </c>
      <c r="B649" t="s">
        <v>24</v>
      </c>
      <c r="C649" t="s">
        <v>21</v>
      </c>
      <c r="D649" s="8">
        <v>45943</v>
      </c>
      <c r="E649" s="8">
        <v>45945</v>
      </c>
      <c r="F649" s="8">
        <v>45949</v>
      </c>
      <c r="G649" s="8">
        <v>45956</v>
      </c>
      <c r="H649" t="s">
        <v>22</v>
      </c>
      <c r="J649" s="8">
        <v>45975</v>
      </c>
      <c r="K649">
        <v>2</v>
      </c>
      <c r="L649">
        <v>4</v>
      </c>
      <c r="M649">
        <v>7</v>
      </c>
      <c r="N649">
        <v>0</v>
      </c>
      <c r="O649">
        <v>1</v>
      </c>
      <c r="P649">
        <v>1</v>
      </c>
      <c r="Q649">
        <v>1</v>
      </c>
      <c r="R649">
        <v>1</v>
      </c>
      <c r="S649" t="s">
        <v>1056</v>
      </c>
    </row>
    <row r="650" spans="1:19">
      <c r="A650" t="s">
        <v>805</v>
      </c>
      <c r="B650" t="s">
        <v>24</v>
      </c>
      <c r="C650" t="s">
        <v>35</v>
      </c>
      <c r="D650" s="8">
        <v>45961</v>
      </c>
      <c r="E650" s="8">
        <v>45966</v>
      </c>
      <c r="F650" s="8">
        <v>45971</v>
      </c>
      <c r="G650" s="8">
        <v>45975</v>
      </c>
      <c r="H650" t="s">
        <v>22</v>
      </c>
      <c r="J650" s="8">
        <v>45994</v>
      </c>
      <c r="K650">
        <v>5</v>
      </c>
      <c r="L650">
        <v>5</v>
      </c>
      <c r="M650">
        <v>4</v>
      </c>
      <c r="N650">
        <v>4</v>
      </c>
      <c r="O650">
        <v>1</v>
      </c>
      <c r="P650">
        <v>1</v>
      </c>
      <c r="Q650">
        <v>1</v>
      </c>
      <c r="R650">
        <v>1</v>
      </c>
      <c r="S650" t="s">
        <v>1056</v>
      </c>
    </row>
    <row r="651" spans="1:19">
      <c r="A651" t="s">
        <v>811</v>
      </c>
      <c r="B651" t="s">
        <v>24</v>
      </c>
      <c r="C651" t="s">
        <v>21</v>
      </c>
      <c r="D651" s="8">
        <v>45931</v>
      </c>
      <c r="E651" s="8">
        <v>45935</v>
      </c>
      <c r="F651" s="8">
        <v>45936</v>
      </c>
      <c r="G651" s="8">
        <v>45939</v>
      </c>
      <c r="H651" t="s">
        <v>22</v>
      </c>
      <c r="J651" s="8">
        <v>45965</v>
      </c>
      <c r="K651">
        <v>4</v>
      </c>
      <c r="L651">
        <v>1</v>
      </c>
      <c r="M651">
        <v>3</v>
      </c>
      <c r="N651">
        <v>3</v>
      </c>
      <c r="O651">
        <v>1</v>
      </c>
      <c r="P651">
        <v>1</v>
      </c>
      <c r="Q651">
        <v>1</v>
      </c>
      <c r="R651">
        <v>1</v>
      </c>
      <c r="S651" t="s">
        <v>1056</v>
      </c>
    </row>
    <row r="652" spans="1:19">
      <c r="A652" t="s">
        <v>813</v>
      </c>
      <c r="B652" t="s">
        <v>24</v>
      </c>
      <c r="C652" t="s">
        <v>21</v>
      </c>
      <c r="D652" s="8">
        <v>45959</v>
      </c>
      <c r="E652" s="8">
        <v>45960</v>
      </c>
      <c r="F652" s="8">
        <v>45961</v>
      </c>
      <c r="G652" s="8">
        <v>45964</v>
      </c>
      <c r="H652" t="s">
        <v>22</v>
      </c>
      <c r="J652" s="8">
        <v>45987</v>
      </c>
      <c r="K652">
        <v>1</v>
      </c>
      <c r="L652">
        <v>1</v>
      </c>
      <c r="M652">
        <v>3</v>
      </c>
      <c r="N652">
        <v>2</v>
      </c>
      <c r="O652">
        <v>1</v>
      </c>
      <c r="P652">
        <v>1</v>
      </c>
      <c r="Q652">
        <v>1</v>
      </c>
      <c r="R652">
        <v>1</v>
      </c>
      <c r="S652" t="s">
        <v>1056</v>
      </c>
    </row>
    <row r="653" spans="1:19">
      <c r="A653" t="s">
        <v>840</v>
      </c>
      <c r="B653" t="s">
        <v>24</v>
      </c>
      <c r="C653" t="s">
        <v>21</v>
      </c>
      <c r="D653" s="8">
        <v>45959</v>
      </c>
      <c r="E653" s="8">
        <v>45964</v>
      </c>
      <c r="F653" s="8">
        <v>45966</v>
      </c>
      <c r="G653" s="8">
        <v>45968</v>
      </c>
      <c r="H653" t="s">
        <v>22</v>
      </c>
      <c r="J653" s="8">
        <v>45989</v>
      </c>
      <c r="K653">
        <v>5</v>
      </c>
      <c r="L653">
        <v>2</v>
      </c>
      <c r="M653">
        <v>2</v>
      </c>
      <c r="N653">
        <v>2</v>
      </c>
      <c r="O653">
        <v>1</v>
      </c>
      <c r="P653">
        <v>1</v>
      </c>
      <c r="Q653">
        <v>1</v>
      </c>
      <c r="R653">
        <v>1</v>
      </c>
      <c r="S653" t="s">
        <v>1056</v>
      </c>
    </row>
    <row r="654" spans="1:19">
      <c r="A654" t="s">
        <v>848</v>
      </c>
      <c r="B654" t="s">
        <v>24</v>
      </c>
      <c r="C654" t="s">
        <v>35</v>
      </c>
      <c r="D654" s="8">
        <v>45954</v>
      </c>
      <c r="E654" s="8">
        <v>45959</v>
      </c>
      <c r="F654" s="8">
        <v>45961</v>
      </c>
      <c r="G654" s="8">
        <v>45968</v>
      </c>
      <c r="H654" t="s">
        <v>22</v>
      </c>
      <c r="J654" s="8">
        <v>45995</v>
      </c>
      <c r="K654">
        <v>5</v>
      </c>
      <c r="L654">
        <v>2</v>
      </c>
      <c r="M654">
        <v>7</v>
      </c>
      <c r="N654">
        <v>5</v>
      </c>
      <c r="O654">
        <v>1</v>
      </c>
      <c r="P654">
        <v>1</v>
      </c>
      <c r="Q654">
        <v>1</v>
      </c>
      <c r="R654">
        <v>1</v>
      </c>
      <c r="S654" t="s">
        <v>1056</v>
      </c>
    </row>
    <row r="655" spans="1:19">
      <c r="A655" t="s">
        <v>858</v>
      </c>
      <c r="B655" t="s">
        <v>24</v>
      </c>
      <c r="C655" t="s">
        <v>35</v>
      </c>
      <c r="D655" s="8">
        <v>45944</v>
      </c>
      <c r="E655" s="8">
        <v>45945</v>
      </c>
      <c r="F655" s="8">
        <v>45946</v>
      </c>
      <c r="G655" s="8">
        <v>45949</v>
      </c>
      <c r="H655" t="s">
        <v>22</v>
      </c>
      <c r="J655" s="8">
        <v>45979</v>
      </c>
      <c r="K655">
        <v>1</v>
      </c>
      <c r="L655">
        <v>1</v>
      </c>
      <c r="M655">
        <v>3</v>
      </c>
      <c r="N655">
        <v>3</v>
      </c>
      <c r="O655">
        <v>1</v>
      </c>
      <c r="P655">
        <v>1</v>
      </c>
      <c r="Q655">
        <v>1</v>
      </c>
      <c r="R655">
        <v>1</v>
      </c>
      <c r="S655" t="s">
        <v>1056</v>
      </c>
    </row>
    <row r="656" spans="1:19">
      <c r="A656" t="s">
        <v>866</v>
      </c>
      <c r="B656" t="s">
        <v>24</v>
      </c>
      <c r="C656" t="s">
        <v>21</v>
      </c>
      <c r="D656" s="8">
        <v>45961</v>
      </c>
      <c r="E656" s="8">
        <v>45965</v>
      </c>
      <c r="F656" s="8">
        <v>45967</v>
      </c>
      <c r="G656" s="8">
        <v>45971</v>
      </c>
      <c r="H656" t="s">
        <v>22</v>
      </c>
      <c r="J656" s="8">
        <v>45995</v>
      </c>
      <c r="K656">
        <v>4</v>
      </c>
      <c r="L656">
        <v>2</v>
      </c>
      <c r="M656">
        <v>4</v>
      </c>
      <c r="N656">
        <v>6</v>
      </c>
      <c r="O656">
        <v>1</v>
      </c>
      <c r="P656">
        <v>1</v>
      </c>
      <c r="Q656">
        <v>1</v>
      </c>
      <c r="R656">
        <v>1</v>
      </c>
      <c r="S656" t="s">
        <v>1056</v>
      </c>
    </row>
    <row r="657" spans="1:19">
      <c r="A657" t="s">
        <v>871</v>
      </c>
      <c r="B657" t="s">
        <v>24</v>
      </c>
      <c r="C657" t="s">
        <v>35</v>
      </c>
      <c r="D657" s="8">
        <v>45937</v>
      </c>
      <c r="E657" s="8">
        <v>45940</v>
      </c>
      <c r="F657" s="8">
        <v>45941</v>
      </c>
      <c r="G657" s="8">
        <v>45947</v>
      </c>
      <c r="H657" t="s">
        <v>22</v>
      </c>
      <c r="J657" s="8">
        <v>45965</v>
      </c>
      <c r="K657">
        <v>3</v>
      </c>
      <c r="L657">
        <v>1</v>
      </c>
      <c r="M657">
        <v>6</v>
      </c>
      <c r="N657">
        <v>6</v>
      </c>
      <c r="O657">
        <v>1</v>
      </c>
      <c r="P657">
        <v>1</v>
      </c>
      <c r="Q657">
        <v>1</v>
      </c>
      <c r="R657">
        <v>1</v>
      </c>
      <c r="S657" t="s">
        <v>1056</v>
      </c>
    </row>
    <row r="658" spans="1:19">
      <c r="A658" t="s">
        <v>882</v>
      </c>
      <c r="B658" t="s">
        <v>24</v>
      </c>
      <c r="C658" t="s">
        <v>21</v>
      </c>
      <c r="D658" s="8">
        <v>45959</v>
      </c>
      <c r="E658" s="8">
        <v>45960</v>
      </c>
      <c r="F658" s="8">
        <v>45964</v>
      </c>
      <c r="G658" s="8">
        <v>45966</v>
      </c>
      <c r="H658" t="s">
        <v>22</v>
      </c>
      <c r="J658" s="8">
        <v>45989</v>
      </c>
      <c r="K658">
        <v>1</v>
      </c>
      <c r="L658">
        <v>4</v>
      </c>
      <c r="M658">
        <v>2</v>
      </c>
      <c r="N658">
        <v>6</v>
      </c>
      <c r="O658">
        <v>1</v>
      </c>
      <c r="P658">
        <v>1</v>
      </c>
      <c r="Q658">
        <v>1</v>
      </c>
      <c r="R658">
        <v>1</v>
      </c>
      <c r="S658" t="s">
        <v>1056</v>
      </c>
    </row>
    <row r="659" spans="1:19">
      <c r="A659" t="s">
        <v>883</v>
      </c>
      <c r="B659" t="s">
        <v>24</v>
      </c>
      <c r="C659" t="s">
        <v>21</v>
      </c>
      <c r="D659" s="8">
        <v>45951</v>
      </c>
      <c r="E659" s="8">
        <v>45953</v>
      </c>
      <c r="F659" s="8">
        <v>45958</v>
      </c>
      <c r="G659" s="8">
        <v>45960</v>
      </c>
      <c r="H659" t="s">
        <v>22</v>
      </c>
      <c r="J659" s="8">
        <v>45973</v>
      </c>
      <c r="K659">
        <v>2</v>
      </c>
      <c r="L659">
        <v>5</v>
      </c>
      <c r="M659">
        <v>2</v>
      </c>
      <c r="N659">
        <v>4</v>
      </c>
      <c r="O659">
        <v>1</v>
      </c>
      <c r="P659">
        <v>1</v>
      </c>
      <c r="Q659">
        <v>1</v>
      </c>
      <c r="R659">
        <v>1</v>
      </c>
      <c r="S659" t="s">
        <v>1056</v>
      </c>
    </row>
    <row r="660" spans="1:19">
      <c r="A660" t="s">
        <v>887</v>
      </c>
      <c r="B660" t="s">
        <v>24</v>
      </c>
      <c r="C660" t="s">
        <v>21</v>
      </c>
      <c r="D660" s="8">
        <v>45939</v>
      </c>
      <c r="E660" s="8">
        <v>45943</v>
      </c>
      <c r="F660" s="8">
        <v>45946</v>
      </c>
      <c r="G660" s="8">
        <v>45949</v>
      </c>
      <c r="H660" t="s">
        <v>22</v>
      </c>
      <c r="J660" s="8">
        <v>45967</v>
      </c>
      <c r="K660">
        <v>4</v>
      </c>
      <c r="L660">
        <v>3</v>
      </c>
      <c r="M660">
        <v>3</v>
      </c>
      <c r="N660">
        <v>2</v>
      </c>
      <c r="O660">
        <v>1</v>
      </c>
      <c r="P660">
        <v>1</v>
      </c>
      <c r="Q660">
        <v>1</v>
      </c>
      <c r="R660">
        <v>1</v>
      </c>
      <c r="S660" t="s">
        <v>1056</v>
      </c>
    </row>
    <row r="661" spans="1:19">
      <c r="A661" t="s">
        <v>902</v>
      </c>
      <c r="B661" t="s">
        <v>24</v>
      </c>
      <c r="C661" t="s">
        <v>21</v>
      </c>
      <c r="D661" s="8">
        <v>45932</v>
      </c>
      <c r="E661" s="8">
        <v>45933</v>
      </c>
      <c r="F661" s="8">
        <v>45936</v>
      </c>
      <c r="G661" s="8">
        <v>45939</v>
      </c>
      <c r="H661" t="s">
        <v>22</v>
      </c>
      <c r="J661" s="8">
        <v>45955</v>
      </c>
      <c r="K661">
        <v>1</v>
      </c>
      <c r="L661">
        <v>3</v>
      </c>
      <c r="M661">
        <v>3</v>
      </c>
      <c r="N661">
        <v>1</v>
      </c>
      <c r="O661">
        <v>1</v>
      </c>
      <c r="P661">
        <v>1</v>
      </c>
      <c r="Q661">
        <v>1</v>
      </c>
      <c r="R661">
        <v>1</v>
      </c>
      <c r="S661" t="s">
        <v>1056</v>
      </c>
    </row>
    <row r="662" spans="1:19">
      <c r="A662" t="s">
        <v>907</v>
      </c>
      <c r="B662" t="s">
        <v>24</v>
      </c>
      <c r="C662" t="s">
        <v>35</v>
      </c>
      <c r="D662" s="8">
        <v>45956</v>
      </c>
      <c r="E662" s="8">
        <v>45959</v>
      </c>
      <c r="F662" s="8">
        <v>45961</v>
      </c>
      <c r="G662" s="8">
        <v>45965</v>
      </c>
      <c r="H662" t="s">
        <v>22</v>
      </c>
      <c r="J662" s="8">
        <v>45981</v>
      </c>
      <c r="K662">
        <v>3</v>
      </c>
      <c r="L662">
        <v>2</v>
      </c>
      <c r="M662">
        <v>4</v>
      </c>
      <c r="N662">
        <v>3</v>
      </c>
      <c r="O662">
        <v>1</v>
      </c>
      <c r="P662">
        <v>1</v>
      </c>
      <c r="Q662">
        <v>1</v>
      </c>
      <c r="R662">
        <v>1</v>
      </c>
      <c r="S662" t="s">
        <v>1056</v>
      </c>
    </row>
    <row r="663" spans="1:19">
      <c r="A663" t="s">
        <v>908</v>
      </c>
      <c r="B663" t="s">
        <v>24</v>
      </c>
      <c r="C663" t="s">
        <v>35</v>
      </c>
      <c r="D663" s="8">
        <v>45949</v>
      </c>
      <c r="E663" s="8">
        <v>45953</v>
      </c>
      <c r="F663" s="8">
        <v>45958</v>
      </c>
      <c r="G663" s="8">
        <v>45960</v>
      </c>
      <c r="H663" t="s">
        <v>22</v>
      </c>
      <c r="J663" s="8">
        <v>45981</v>
      </c>
      <c r="K663">
        <v>4</v>
      </c>
      <c r="L663">
        <v>5</v>
      </c>
      <c r="M663">
        <v>2</v>
      </c>
      <c r="N663">
        <v>6</v>
      </c>
      <c r="O663">
        <v>1</v>
      </c>
      <c r="P663">
        <v>1</v>
      </c>
      <c r="Q663">
        <v>1</v>
      </c>
      <c r="R663">
        <v>1</v>
      </c>
      <c r="S663" t="s">
        <v>1056</v>
      </c>
    </row>
    <row r="664" spans="1:19">
      <c r="A664" t="s">
        <v>912</v>
      </c>
      <c r="B664" t="s">
        <v>24</v>
      </c>
      <c r="C664" t="s">
        <v>35</v>
      </c>
      <c r="D664" s="8">
        <v>45955</v>
      </c>
      <c r="E664" s="8">
        <v>45956</v>
      </c>
      <c r="F664" s="8">
        <v>45961</v>
      </c>
      <c r="G664" s="8">
        <v>45963</v>
      </c>
      <c r="H664" t="s">
        <v>22</v>
      </c>
      <c r="J664" s="8">
        <v>45978</v>
      </c>
      <c r="K664">
        <v>1</v>
      </c>
      <c r="L664">
        <v>5</v>
      </c>
      <c r="M664">
        <v>2</v>
      </c>
      <c r="N664">
        <v>4</v>
      </c>
      <c r="O664">
        <v>1</v>
      </c>
      <c r="P664">
        <v>1</v>
      </c>
      <c r="Q664">
        <v>1</v>
      </c>
      <c r="R664">
        <v>1</v>
      </c>
      <c r="S664" t="s">
        <v>1056</v>
      </c>
    </row>
    <row r="665" spans="1:19">
      <c r="A665" t="s">
        <v>913</v>
      </c>
      <c r="B665" t="s">
        <v>24</v>
      </c>
      <c r="C665" t="s">
        <v>21</v>
      </c>
      <c r="D665" s="8">
        <v>45948</v>
      </c>
      <c r="E665" s="8">
        <v>45949</v>
      </c>
      <c r="F665" s="8">
        <v>45950</v>
      </c>
      <c r="G665" s="8">
        <v>45953</v>
      </c>
      <c r="H665" t="s">
        <v>22</v>
      </c>
      <c r="J665" s="8">
        <v>45964</v>
      </c>
      <c r="K665">
        <v>1</v>
      </c>
      <c r="L665">
        <v>1</v>
      </c>
      <c r="M665">
        <v>3</v>
      </c>
      <c r="N665">
        <v>2</v>
      </c>
      <c r="O665">
        <v>1</v>
      </c>
      <c r="P665">
        <v>1</v>
      </c>
      <c r="Q665">
        <v>1</v>
      </c>
      <c r="R665">
        <v>1</v>
      </c>
      <c r="S665" t="s">
        <v>1056</v>
      </c>
    </row>
    <row r="666" spans="1:19">
      <c r="A666" t="s">
        <v>918</v>
      </c>
      <c r="B666" t="s">
        <v>24</v>
      </c>
      <c r="C666" t="s">
        <v>35</v>
      </c>
      <c r="D666" s="8">
        <v>45958</v>
      </c>
      <c r="E666" s="8">
        <v>45963</v>
      </c>
      <c r="F666" s="8">
        <v>45967</v>
      </c>
      <c r="G666" s="8">
        <v>45974</v>
      </c>
      <c r="H666" t="s">
        <v>22</v>
      </c>
      <c r="J666" s="8">
        <v>45990</v>
      </c>
      <c r="K666">
        <v>5</v>
      </c>
      <c r="L666">
        <v>4</v>
      </c>
      <c r="M666">
        <v>7</v>
      </c>
      <c r="N666">
        <v>3</v>
      </c>
      <c r="O666">
        <v>1</v>
      </c>
      <c r="P666">
        <v>1</v>
      </c>
      <c r="Q666">
        <v>1</v>
      </c>
      <c r="R666">
        <v>1</v>
      </c>
      <c r="S666" t="s">
        <v>1056</v>
      </c>
    </row>
    <row r="667" spans="1:19">
      <c r="A667" t="s">
        <v>927</v>
      </c>
      <c r="B667" t="s">
        <v>24</v>
      </c>
      <c r="C667" t="s">
        <v>21</v>
      </c>
      <c r="D667" s="8">
        <v>45939</v>
      </c>
      <c r="E667" s="8">
        <v>45941</v>
      </c>
      <c r="F667" s="8">
        <v>45943</v>
      </c>
      <c r="G667" s="8">
        <v>45946</v>
      </c>
      <c r="H667" t="s">
        <v>22</v>
      </c>
      <c r="J667" s="8">
        <v>45959</v>
      </c>
      <c r="K667">
        <v>2</v>
      </c>
      <c r="L667">
        <v>2</v>
      </c>
      <c r="M667">
        <v>3</v>
      </c>
      <c r="N667">
        <v>1</v>
      </c>
      <c r="O667">
        <v>1</v>
      </c>
      <c r="P667">
        <v>1</v>
      </c>
      <c r="Q667">
        <v>1</v>
      </c>
      <c r="R667">
        <v>1</v>
      </c>
      <c r="S667" t="s">
        <v>1056</v>
      </c>
    </row>
    <row r="668" spans="1:19">
      <c r="A668" t="s">
        <v>934</v>
      </c>
      <c r="B668" t="s">
        <v>24</v>
      </c>
      <c r="C668" t="s">
        <v>21</v>
      </c>
      <c r="D668" s="8">
        <v>45936</v>
      </c>
      <c r="E668" s="8">
        <v>45940</v>
      </c>
      <c r="F668" s="8">
        <v>45944</v>
      </c>
      <c r="G668" s="8">
        <v>45948</v>
      </c>
      <c r="H668" t="s">
        <v>22</v>
      </c>
      <c r="J668" s="8">
        <v>45962</v>
      </c>
      <c r="K668">
        <v>4</v>
      </c>
      <c r="L668">
        <v>4</v>
      </c>
      <c r="M668">
        <v>4</v>
      </c>
      <c r="N668">
        <v>0</v>
      </c>
      <c r="O668">
        <v>1</v>
      </c>
      <c r="P668">
        <v>1</v>
      </c>
      <c r="Q668">
        <v>1</v>
      </c>
      <c r="R668">
        <v>1</v>
      </c>
      <c r="S668" t="s">
        <v>1056</v>
      </c>
    </row>
    <row r="669" spans="1:19">
      <c r="A669" t="s">
        <v>935</v>
      </c>
      <c r="B669" t="s">
        <v>24</v>
      </c>
      <c r="C669" t="s">
        <v>21</v>
      </c>
      <c r="D669" s="8">
        <v>45934</v>
      </c>
      <c r="E669" s="8">
        <v>45938</v>
      </c>
      <c r="F669" s="8">
        <v>45939</v>
      </c>
      <c r="G669" s="8">
        <v>45943</v>
      </c>
      <c r="H669" t="s">
        <v>22</v>
      </c>
      <c r="J669" s="8">
        <v>45955</v>
      </c>
      <c r="K669">
        <v>4</v>
      </c>
      <c r="L669">
        <v>1</v>
      </c>
      <c r="M669">
        <v>4</v>
      </c>
      <c r="N669">
        <v>5</v>
      </c>
      <c r="O669">
        <v>1</v>
      </c>
      <c r="P669">
        <v>1</v>
      </c>
      <c r="Q669">
        <v>1</v>
      </c>
      <c r="R669">
        <v>1</v>
      </c>
      <c r="S669" t="s">
        <v>1056</v>
      </c>
    </row>
    <row r="670" spans="1:19">
      <c r="A670" t="s">
        <v>939</v>
      </c>
      <c r="B670" t="s">
        <v>24</v>
      </c>
      <c r="C670" t="s">
        <v>21</v>
      </c>
      <c r="D670" s="8">
        <v>45935</v>
      </c>
      <c r="E670" s="8">
        <v>45936</v>
      </c>
      <c r="F670" s="8">
        <v>45940</v>
      </c>
      <c r="G670" s="8">
        <v>45942</v>
      </c>
      <c r="H670" t="s">
        <v>22</v>
      </c>
      <c r="J670" s="8">
        <v>45955</v>
      </c>
      <c r="K670">
        <v>1</v>
      </c>
      <c r="L670">
        <v>4</v>
      </c>
      <c r="M670">
        <v>2</v>
      </c>
      <c r="N670">
        <v>4</v>
      </c>
      <c r="O670">
        <v>1</v>
      </c>
      <c r="P670">
        <v>1</v>
      </c>
      <c r="Q670">
        <v>1</v>
      </c>
      <c r="R670">
        <v>1</v>
      </c>
      <c r="S670" t="s">
        <v>1056</v>
      </c>
    </row>
    <row r="671" spans="1:19">
      <c r="A671" t="s">
        <v>965</v>
      </c>
      <c r="B671" t="s">
        <v>24</v>
      </c>
      <c r="C671" t="s">
        <v>21</v>
      </c>
      <c r="D671" s="8">
        <v>45945</v>
      </c>
      <c r="E671" s="8">
        <v>45946</v>
      </c>
      <c r="F671" s="8">
        <v>45949</v>
      </c>
      <c r="G671" s="8">
        <v>45956</v>
      </c>
      <c r="H671" t="s">
        <v>22</v>
      </c>
      <c r="J671" s="8">
        <v>45977</v>
      </c>
      <c r="K671">
        <v>1</v>
      </c>
      <c r="L671">
        <v>3</v>
      </c>
      <c r="M671">
        <v>7</v>
      </c>
      <c r="N671">
        <v>2</v>
      </c>
      <c r="O671">
        <v>1</v>
      </c>
      <c r="P671">
        <v>1</v>
      </c>
      <c r="Q671">
        <v>1</v>
      </c>
      <c r="R671">
        <v>1</v>
      </c>
      <c r="S671" t="s">
        <v>1056</v>
      </c>
    </row>
    <row r="672" spans="1:19">
      <c r="A672" t="s">
        <v>969</v>
      </c>
      <c r="B672" t="s">
        <v>24</v>
      </c>
      <c r="C672" t="s">
        <v>21</v>
      </c>
      <c r="D672" s="8">
        <v>45950</v>
      </c>
      <c r="E672" s="8">
        <v>45955</v>
      </c>
      <c r="F672" s="8">
        <v>45960</v>
      </c>
      <c r="G672" s="8">
        <v>45965</v>
      </c>
      <c r="H672" t="s">
        <v>22</v>
      </c>
      <c r="J672" s="8">
        <v>45983</v>
      </c>
      <c r="K672">
        <v>5</v>
      </c>
      <c r="L672">
        <v>5</v>
      </c>
      <c r="M672">
        <v>5</v>
      </c>
      <c r="N672">
        <v>4</v>
      </c>
      <c r="O672">
        <v>1</v>
      </c>
      <c r="P672">
        <v>1</v>
      </c>
      <c r="Q672">
        <v>1</v>
      </c>
      <c r="R672">
        <v>1</v>
      </c>
      <c r="S672" t="s">
        <v>1056</v>
      </c>
    </row>
    <row r="673" spans="1:19">
      <c r="A673" t="s">
        <v>978</v>
      </c>
      <c r="B673" t="s">
        <v>24</v>
      </c>
      <c r="C673" t="s">
        <v>21</v>
      </c>
      <c r="D673" s="8">
        <v>45945</v>
      </c>
      <c r="E673" s="8">
        <v>45950</v>
      </c>
      <c r="F673" s="8">
        <v>45954</v>
      </c>
      <c r="G673" s="8">
        <v>45957</v>
      </c>
      <c r="H673" t="s">
        <v>22</v>
      </c>
      <c r="J673" s="8">
        <v>45979</v>
      </c>
      <c r="K673">
        <v>5</v>
      </c>
      <c r="L673">
        <v>4</v>
      </c>
      <c r="M673">
        <v>3</v>
      </c>
      <c r="N673">
        <v>6</v>
      </c>
      <c r="O673">
        <v>1</v>
      </c>
      <c r="P673">
        <v>1</v>
      </c>
      <c r="Q673">
        <v>1</v>
      </c>
      <c r="R673">
        <v>1</v>
      </c>
      <c r="S673" t="s">
        <v>1056</v>
      </c>
    </row>
    <row r="674" spans="1:19">
      <c r="A674" t="s">
        <v>982</v>
      </c>
      <c r="B674" t="s">
        <v>24</v>
      </c>
      <c r="C674" t="s">
        <v>21</v>
      </c>
      <c r="D674" s="8">
        <v>45932</v>
      </c>
      <c r="E674" s="8">
        <v>45935</v>
      </c>
      <c r="F674" s="8">
        <v>45937</v>
      </c>
      <c r="G674" s="8">
        <v>45943</v>
      </c>
      <c r="H674" t="s">
        <v>22</v>
      </c>
      <c r="J674" s="8">
        <v>45965</v>
      </c>
      <c r="K674">
        <v>3</v>
      </c>
      <c r="L674">
        <v>2</v>
      </c>
      <c r="M674">
        <v>6</v>
      </c>
      <c r="N674">
        <v>2</v>
      </c>
      <c r="O674">
        <v>1</v>
      </c>
      <c r="P674">
        <v>1</v>
      </c>
      <c r="Q674">
        <v>1</v>
      </c>
      <c r="R674">
        <v>1</v>
      </c>
      <c r="S674" t="s">
        <v>1056</v>
      </c>
    </row>
    <row r="675" spans="1:19">
      <c r="A675" t="s">
        <v>984</v>
      </c>
      <c r="B675" t="s">
        <v>24</v>
      </c>
      <c r="C675" t="s">
        <v>35</v>
      </c>
      <c r="D675" s="8">
        <v>45958</v>
      </c>
      <c r="E675" s="8">
        <v>45963</v>
      </c>
      <c r="F675" s="8">
        <v>45964</v>
      </c>
      <c r="G675" s="8">
        <v>45966</v>
      </c>
      <c r="H675" t="s">
        <v>22</v>
      </c>
      <c r="J675" s="8">
        <v>45989</v>
      </c>
      <c r="K675">
        <v>5</v>
      </c>
      <c r="L675">
        <v>1</v>
      </c>
      <c r="M675">
        <v>2</v>
      </c>
      <c r="N675">
        <v>1</v>
      </c>
      <c r="O675">
        <v>1</v>
      </c>
      <c r="P675">
        <v>1</v>
      </c>
      <c r="Q675">
        <v>1</v>
      </c>
      <c r="R675">
        <v>1</v>
      </c>
      <c r="S675" t="s">
        <v>1056</v>
      </c>
    </row>
    <row r="676" spans="1:19">
      <c r="A676" t="s">
        <v>985</v>
      </c>
      <c r="B676" t="s">
        <v>24</v>
      </c>
      <c r="C676" t="s">
        <v>21</v>
      </c>
      <c r="D676" s="8">
        <v>45943</v>
      </c>
      <c r="E676" s="8">
        <v>45944</v>
      </c>
      <c r="F676" s="8">
        <v>45948</v>
      </c>
      <c r="G676" s="8">
        <v>45952</v>
      </c>
      <c r="H676" t="s">
        <v>22</v>
      </c>
      <c r="J676" s="8">
        <v>45982</v>
      </c>
      <c r="K676">
        <v>1</v>
      </c>
      <c r="L676">
        <v>4</v>
      </c>
      <c r="M676">
        <v>4</v>
      </c>
      <c r="N676">
        <v>1</v>
      </c>
      <c r="O676">
        <v>1</v>
      </c>
      <c r="P676">
        <v>1</v>
      </c>
      <c r="Q676">
        <v>1</v>
      </c>
      <c r="R676">
        <v>1</v>
      </c>
      <c r="S676" t="s">
        <v>1056</v>
      </c>
    </row>
    <row r="677" spans="1:19">
      <c r="A677" t="s">
        <v>996</v>
      </c>
      <c r="B677" t="s">
        <v>24</v>
      </c>
      <c r="C677" t="s">
        <v>35</v>
      </c>
      <c r="D677" s="8">
        <v>45941</v>
      </c>
      <c r="E677" s="8">
        <v>45943</v>
      </c>
      <c r="F677" s="8">
        <v>45946</v>
      </c>
      <c r="G677" s="8">
        <v>45948</v>
      </c>
      <c r="H677" t="s">
        <v>22</v>
      </c>
      <c r="J677" s="8">
        <v>45976</v>
      </c>
      <c r="K677">
        <v>2</v>
      </c>
      <c r="L677">
        <v>3</v>
      </c>
      <c r="M677">
        <v>2</v>
      </c>
      <c r="N677">
        <v>3</v>
      </c>
      <c r="O677">
        <v>1</v>
      </c>
      <c r="P677">
        <v>1</v>
      </c>
      <c r="Q677">
        <v>1</v>
      </c>
      <c r="R677">
        <v>1</v>
      </c>
      <c r="S677" t="s">
        <v>1056</v>
      </c>
    </row>
    <row r="678" spans="1:19">
      <c r="A678" t="s">
        <v>1024</v>
      </c>
      <c r="B678" t="s">
        <v>24</v>
      </c>
      <c r="C678" t="s">
        <v>35</v>
      </c>
      <c r="D678" s="8">
        <v>45955</v>
      </c>
      <c r="E678" s="8">
        <v>45959</v>
      </c>
      <c r="F678" s="8">
        <v>45961</v>
      </c>
      <c r="G678" s="8">
        <v>45968</v>
      </c>
      <c r="H678" t="s">
        <v>22</v>
      </c>
      <c r="J678" s="8">
        <v>45988</v>
      </c>
      <c r="K678">
        <v>4</v>
      </c>
      <c r="L678">
        <v>2</v>
      </c>
      <c r="M678">
        <v>7</v>
      </c>
      <c r="N678">
        <v>3</v>
      </c>
      <c r="O678">
        <v>1</v>
      </c>
      <c r="P678">
        <v>1</v>
      </c>
      <c r="Q678">
        <v>1</v>
      </c>
      <c r="R678">
        <v>1</v>
      </c>
      <c r="S678" t="s">
        <v>1056</v>
      </c>
    </row>
    <row r="679" spans="1:19">
      <c r="A679" t="s">
        <v>23</v>
      </c>
      <c r="B679" t="s">
        <v>24</v>
      </c>
      <c r="C679" t="s">
        <v>21</v>
      </c>
      <c r="D679" s="8">
        <v>45941</v>
      </c>
      <c r="E679" s="8">
        <v>45944</v>
      </c>
      <c r="F679" s="8">
        <v>45949</v>
      </c>
      <c r="G679" s="8">
        <v>45956</v>
      </c>
      <c r="H679" t="s">
        <v>22</v>
      </c>
      <c r="J679" s="8">
        <v>45983</v>
      </c>
      <c r="K679">
        <v>3</v>
      </c>
      <c r="L679">
        <v>5</v>
      </c>
      <c r="M679">
        <v>7</v>
      </c>
      <c r="N679">
        <v>8</v>
      </c>
      <c r="O679">
        <v>1</v>
      </c>
      <c r="P679">
        <v>1</v>
      </c>
      <c r="Q679">
        <v>1</v>
      </c>
      <c r="R679">
        <v>1</v>
      </c>
      <c r="S679" t="s">
        <v>1057</v>
      </c>
    </row>
    <row r="680" spans="1:19">
      <c r="A680" t="s">
        <v>32</v>
      </c>
      <c r="B680" t="s">
        <v>24</v>
      </c>
      <c r="C680" t="s">
        <v>21</v>
      </c>
      <c r="D680" s="8">
        <v>45944</v>
      </c>
      <c r="E680" s="8">
        <v>45948</v>
      </c>
      <c r="F680" s="8">
        <v>45951</v>
      </c>
      <c r="G680" s="8">
        <v>45954</v>
      </c>
      <c r="H680" t="s">
        <v>22</v>
      </c>
      <c r="J680" s="8">
        <v>45973</v>
      </c>
      <c r="K680">
        <v>4</v>
      </c>
      <c r="L680">
        <v>3</v>
      </c>
      <c r="M680">
        <v>3</v>
      </c>
      <c r="N680">
        <v>8</v>
      </c>
      <c r="O680">
        <v>1</v>
      </c>
      <c r="P680">
        <v>1</v>
      </c>
      <c r="Q680">
        <v>1</v>
      </c>
      <c r="R680">
        <v>1</v>
      </c>
      <c r="S680" t="s">
        <v>1057</v>
      </c>
    </row>
    <row r="681" spans="1:19">
      <c r="A681" t="s">
        <v>46</v>
      </c>
      <c r="B681" t="s">
        <v>24</v>
      </c>
      <c r="C681" t="s">
        <v>21</v>
      </c>
      <c r="D681" s="8">
        <v>45953</v>
      </c>
      <c r="E681" s="8">
        <v>45957</v>
      </c>
      <c r="F681" s="8">
        <v>45962</v>
      </c>
      <c r="G681" s="8">
        <v>45967</v>
      </c>
      <c r="H681" t="s">
        <v>22</v>
      </c>
      <c r="J681" s="8">
        <v>45984</v>
      </c>
      <c r="K681">
        <v>4</v>
      </c>
      <c r="L681">
        <v>5</v>
      </c>
      <c r="M681">
        <v>5</v>
      </c>
      <c r="N681">
        <v>8</v>
      </c>
      <c r="O681">
        <v>1</v>
      </c>
      <c r="P681">
        <v>1</v>
      </c>
      <c r="Q681">
        <v>1</v>
      </c>
      <c r="R681">
        <v>1</v>
      </c>
      <c r="S681" t="s">
        <v>1057</v>
      </c>
    </row>
    <row r="682" spans="1:19">
      <c r="A682" t="s">
        <v>53</v>
      </c>
      <c r="B682" t="s">
        <v>24</v>
      </c>
      <c r="C682" t="s">
        <v>21</v>
      </c>
      <c r="D682" s="8">
        <v>45951</v>
      </c>
      <c r="E682" s="8">
        <v>45954</v>
      </c>
      <c r="F682" s="8">
        <v>45959</v>
      </c>
      <c r="G682" s="8">
        <v>45962</v>
      </c>
      <c r="H682" t="s">
        <v>22</v>
      </c>
      <c r="J682" s="8">
        <v>45978</v>
      </c>
      <c r="K682">
        <v>3</v>
      </c>
      <c r="L682">
        <v>5</v>
      </c>
      <c r="M682">
        <v>3</v>
      </c>
      <c r="N682">
        <v>8</v>
      </c>
      <c r="O682">
        <v>1</v>
      </c>
      <c r="P682">
        <v>1</v>
      </c>
      <c r="Q682">
        <v>1</v>
      </c>
      <c r="R682">
        <v>1</v>
      </c>
      <c r="S682" t="s">
        <v>1057</v>
      </c>
    </row>
    <row r="683" spans="1:19">
      <c r="A683" t="s">
        <v>92</v>
      </c>
      <c r="B683" t="s">
        <v>24</v>
      </c>
      <c r="C683" t="s">
        <v>21</v>
      </c>
      <c r="D683" s="8">
        <v>45942</v>
      </c>
      <c r="E683" s="8">
        <v>45947</v>
      </c>
      <c r="F683" s="8">
        <v>45949</v>
      </c>
      <c r="G683" s="8">
        <v>45955</v>
      </c>
      <c r="H683" t="s">
        <v>22</v>
      </c>
      <c r="J683" s="8">
        <v>45984</v>
      </c>
      <c r="K683">
        <v>5</v>
      </c>
      <c r="L683">
        <v>2</v>
      </c>
      <c r="M683">
        <v>6</v>
      </c>
      <c r="N683">
        <v>7</v>
      </c>
      <c r="O683">
        <v>1</v>
      </c>
      <c r="P683">
        <v>1</v>
      </c>
      <c r="Q683">
        <v>1</v>
      </c>
      <c r="R683">
        <v>1</v>
      </c>
      <c r="S683" t="s">
        <v>1057</v>
      </c>
    </row>
    <row r="684" spans="1:19">
      <c r="A684" t="s">
        <v>119</v>
      </c>
      <c r="B684" t="s">
        <v>24</v>
      </c>
      <c r="C684" t="s">
        <v>35</v>
      </c>
      <c r="D684" s="8">
        <v>45953</v>
      </c>
      <c r="E684" s="8">
        <v>45954</v>
      </c>
      <c r="F684" s="8">
        <v>45958</v>
      </c>
      <c r="G684" s="8">
        <v>45961</v>
      </c>
      <c r="H684" t="s">
        <v>22</v>
      </c>
      <c r="J684" s="8">
        <v>45981</v>
      </c>
      <c r="K684">
        <v>1</v>
      </c>
      <c r="L684">
        <v>4</v>
      </c>
      <c r="M684">
        <v>3</v>
      </c>
      <c r="N684">
        <v>7</v>
      </c>
      <c r="O684">
        <v>1</v>
      </c>
      <c r="P684">
        <v>1</v>
      </c>
      <c r="Q684">
        <v>1</v>
      </c>
      <c r="R684">
        <v>1</v>
      </c>
      <c r="S684" t="s">
        <v>1057</v>
      </c>
    </row>
    <row r="685" spans="1:19">
      <c r="A685" t="s">
        <v>256</v>
      </c>
      <c r="B685" t="s">
        <v>24</v>
      </c>
      <c r="C685" t="s">
        <v>21</v>
      </c>
      <c r="D685" s="8">
        <v>45961</v>
      </c>
      <c r="E685" s="8">
        <v>45965</v>
      </c>
      <c r="F685" s="8">
        <v>45970</v>
      </c>
      <c r="G685" s="8">
        <v>45974</v>
      </c>
      <c r="H685" t="s">
        <v>22</v>
      </c>
      <c r="J685" s="8">
        <v>45999</v>
      </c>
      <c r="K685">
        <v>4</v>
      </c>
      <c r="L685">
        <v>5</v>
      </c>
      <c r="M685">
        <v>4</v>
      </c>
      <c r="N685">
        <v>7</v>
      </c>
      <c r="O685">
        <v>1</v>
      </c>
      <c r="P685">
        <v>1</v>
      </c>
      <c r="Q685">
        <v>1</v>
      </c>
      <c r="R685">
        <v>1</v>
      </c>
      <c r="S685" t="s">
        <v>1057</v>
      </c>
    </row>
    <row r="686" spans="1:19">
      <c r="A686" t="s">
        <v>268</v>
      </c>
      <c r="B686" t="s">
        <v>24</v>
      </c>
      <c r="C686" t="s">
        <v>35</v>
      </c>
      <c r="D686" s="8">
        <v>45933</v>
      </c>
      <c r="E686" s="8">
        <v>45935</v>
      </c>
      <c r="F686" s="8">
        <v>45938</v>
      </c>
      <c r="G686" s="8">
        <v>45942</v>
      </c>
      <c r="H686" t="s">
        <v>22</v>
      </c>
      <c r="J686" s="8">
        <v>45972</v>
      </c>
      <c r="K686">
        <v>2</v>
      </c>
      <c r="L686">
        <v>3</v>
      </c>
      <c r="M686">
        <v>4</v>
      </c>
      <c r="N686">
        <v>7</v>
      </c>
      <c r="O686">
        <v>1</v>
      </c>
      <c r="P686">
        <v>1</v>
      </c>
      <c r="Q686">
        <v>1</v>
      </c>
      <c r="R686">
        <v>1</v>
      </c>
      <c r="S686" t="s">
        <v>1057</v>
      </c>
    </row>
    <row r="687" spans="1:19">
      <c r="A687" t="s">
        <v>269</v>
      </c>
      <c r="B687" t="s">
        <v>24</v>
      </c>
      <c r="C687" t="s">
        <v>35</v>
      </c>
      <c r="D687" s="8">
        <v>45936</v>
      </c>
      <c r="E687" s="8">
        <v>45939</v>
      </c>
      <c r="F687" s="8">
        <v>45941</v>
      </c>
      <c r="G687" s="8">
        <v>45947</v>
      </c>
      <c r="H687" t="s">
        <v>22</v>
      </c>
      <c r="J687" s="8">
        <v>45976</v>
      </c>
      <c r="K687">
        <v>3</v>
      </c>
      <c r="L687">
        <v>2</v>
      </c>
      <c r="M687">
        <v>6</v>
      </c>
      <c r="N687">
        <v>7</v>
      </c>
      <c r="O687">
        <v>1</v>
      </c>
      <c r="P687">
        <v>1</v>
      </c>
      <c r="Q687">
        <v>1</v>
      </c>
      <c r="R687">
        <v>1</v>
      </c>
      <c r="S687" t="s">
        <v>1057</v>
      </c>
    </row>
    <row r="688" spans="1:19">
      <c r="A688" t="s">
        <v>309</v>
      </c>
      <c r="B688" t="s">
        <v>24</v>
      </c>
      <c r="C688" t="s">
        <v>21</v>
      </c>
      <c r="D688" s="8">
        <v>45932</v>
      </c>
      <c r="E688" s="8">
        <v>45935</v>
      </c>
      <c r="F688" s="8">
        <v>45938</v>
      </c>
      <c r="G688" s="8">
        <v>45945</v>
      </c>
      <c r="H688" t="s">
        <v>22</v>
      </c>
      <c r="J688" s="8">
        <v>45969</v>
      </c>
      <c r="K688">
        <v>3</v>
      </c>
      <c r="L688">
        <v>3</v>
      </c>
      <c r="M688">
        <v>7</v>
      </c>
      <c r="N688">
        <v>8</v>
      </c>
      <c r="O688">
        <v>1</v>
      </c>
      <c r="P688">
        <v>1</v>
      </c>
      <c r="Q688">
        <v>1</v>
      </c>
      <c r="R688">
        <v>1</v>
      </c>
      <c r="S688" t="s">
        <v>1057</v>
      </c>
    </row>
    <row r="689" spans="1:19">
      <c r="A689" t="s">
        <v>360</v>
      </c>
      <c r="B689" t="s">
        <v>24</v>
      </c>
      <c r="C689" t="s">
        <v>21</v>
      </c>
      <c r="D689" s="8">
        <v>45936</v>
      </c>
      <c r="E689" s="8">
        <v>45939</v>
      </c>
      <c r="F689" s="8">
        <v>45940</v>
      </c>
      <c r="G689" s="8">
        <v>45945</v>
      </c>
      <c r="H689" t="s">
        <v>22</v>
      </c>
      <c r="J689" s="8">
        <v>45959</v>
      </c>
      <c r="K689">
        <v>3</v>
      </c>
      <c r="L689">
        <v>1</v>
      </c>
      <c r="M689">
        <v>5</v>
      </c>
      <c r="N689">
        <v>7</v>
      </c>
      <c r="O689">
        <v>1</v>
      </c>
      <c r="P689">
        <v>1</v>
      </c>
      <c r="Q689">
        <v>1</v>
      </c>
      <c r="R689">
        <v>1</v>
      </c>
      <c r="S689" t="s">
        <v>1057</v>
      </c>
    </row>
    <row r="690" spans="1:19">
      <c r="A690" t="s">
        <v>376</v>
      </c>
      <c r="B690" t="s">
        <v>24</v>
      </c>
      <c r="C690" t="s">
        <v>21</v>
      </c>
      <c r="D690" s="8">
        <v>45944</v>
      </c>
      <c r="E690" s="8">
        <v>45947</v>
      </c>
      <c r="F690" s="8">
        <v>45950</v>
      </c>
      <c r="G690" s="8">
        <v>45954</v>
      </c>
      <c r="H690" t="s">
        <v>22</v>
      </c>
      <c r="J690" s="8">
        <v>45984</v>
      </c>
      <c r="K690">
        <v>3</v>
      </c>
      <c r="L690">
        <v>3</v>
      </c>
      <c r="M690">
        <v>4</v>
      </c>
      <c r="N690">
        <v>8</v>
      </c>
      <c r="O690">
        <v>1</v>
      </c>
      <c r="P690">
        <v>1</v>
      </c>
      <c r="Q690">
        <v>1</v>
      </c>
      <c r="R690">
        <v>1</v>
      </c>
      <c r="S690" t="s">
        <v>1057</v>
      </c>
    </row>
    <row r="691" spans="1:19">
      <c r="A691" t="s">
        <v>428</v>
      </c>
      <c r="B691" t="s">
        <v>24</v>
      </c>
      <c r="C691" t="s">
        <v>21</v>
      </c>
      <c r="D691" s="8">
        <v>45940</v>
      </c>
      <c r="E691" s="8">
        <v>45942</v>
      </c>
      <c r="F691" s="8">
        <v>45943</v>
      </c>
      <c r="G691" s="8">
        <v>45947</v>
      </c>
      <c r="H691" t="s">
        <v>22</v>
      </c>
      <c r="J691" s="8">
        <v>45972</v>
      </c>
      <c r="K691">
        <v>2</v>
      </c>
      <c r="L691">
        <v>1</v>
      </c>
      <c r="M691">
        <v>4</v>
      </c>
      <c r="N691">
        <v>8</v>
      </c>
      <c r="O691">
        <v>1</v>
      </c>
      <c r="P691">
        <v>1</v>
      </c>
      <c r="Q691">
        <v>1</v>
      </c>
      <c r="R691">
        <v>1</v>
      </c>
      <c r="S691" t="s">
        <v>1057</v>
      </c>
    </row>
    <row r="692" spans="1:19">
      <c r="A692" t="s">
        <v>454</v>
      </c>
      <c r="B692" t="s">
        <v>24</v>
      </c>
      <c r="C692" t="s">
        <v>35</v>
      </c>
      <c r="D692" s="8">
        <v>45951</v>
      </c>
      <c r="E692" s="8">
        <v>45954</v>
      </c>
      <c r="F692" s="8">
        <v>45959</v>
      </c>
      <c r="G692" s="8">
        <v>45964</v>
      </c>
      <c r="H692" t="s">
        <v>22</v>
      </c>
      <c r="J692" s="8">
        <v>45982</v>
      </c>
      <c r="K692">
        <v>3</v>
      </c>
      <c r="L692">
        <v>5</v>
      </c>
      <c r="M692">
        <v>5</v>
      </c>
      <c r="N692">
        <v>7</v>
      </c>
      <c r="O692">
        <v>1</v>
      </c>
      <c r="P692">
        <v>1</v>
      </c>
      <c r="Q692">
        <v>1</v>
      </c>
      <c r="R692">
        <v>1</v>
      </c>
      <c r="S692" t="s">
        <v>1057</v>
      </c>
    </row>
    <row r="693" spans="1:19">
      <c r="A693" t="s">
        <v>470</v>
      </c>
      <c r="B693" t="s">
        <v>24</v>
      </c>
      <c r="C693" t="s">
        <v>35</v>
      </c>
      <c r="D693" s="8">
        <v>45948</v>
      </c>
      <c r="E693" s="8">
        <v>45949</v>
      </c>
      <c r="F693" s="8">
        <v>45951</v>
      </c>
      <c r="G693" s="8">
        <v>45955</v>
      </c>
      <c r="H693" t="s">
        <v>22</v>
      </c>
      <c r="J693" s="8">
        <v>45979</v>
      </c>
      <c r="K693">
        <v>1</v>
      </c>
      <c r="L693">
        <v>2</v>
      </c>
      <c r="M693">
        <v>4</v>
      </c>
      <c r="N693">
        <v>8</v>
      </c>
      <c r="O693">
        <v>1</v>
      </c>
      <c r="P693">
        <v>1</v>
      </c>
      <c r="Q693">
        <v>1</v>
      </c>
      <c r="R693">
        <v>1</v>
      </c>
      <c r="S693" t="s">
        <v>1057</v>
      </c>
    </row>
    <row r="694" spans="1:19">
      <c r="A694" t="s">
        <v>542</v>
      </c>
      <c r="B694" t="s">
        <v>24</v>
      </c>
      <c r="C694" t="s">
        <v>21</v>
      </c>
      <c r="D694" s="8">
        <v>45932</v>
      </c>
      <c r="E694" s="8">
        <v>45933</v>
      </c>
      <c r="F694" s="8">
        <v>45936</v>
      </c>
      <c r="G694" s="8">
        <v>45938</v>
      </c>
      <c r="H694" t="s">
        <v>22</v>
      </c>
      <c r="J694" s="8">
        <v>45953</v>
      </c>
      <c r="K694">
        <v>1</v>
      </c>
      <c r="L694">
        <v>3</v>
      </c>
      <c r="M694">
        <v>2</v>
      </c>
      <c r="N694">
        <v>7</v>
      </c>
      <c r="O694">
        <v>1</v>
      </c>
      <c r="P694">
        <v>1</v>
      </c>
      <c r="Q694">
        <v>1</v>
      </c>
      <c r="R694">
        <v>1</v>
      </c>
      <c r="S694" t="s">
        <v>1057</v>
      </c>
    </row>
    <row r="695" spans="1:19">
      <c r="A695" t="s">
        <v>553</v>
      </c>
      <c r="B695" t="s">
        <v>24</v>
      </c>
      <c r="C695" t="s">
        <v>21</v>
      </c>
      <c r="D695" s="8">
        <v>45934</v>
      </c>
      <c r="E695" s="8">
        <v>45939</v>
      </c>
      <c r="F695" s="8">
        <v>45943</v>
      </c>
      <c r="G695" s="8">
        <v>45950</v>
      </c>
      <c r="H695" t="s">
        <v>22</v>
      </c>
      <c r="J695" s="8">
        <v>45978</v>
      </c>
      <c r="K695">
        <v>5</v>
      </c>
      <c r="L695">
        <v>4</v>
      </c>
      <c r="M695">
        <v>7</v>
      </c>
      <c r="N695">
        <v>7</v>
      </c>
      <c r="O695">
        <v>1</v>
      </c>
      <c r="P695">
        <v>1</v>
      </c>
      <c r="Q695">
        <v>1</v>
      </c>
      <c r="R695">
        <v>1</v>
      </c>
      <c r="S695" t="s">
        <v>1057</v>
      </c>
    </row>
    <row r="696" spans="1:19">
      <c r="A696" t="s">
        <v>557</v>
      </c>
      <c r="B696" t="s">
        <v>24</v>
      </c>
      <c r="C696" t="s">
        <v>21</v>
      </c>
      <c r="D696" s="8">
        <v>45931</v>
      </c>
      <c r="E696" s="8">
        <v>45936</v>
      </c>
      <c r="F696" s="8">
        <v>45939</v>
      </c>
      <c r="G696" s="8">
        <v>45946</v>
      </c>
      <c r="H696" t="s">
        <v>22</v>
      </c>
      <c r="J696" s="8">
        <v>45976</v>
      </c>
      <c r="K696">
        <v>5</v>
      </c>
      <c r="L696">
        <v>3</v>
      </c>
      <c r="M696">
        <v>7</v>
      </c>
      <c r="N696">
        <v>8</v>
      </c>
      <c r="O696">
        <v>1</v>
      </c>
      <c r="P696">
        <v>1</v>
      </c>
      <c r="Q696">
        <v>1</v>
      </c>
      <c r="R696">
        <v>1</v>
      </c>
      <c r="S696" t="s">
        <v>1057</v>
      </c>
    </row>
    <row r="697" spans="1:19">
      <c r="A697" t="s">
        <v>606</v>
      </c>
      <c r="B697" t="s">
        <v>24</v>
      </c>
      <c r="C697" t="s">
        <v>35</v>
      </c>
      <c r="D697" s="8">
        <v>45958</v>
      </c>
      <c r="E697" s="8">
        <v>45961</v>
      </c>
      <c r="F697" s="8">
        <v>45964</v>
      </c>
      <c r="G697" s="8">
        <v>45967</v>
      </c>
      <c r="H697" t="s">
        <v>22</v>
      </c>
      <c r="J697" s="8">
        <v>45997</v>
      </c>
      <c r="K697">
        <v>3</v>
      </c>
      <c r="L697">
        <v>3</v>
      </c>
      <c r="M697">
        <v>3</v>
      </c>
      <c r="N697">
        <v>7</v>
      </c>
      <c r="O697">
        <v>1</v>
      </c>
      <c r="P697">
        <v>1</v>
      </c>
      <c r="Q697">
        <v>1</v>
      </c>
      <c r="R697">
        <v>1</v>
      </c>
      <c r="S697" t="s">
        <v>1057</v>
      </c>
    </row>
    <row r="698" spans="1:19">
      <c r="A698" t="s">
        <v>628</v>
      </c>
      <c r="B698" t="s">
        <v>24</v>
      </c>
      <c r="C698" t="s">
        <v>21</v>
      </c>
      <c r="D698" s="8">
        <v>45956</v>
      </c>
      <c r="E698" s="8">
        <v>45959</v>
      </c>
      <c r="F698" s="8">
        <v>45961</v>
      </c>
      <c r="G698" s="8">
        <v>45963</v>
      </c>
      <c r="H698" t="s">
        <v>22</v>
      </c>
      <c r="J698" s="8">
        <v>45979</v>
      </c>
      <c r="K698">
        <v>3</v>
      </c>
      <c r="L698">
        <v>2</v>
      </c>
      <c r="M698">
        <v>2</v>
      </c>
      <c r="N698">
        <v>8</v>
      </c>
      <c r="O698">
        <v>1</v>
      </c>
      <c r="P698">
        <v>1</v>
      </c>
      <c r="Q698">
        <v>1</v>
      </c>
      <c r="R698">
        <v>1</v>
      </c>
      <c r="S698" t="s">
        <v>1057</v>
      </c>
    </row>
    <row r="699" spans="1:19">
      <c r="A699" t="s">
        <v>723</v>
      </c>
      <c r="B699" t="s">
        <v>24</v>
      </c>
      <c r="C699" t="s">
        <v>21</v>
      </c>
      <c r="D699" s="8">
        <v>45957</v>
      </c>
      <c r="E699" s="8">
        <v>45960</v>
      </c>
      <c r="F699" s="8">
        <v>45962</v>
      </c>
      <c r="G699" s="8">
        <v>45968</v>
      </c>
      <c r="H699" t="s">
        <v>22</v>
      </c>
      <c r="J699" s="8">
        <v>45994</v>
      </c>
      <c r="K699">
        <v>3</v>
      </c>
      <c r="L699">
        <v>2</v>
      </c>
      <c r="M699">
        <v>6</v>
      </c>
      <c r="N699">
        <v>7</v>
      </c>
      <c r="O699">
        <v>1</v>
      </c>
      <c r="P699">
        <v>1</v>
      </c>
      <c r="Q699">
        <v>1</v>
      </c>
      <c r="R699">
        <v>1</v>
      </c>
      <c r="S699" t="s">
        <v>1057</v>
      </c>
    </row>
    <row r="700" spans="1:19">
      <c r="A700" t="s">
        <v>746</v>
      </c>
      <c r="B700" t="s">
        <v>24</v>
      </c>
      <c r="C700" t="s">
        <v>21</v>
      </c>
      <c r="D700" s="8">
        <v>45937</v>
      </c>
      <c r="E700" s="8">
        <v>45939</v>
      </c>
      <c r="F700" s="8">
        <v>45942</v>
      </c>
      <c r="G700" s="8">
        <v>45949</v>
      </c>
      <c r="H700" t="s">
        <v>22</v>
      </c>
      <c r="J700" s="8">
        <v>45964</v>
      </c>
      <c r="K700">
        <v>2</v>
      </c>
      <c r="L700">
        <v>3</v>
      </c>
      <c r="M700">
        <v>7</v>
      </c>
      <c r="N700">
        <v>8</v>
      </c>
      <c r="O700">
        <v>1</v>
      </c>
      <c r="P700">
        <v>1</v>
      </c>
      <c r="Q700">
        <v>1</v>
      </c>
      <c r="R700">
        <v>1</v>
      </c>
      <c r="S700" t="s">
        <v>1057</v>
      </c>
    </row>
    <row r="701" spans="1:19">
      <c r="A701" t="s">
        <v>747</v>
      </c>
      <c r="B701" t="s">
        <v>24</v>
      </c>
      <c r="C701" t="s">
        <v>35</v>
      </c>
      <c r="D701" s="8">
        <v>45935</v>
      </c>
      <c r="E701" s="8">
        <v>45936</v>
      </c>
      <c r="F701" s="8">
        <v>45937</v>
      </c>
      <c r="G701" s="8">
        <v>45944</v>
      </c>
      <c r="H701" t="s">
        <v>22</v>
      </c>
      <c r="J701" s="8">
        <v>45964</v>
      </c>
      <c r="K701">
        <v>1</v>
      </c>
      <c r="L701">
        <v>1</v>
      </c>
      <c r="M701">
        <v>7</v>
      </c>
      <c r="N701">
        <v>7</v>
      </c>
      <c r="O701">
        <v>1</v>
      </c>
      <c r="P701">
        <v>1</v>
      </c>
      <c r="Q701">
        <v>1</v>
      </c>
      <c r="R701">
        <v>1</v>
      </c>
      <c r="S701" t="s">
        <v>1057</v>
      </c>
    </row>
    <row r="702" spans="1:19">
      <c r="A702" t="s">
        <v>750</v>
      </c>
      <c r="B702" t="s">
        <v>24</v>
      </c>
      <c r="C702" t="s">
        <v>35</v>
      </c>
      <c r="D702" s="8">
        <v>45959</v>
      </c>
      <c r="E702" s="8">
        <v>45963</v>
      </c>
      <c r="F702" s="8">
        <v>45965</v>
      </c>
      <c r="G702" s="8">
        <v>45967</v>
      </c>
      <c r="H702" t="s">
        <v>22</v>
      </c>
      <c r="J702" s="8">
        <v>45977</v>
      </c>
      <c r="K702">
        <v>4</v>
      </c>
      <c r="L702">
        <v>2</v>
      </c>
      <c r="M702">
        <v>2</v>
      </c>
      <c r="N702">
        <v>7</v>
      </c>
      <c r="O702">
        <v>1</v>
      </c>
      <c r="P702">
        <v>1</v>
      </c>
      <c r="Q702">
        <v>1</v>
      </c>
      <c r="R702">
        <v>1</v>
      </c>
      <c r="S702" t="s">
        <v>1057</v>
      </c>
    </row>
    <row r="703" spans="1:19">
      <c r="A703" t="s">
        <v>752</v>
      </c>
      <c r="B703" t="s">
        <v>24</v>
      </c>
      <c r="C703" t="s">
        <v>21</v>
      </c>
      <c r="D703" s="8">
        <v>45947</v>
      </c>
      <c r="E703" s="8">
        <v>45950</v>
      </c>
      <c r="F703" s="8">
        <v>45953</v>
      </c>
      <c r="G703" s="8">
        <v>45958</v>
      </c>
      <c r="H703" t="s">
        <v>22</v>
      </c>
      <c r="J703" s="8">
        <v>45976</v>
      </c>
      <c r="K703">
        <v>3</v>
      </c>
      <c r="L703">
        <v>3</v>
      </c>
      <c r="M703">
        <v>5</v>
      </c>
      <c r="N703">
        <v>7</v>
      </c>
      <c r="O703">
        <v>1</v>
      </c>
      <c r="P703">
        <v>1</v>
      </c>
      <c r="Q703">
        <v>1</v>
      </c>
      <c r="R703">
        <v>1</v>
      </c>
      <c r="S703" t="s">
        <v>1057</v>
      </c>
    </row>
    <row r="704" spans="1:19">
      <c r="A704" t="s">
        <v>764</v>
      </c>
      <c r="B704" t="s">
        <v>24</v>
      </c>
      <c r="C704" t="s">
        <v>21</v>
      </c>
      <c r="D704" s="8">
        <v>45956</v>
      </c>
      <c r="E704" s="8">
        <v>45958</v>
      </c>
      <c r="F704" s="8">
        <v>45961</v>
      </c>
      <c r="G704" s="8">
        <v>45964</v>
      </c>
      <c r="H704" t="s">
        <v>22</v>
      </c>
      <c r="J704" s="8">
        <v>45987</v>
      </c>
      <c r="K704">
        <v>2</v>
      </c>
      <c r="L704">
        <v>3</v>
      </c>
      <c r="M704">
        <v>3</v>
      </c>
      <c r="N704">
        <v>8</v>
      </c>
      <c r="O704">
        <v>1</v>
      </c>
      <c r="P704">
        <v>1</v>
      </c>
      <c r="Q704">
        <v>1</v>
      </c>
      <c r="R704">
        <v>1</v>
      </c>
      <c r="S704" t="s">
        <v>1057</v>
      </c>
    </row>
    <row r="705" spans="1:19">
      <c r="A705" t="s">
        <v>850</v>
      </c>
      <c r="B705" t="s">
        <v>24</v>
      </c>
      <c r="C705" t="s">
        <v>35</v>
      </c>
      <c r="D705" s="8">
        <v>45961</v>
      </c>
      <c r="E705" s="8">
        <v>45963</v>
      </c>
      <c r="F705" s="8">
        <v>45965</v>
      </c>
      <c r="G705" s="8">
        <v>45967</v>
      </c>
      <c r="H705" t="s">
        <v>22</v>
      </c>
      <c r="J705" s="8">
        <v>45996</v>
      </c>
      <c r="K705">
        <v>2</v>
      </c>
      <c r="L705">
        <v>2</v>
      </c>
      <c r="M705">
        <v>2</v>
      </c>
      <c r="N705">
        <v>8</v>
      </c>
      <c r="O705">
        <v>1</v>
      </c>
      <c r="P705">
        <v>1</v>
      </c>
      <c r="Q705">
        <v>1</v>
      </c>
      <c r="R705">
        <v>1</v>
      </c>
      <c r="S705" t="s">
        <v>1057</v>
      </c>
    </row>
    <row r="706" spans="1:19">
      <c r="A706" t="s">
        <v>888</v>
      </c>
      <c r="B706" t="s">
        <v>24</v>
      </c>
      <c r="C706" t="s">
        <v>35</v>
      </c>
      <c r="D706" s="8">
        <v>45937</v>
      </c>
      <c r="E706" s="8">
        <v>45941</v>
      </c>
      <c r="F706" s="8">
        <v>45946</v>
      </c>
      <c r="G706" s="8">
        <v>45949</v>
      </c>
      <c r="H706" t="s">
        <v>22</v>
      </c>
      <c r="J706" s="8">
        <v>45978</v>
      </c>
      <c r="K706">
        <v>4</v>
      </c>
      <c r="L706">
        <v>5</v>
      </c>
      <c r="M706">
        <v>3</v>
      </c>
      <c r="N706">
        <v>7</v>
      </c>
      <c r="O706">
        <v>1</v>
      </c>
      <c r="P706">
        <v>1</v>
      </c>
      <c r="Q706">
        <v>1</v>
      </c>
      <c r="R706">
        <v>1</v>
      </c>
      <c r="S706" t="s">
        <v>1057</v>
      </c>
    </row>
    <row r="707" spans="1:19">
      <c r="A707" t="s">
        <v>891</v>
      </c>
      <c r="B707" t="s">
        <v>24</v>
      </c>
      <c r="C707" t="s">
        <v>21</v>
      </c>
      <c r="D707" s="8">
        <v>45961</v>
      </c>
      <c r="E707" s="8">
        <v>45966</v>
      </c>
      <c r="F707" s="8">
        <v>45969</v>
      </c>
      <c r="G707" s="8">
        <v>45976</v>
      </c>
      <c r="H707" t="s">
        <v>22</v>
      </c>
      <c r="J707" s="8">
        <v>45999</v>
      </c>
      <c r="K707">
        <v>5</v>
      </c>
      <c r="L707">
        <v>3</v>
      </c>
      <c r="M707">
        <v>7</v>
      </c>
      <c r="N707">
        <v>7</v>
      </c>
      <c r="O707">
        <v>1</v>
      </c>
      <c r="P707">
        <v>1</v>
      </c>
      <c r="Q707">
        <v>1</v>
      </c>
      <c r="R707">
        <v>1</v>
      </c>
      <c r="S707" t="s">
        <v>1057</v>
      </c>
    </row>
    <row r="708" spans="1:19">
      <c r="A708" t="s">
        <v>903</v>
      </c>
      <c r="B708" t="s">
        <v>24</v>
      </c>
      <c r="C708" t="s">
        <v>21</v>
      </c>
      <c r="D708" s="8">
        <v>45956</v>
      </c>
      <c r="E708" s="8">
        <v>45959</v>
      </c>
      <c r="F708" s="8">
        <v>45963</v>
      </c>
      <c r="G708" s="8">
        <v>45970</v>
      </c>
      <c r="H708" t="s">
        <v>22</v>
      </c>
      <c r="J708" s="8">
        <v>45999</v>
      </c>
      <c r="K708">
        <v>3</v>
      </c>
      <c r="L708">
        <v>4</v>
      </c>
      <c r="M708">
        <v>7</v>
      </c>
      <c r="N708">
        <v>8</v>
      </c>
      <c r="O708">
        <v>1</v>
      </c>
      <c r="P708">
        <v>1</v>
      </c>
      <c r="Q708">
        <v>1</v>
      </c>
      <c r="R708">
        <v>1</v>
      </c>
      <c r="S708" t="s">
        <v>1057</v>
      </c>
    </row>
    <row r="709" spans="1:19">
      <c r="A709" t="s">
        <v>959</v>
      </c>
      <c r="B709" t="s">
        <v>24</v>
      </c>
      <c r="C709" t="s">
        <v>21</v>
      </c>
      <c r="D709" s="8">
        <v>45945</v>
      </c>
      <c r="E709" s="8">
        <v>45949</v>
      </c>
      <c r="F709" s="8">
        <v>45953</v>
      </c>
      <c r="G709" s="8">
        <v>45959</v>
      </c>
      <c r="H709" t="s">
        <v>22</v>
      </c>
      <c r="J709" s="8">
        <v>45969</v>
      </c>
      <c r="K709">
        <v>4</v>
      </c>
      <c r="L709">
        <v>4</v>
      </c>
      <c r="M709">
        <v>6</v>
      </c>
      <c r="N709">
        <v>7</v>
      </c>
      <c r="O709">
        <v>1</v>
      </c>
      <c r="P709">
        <v>1</v>
      </c>
      <c r="Q709">
        <v>1</v>
      </c>
      <c r="R709">
        <v>1</v>
      </c>
      <c r="S709" t="s">
        <v>1057</v>
      </c>
    </row>
    <row r="710" spans="1:19">
      <c r="A710" t="s">
        <v>1007</v>
      </c>
      <c r="B710" t="s">
        <v>24</v>
      </c>
      <c r="C710" t="s">
        <v>21</v>
      </c>
      <c r="D710" s="8">
        <v>45941</v>
      </c>
      <c r="E710" s="8">
        <v>45943</v>
      </c>
      <c r="F710" s="8">
        <v>45947</v>
      </c>
      <c r="G710" s="8">
        <v>45953</v>
      </c>
      <c r="H710" t="s">
        <v>22</v>
      </c>
      <c r="J710" s="8">
        <v>45963</v>
      </c>
      <c r="K710">
        <v>2</v>
      </c>
      <c r="L710">
        <v>4</v>
      </c>
      <c r="M710">
        <v>6</v>
      </c>
      <c r="N710">
        <v>7</v>
      </c>
      <c r="O710">
        <v>1</v>
      </c>
      <c r="P710">
        <v>1</v>
      </c>
      <c r="Q710">
        <v>1</v>
      </c>
      <c r="R710">
        <v>1</v>
      </c>
      <c r="S710" t="s">
        <v>1057</v>
      </c>
    </row>
    <row r="711" spans="1:19">
      <c r="A711" t="s">
        <v>1018</v>
      </c>
      <c r="B711" t="s">
        <v>24</v>
      </c>
      <c r="C711" t="s">
        <v>35</v>
      </c>
      <c r="D711" s="8">
        <v>45953</v>
      </c>
      <c r="E711" s="8">
        <v>45955</v>
      </c>
      <c r="F711" s="8">
        <v>45958</v>
      </c>
      <c r="G711" s="8">
        <v>45965</v>
      </c>
      <c r="H711" t="s">
        <v>22</v>
      </c>
      <c r="J711" s="8">
        <v>45989</v>
      </c>
      <c r="K711">
        <v>2</v>
      </c>
      <c r="L711">
        <v>3</v>
      </c>
      <c r="M711">
        <v>7</v>
      </c>
      <c r="N711">
        <v>7</v>
      </c>
      <c r="O711">
        <v>1</v>
      </c>
      <c r="P711">
        <v>1</v>
      </c>
      <c r="Q711">
        <v>1</v>
      </c>
      <c r="R711">
        <v>1</v>
      </c>
      <c r="S711" t="s">
        <v>1057</v>
      </c>
    </row>
    <row r="712" spans="1:19">
      <c r="A712" t="s">
        <v>33</v>
      </c>
      <c r="B712" t="s">
        <v>24</v>
      </c>
      <c r="C712" t="s">
        <v>21</v>
      </c>
      <c r="D712" s="8">
        <v>45957</v>
      </c>
      <c r="E712" s="8">
        <v>45961</v>
      </c>
      <c r="F712" s="8">
        <v>45965</v>
      </c>
      <c r="G712" s="8">
        <v>45968</v>
      </c>
      <c r="H712" t="s">
        <v>22</v>
      </c>
      <c r="J712" s="8">
        <v>45983</v>
      </c>
      <c r="K712">
        <v>4</v>
      </c>
      <c r="L712">
        <v>4</v>
      </c>
      <c r="M712">
        <v>3</v>
      </c>
      <c r="N712">
        <v>9</v>
      </c>
      <c r="O712">
        <v>1</v>
      </c>
      <c r="P712">
        <v>1</v>
      </c>
      <c r="Q712">
        <v>1</v>
      </c>
      <c r="R712">
        <v>1</v>
      </c>
      <c r="S712" t="s">
        <v>1058</v>
      </c>
    </row>
    <row r="713" spans="1:19">
      <c r="A713" t="s">
        <v>43</v>
      </c>
      <c r="B713" t="s">
        <v>24</v>
      </c>
      <c r="C713" t="s">
        <v>21</v>
      </c>
      <c r="D713" s="8">
        <v>45959</v>
      </c>
      <c r="E713" s="8">
        <v>45962</v>
      </c>
      <c r="F713" s="8">
        <v>45967</v>
      </c>
      <c r="G713" s="8">
        <v>45974</v>
      </c>
      <c r="H713" t="s">
        <v>22</v>
      </c>
      <c r="J713" s="8">
        <v>45991</v>
      </c>
      <c r="K713">
        <v>3</v>
      </c>
      <c r="L713">
        <v>5</v>
      </c>
      <c r="M713">
        <v>7</v>
      </c>
      <c r="N713">
        <v>10</v>
      </c>
      <c r="O713">
        <v>1</v>
      </c>
      <c r="P713">
        <v>1</v>
      </c>
      <c r="Q713">
        <v>1</v>
      </c>
      <c r="R713">
        <v>1</v>
      </c>
      <c r="S713" t="s">
        <v>1058</v>
      </c>
    </row>
    <row r="714" spans="1:19">
      <c r="A714" t="s">
        <v>93</v>
      </c>
      <c r="B714" t="s">
        <v>24</v>
      </c>
      <c r="C714" t="s">
        <v>35</v>
      </c>
      <c r="D714" s="8">
        <v>45956</v>
      </c>
      <c r="E714" s="8">
        <v>45961</v>
      </c>
      <c r="F714" s="8">
        <v>45965</v>
      </c>
      <c r="G714" s="8">
        <v>45971</v>
      </c>
      <c r="H714" t="s">
        <v>22</v>
      </c>
      <c r="J714" s="8">
        <v>45992</v>
      </c>
      <c r="K714">
        <v>5</v>
      </c>
      <c r="L714">
        <v>4</v>
      </c>
      <c r="M714">
        <v>6</v>
      </c>
      <c r="N714">
        <v>9</v>
      </c>
      <c r="O714">
        <v>1</v>
      </c>
      <c r="P714">
        <v>1</v>
      </c>
      <c r="Q714">
        <v>1</v>
      </c>
      <c r="R714">
        <v>1</v>
      </c>
      <c r="S714" t="s">
        <v>1058</v>
      </c>
    </row>
    <row r="715" spans="1:19">
      <c r="A715" t="s">
        <v>97</v>
      </c>
      <c r="B715" t="s">
        <v>24</v>
      </c>
      <c r="C715" t="s">
        <v>21</v>
      </c>
      <c r="D715" s="8">
        <v>45959</v>
      </c>
      <c r="E715" s="8">
        <v>45960</v>
      </c>
      <c r="F715" s="8">
        <v>45965</v>
      </c>
      <c r="G715" s="8">
        <v>45968</v>
      </c>
      <c r="H715" t="s">
        <v>22</v>
      </c>
      <c r="J715" s="8">
        <v>45983</v>
      </c>
      <c r="K715">
        <v>1</v>
      </c>
      <c r="L715">
        <v>5</v>
      </c>
      <c r="M715">
        <v>3</v>
      </c>
      <c r="N715">
        <v>10</v>
      </c>
      <c r="O715">
        <v>1</v>
      </c>
      <c r="P715">
        <v>1</v>
      </c>
      <c r="Q715">
        <v>1</v>
      </c>
      <c r="R715">
        <v>1</v>
      </c>
      <c r="S715" t="s">
        <v>1058</v>
      </c>
    </row>
    <row r="716" spans="1:19">
      <c r="A716" t="s">
        <v>229</v>
      </c>
      <c r="B716" t="s">
        <v>24</v>
      </c>
      <c r="C716" t="s">
        <v>35</v>
      </c>
      <c r="D716" s="8">
        <v>45934</v>
      </c>
      <c r="E716" s="8">
        <v>45938</v>
      </c>
      <c r="F716" s="8">
        <v>45943</v>
      </c>
      <c r="G716" s="8">
        <v>45946</v>
      </c>
      <c r="H716" t="s">
        <v>22</v>
      </c>
      <c r="J716" s="8">
        <v>45962</v>
      </c>
      <c r="K716">
        <v>4</v>
      </c>
      <c r="L716">
        <v>5</v>
      </c>
      <c r="M716">
        <v>3</v>
      </c>
      <c r="N716">
        <v>10</v>
      </c>
      <c r="O716">
        <v>1</v>
      </c>
      <c r="P716">
        <v>1</v>
      </c>
      <c r="Q716">
        <v>1</v>
      </c>
      <c r="R716">
        <v>1</v>
      </c>
      <c r="S716" t="s">
        <v>1058</v>
      </c>
    </row>
    <row r="717" spans="1:19">
      <c r="A717" t="s">
        <v>236</v>
      </c>
      <c r="B717" t="s">
        <v>24</v>
      </c>
      <c r="C717" t="s">
        <v>21</v>
      </c>
      <c r="D717" s="8">
        <v>45950</v>
      </c>
      <c r="E717" s="8">
        <v>45954</v>
      </c>
      <c r="F717" s="8">
        <v>45957</v>
      </c>
      <c r="G717" s="8">
        <v>45964</v>
      </c>
      <c r="H717" t="s">
        <v>22</v>
      </c>
      <c r="J717" s="8">
        <v>45982</v>
      </c>
      <c r="K717">
        <v>4</v>
      </c>
      <c r="L717">
        <v>3</v>
      </c>
      <c r="M717">
        <v>7</v>
      </c>
      <c r="N717">
        <v>9</v>
      </c>
      <c r="O717">
        <v>1</v>
      </c>
      <c r="P717">
        <v>1</v>
      </c>
      <c r="Q717">
        <v>1</v>
      </c>
      <c r="R717">
        <v>1</v>
      </c>
      <c r="S717" t="s">
        <v>1058</v>
      </c>
    </row>
    <row r="718" spans="1:19">
      <c r="A718" t="s">
        <v>273</v>
      </c>
      <c r="B718" t="s">
        <v>24</v>
      </c>
      <c r="C718" t="s">
        <v>21</v>
      </c>
      <c r="D718" s="8">
        <v>45953</v>
      </c>
      <c r="E718" s="8">
        <v>45954</v>
      </c>
      <c r="F718" s="8">
        <v>45956</v>
      </c>
      <c r="G718" s="8">
        <v>45961</v>
      </c>
      <c r="H718" t="s">
        <v>22</v>
      </c>
      <c r="J718" s="8">
        <v>45974</v>
      </c>
      <c r="K718">
        <v>1</v>
      </c>
      <c r="L718">
        <v>2</v>
      </c>
      <c r="M718">
        <v>5</v>
      </c>
      <c r="N718">
        <v>9</v>
      </c>
      <c r="O718">
        <v>1</v>
      </c>
      <c r="P718">
        <v>1</v>
      </c>
      <c r="Q718">
        <v>1</v>
      </c>
      <c r="R718">
        <v>1</v>
      </c>
      <c r="S718" t="s">
        <v>1058</v>
      </c>
    </row>
    <row r="719" spans="1:19">
      <c r="A719" t="s">
        <v>308</v>
      </c>
      <c r="B719" t="s">
        <v>24</v>
      </c>
      <c r="C719" t="s">
        <v>35</v>
      </c>
      <c r="D719" s="8">
        <v>45933</v>
      </c>
      <c r="E719" s="8">
        <v>45934</v>
      </c>
      <c r="F719" s="8">
        <v>45939</v>
      </c>
      <c r="G719" s="8">
        <v>45943</v>
      </c>
      <c r="H719" t="s">
        <v>22</v>
      </c>
      <c r="J719" s="8">
        <v>45967</v>
      </c>
      <c r="K719">
        <v>1</v>
      </c>
      <c r="L719">
        <v>5</v>
      </c>
      <c r="M719">
        <v>4</v>
      </c>
      <c r="N719">
        <v>10</v>
      </c>
      <c r="O719">
        <v>1</v>
      </c>
      <c r="P719">
        <v>1</v>
      </c>
      <c r="Q719">
        <v>1</v>
      </c>
      <c r="R719">
        <v>1</v>
      </c>
      <c r="S719" t="s">
        <v>1058</v>
      </c>
    </row>
    <row r="720" spans="1:19">
      <c r="A720" t="s">
        <v>340</v>
      </c>
      <c r="B720" t="s">
        <v>24</v>
      </c>
      <c r="C720" t="s">
        <v>21</v>
      </c>
      <c r="D720" s="8">
        <v>45939</v>
      </c>
      <c r="E720" s="8">
        <v>45943</v>
      </c>
      <c r="F720" s="8">
        <v>45945</v>
      </c>
      <c r="G720" s="8">
        <v>45949</v>
      </c>
      <c r="H720" t="s">
        <v>22</v>
      </c>
      <c r="J720" s="8">
        <v>45972</v>
      </c>
      <c r="K720">
        <v>4</v>
      </c>
      <c r="L720">
        <v>2</v>
      </c>
      <c r="M720">
        <v>4</v>
      </c>
      <c r="N720">
        <v>9</v>
      </c>
      <c r="O720">
        <v>1</v>
      </c>
      <c r="P720">
        <v>1</v>
      </c>
      <c r="Q720">
        <v>1</v>
      </c>
      <c r="R720">
        <v>1</v>
      </c>
      <c r="S720" t="s">
        <v>1058</v>
      </c>
    </row>
    <row r="721" spans="1:19">
      <c r="A721" t="s">
        <v>389</v>
      </c>
      <c r="B721" t="s">
        <v>24</v>
      </c>
      <c r="C721" t="s">
        <v>21</v>
      </c>
      <c r="D721" s="8">
        <v>45961</v>
      </c>
      <c r="E721" s="8">
        <v>45966</v>
      </c>
      <c r="F721" s="8">
        <v>45969</v>
      </c>
      <c r="G721" s="8">
        <v>45976</v>
      </c>
      <c r="H721" t="s">
        <v>22</v>
      </c>
      <c r="J721" s="8">
        <v>46003</v>
      </c>
      <c r="K721">
        <v>5</v>
      </c>
      <c r="L721">
        <v>3</v>
      </c>
      <c r="M721">
        <v>7</v>
      </c>
      <c r="N721">
        <v>10</v>
      </c>
      <c r="O721">
        <v>1</v>
      </c>
      <c r="P721">
        <v>1</v>
      </c>
      <c r="Q721">
        <v>1</v>
      </c>
      <c r="R721">
        <v>1</v>
      </c>
      <c r="S721" t="s">
        <v>1058</v>
      </c>
    </row>
    <row r="722" spans="1:19">
      <c r="A722" t="s">
        <v>401</v>
      </c>
      <c r="B722" t="s">
        <v>24</v>
      </c>
      <c r="C722" t="s">
        <v>21</v>
      </c>
      <c r="D722" s="8">
        <v>45955</v>
      </c>
      <c r="E722" s="8">
        <v>45958</v>
      </c>
      <c r="F722" s="8">
        <v>45963</v>
      </c>
      <c r="G722" s="8">
        <v>45966</v>
      </c>
      <c r="H722" t="s">
        <v>22</v>
      </c>
      <c r="J722" s="8">
        <v>45979</v>
      </c>
      <c r="K722">
        <v>3</v>
      </c>
      <c r="L722">
        <v>5</v>
      </c>
      <c r="M722">
        <v>3</v>
      </c>
      <c r="N722">
        <v>10</v>
      </c>
      <c r="O722">
        <v>1</v>
      </c>
      <c r="P722">
        <v>1</v>
      </c>
      <c r="Q722">
        <v>1</v>
      </c>
      <c r="R722">
        <v>1</v>
      </c>
      <c r="S722" t="s">
        <v>1058</v>
      </c>
    </row>
    <row r="723" spans="1:19">
      <c r="A723" t="s">
        <v>412</v>
      </c>
      <c r="B723" t="s">
        <v>24</v>
      </c>
      <c r="C723" t="s">
        <v>35</v>
      </c>
      <c r="D723" s="8">
        <v>45932</v>
      </c>
      <c r="E723" s="8">
        <v>45934</v>
      </c>
      <c r="F723" s="8">
        <v>45938</v>
      </c>
      <c r="G723" s="8">
        <v>45940</v>
      </c>
      <c r="H723" t="s">
        <v>22</v>
      </c>
      <c r="J723" s="8">
        <v>45968</v>
      </c>
      <c r="K723">
        <v>2</v>
      </c>
      <c r="L723">
        <v>4</v>
      </c>
      <c r="M723">
        <v>2</v>
      </c>
      <c r="N723">
        <v>10</v>
      </c>
      <c r="O723">
        <v>1</v>
      </c>
      <c r="P723">
        <v>1</v>
      </c>
      <c r="Q723">
        <v>1</v>
      </c>
      <c r="R723">
        <v>1</v>
      </c>
      <c r="S723" t="s">
        <v>1058</v>
      </c>
    </row>
    <row r="724" spans="1:19">
      <c r="A724" t="s">
        <v>450</v>
      </c>
      <c r="B724" t="s">
        <v>24</v>
      </c>
      <c r="C724" t="s">
        <v>21</v>
      </c>
      <c r="D724" s="8">
        <v>45934</v>
      </c>
      <c r="E724" s="8">
        <v>45937</v>
      </c>
      <c r="F724" s="8">
        <v>45940</v>
      </c>
      <c r="G724" s="8">
        <v>45943</v>
      </c>
      <c r="H724" t="s">
        <v>22</v>
      </c>
      <c r="J724" s="8">
        <v>45953</v>
      </c>
      <c r="K724">
        <v>3</v>
      </c>
      <c r="L724">
        <v>3</v>
      </c>
      <c r="M724">
        <v>3</v>
      </c>
      <c r="N724">
        <v>10</v>
      </c>
      <c r="O724">
        <v>1</v>
      </c>
      <c r="P724">
        <v>1</v>
      </c>
      <c r="Q724">
        <v>1</v>
      </c>
      <c r="R724">
        <v>1</v>
      </c>
      <c r="S724" t="s">
        <v>1058</v>
      </c>
    </row>
    <row r="725" spans="1:19">
      <c r="A725" t="s">
        <v>463</v>
      </c>
      <c r="B725" t="s">
        <v>24</v>
      </c>
      <c r="C725" t="s">
        <v>35</v>
      </c>
      <c r="D725" s="8">
        <v>45939</v>
      </c>
      <c r="E725" s="8">
        <v>45941</v>
      </c>
      <c r="F725" s="8">
        <v>45945</v>
      </c>
      <c r="G725" s="8">
        <v>45950</v>
      </c>
      <c r="H725" t="s">
        <v>22</v>
      </c>
      <c r="J725" s="8">
        <v>45968</v>
      </c>
      <c r="K725">
        <v>2</v>
      </c>
      <c r="L725">
        <v>4</v>
      </c>
      <c r="M725">
        <v>5</v>
      </c>
      <c r="N725">
        <v>10</v>
      </c>
      <c r="O725">
        <v>1</v>
      </c>
      <c r="P725">
        <v>1</v>
      </c>
      <c r="Q725">
        <v>1</v>
      </c>
      <c r="R725">
        <v>1</v>
      </c>
      <c r="S725" t="s">
        <v>1058</v>
      </c>
    </row>
    <row r="726" spans="1:19">
      <c r="A726" t="s">
        <v>488</v>
      </c>
      <c r="B726" t="s">
        <v>24</v>
      </c>
      <c r="C726" t="s">
        <v>21</v>
      </c>
      <c r="D726" s="8">
        <v>45960</v>
      </c>
      <c r="E726" s="8">
        <v>45961</v>
      </c>
      <c r="F726" s="8">
        <v>45963</v>
      </c>
      <c r="G726" s="8">
        <v>45965</v>
      </c>
      <c r="H726" t="s">
        <v>22</v>
      </c>
      <c r="J726" s="8">
        <v>45984</v>
      </c>
      <c r="K726">
        <v>1</v>
      </c>
      <c r="L726">
        <v>2</v>
      </c>
      <c r="M726">
        <v>2</v>
      </c>
      <c r="N726">
        <v>9</v>
      </c>
      <c r="O726">
        <v>1</v>
      </c>
      <c r="P726">
        <v>1</v>
      </c>
      <c r="Q726">
        <v>1</v>
      </c>
      <c r="R726">
        <v>1</v>
      </c>
      <c r="S726" t="s">
        <v>1058</v>
      </c>
    </row>
    <row r="727" spans="1:19">
      <c r="A727" t="s">
        <v>523</v>
      </c>
      <c r="B727" t="s">
        <v>24</v>
      </c>
      <c r="C727" t="s">
        <v>21</v>
      </c>
      <c r="D727" s="8">
        <v>45958</v>
      </c>
      <c r="E727" s="8">
        <v>45959</v>
      </c>
      <c r="F727" s="8">
        <v>45960</v>
      </c>
      <c r="G727" s="8">
        <v>45965</v>
      </c>
      <c r="H727" t="s">
        <v>22</v>
      </c>
      <c r="J727" s="8">
        <v>45978</v>
      </c>
      <c r="K727">
        <v>1</v>
      </c>
      <c r="L727">
        <v>1</v>
      </c>
      <c r="M727">
        <v>5</v>
      </c>
      <c r="N727">
        <v>9</v>
      </c>
      <c r="O727">
        <v>1</v>
      </c>
      <c r="P727">
        <v>1</v>
      </c>
      <c r="Q727">
        <v>1</v>
      </c>
      <c r="R727">
        <v>1</v>
      </c>
      <c r="S727" t="s">
        <v>1058</v>
      </c>
    </row>
    <row r="728" spans="1:19">
      <c r="A728" t="s">
        <v>585</v>
      </c>
      <c r="B728" t="s">
        <v>24</v>
      </c>
      <c r="C728" t="s">
        <v>21</v>
      </c>
      <c r="D728" s="8">
        <v>45959</v>
      </c>
      <c r="E728" s="8">
        <v>45963</v>
      </c>
      <c r="F728" s="8">
        <v>45964</v>
      </c>
      <c r="G728" s="8">
        <v>45969</v>
      </c>
      <c r="H728" t="s">
        <v>22</v>
      </c>
      <c r="J728" s="8">
        <v>45992</v>
      </c>
      <c r="K728">
        <v>4</v>
      </c>
      <c r="L728">
        <v>1</v>
      </c>
      <c r="M728">
        <v>5</v>
      </c>
      <c r="N728">
        <v>9</v>
      </c>
      <c r="O728">
        <v>1</v>
      </c>
      <c r="P728">
        <v>1</v>
      </c>
      <c r="Q728">
        <v>1</v>
      </c>
      <c r="R728">
        <v>1</v>
      </c>
      <c r="S728" t="s">
        <v>1058</v>
      </c>
    </row>
    <row r="729" spans="1:19">
      <c r="A729" t="s">
        <v>603</v>
      </c>
      <c r="B729" t="s">
        <v>24</v>
      </c>
      <c r="C729" t="s">
        <v>35</v>
      </c>
      <c r="D729" s="8">
        <v>45955</v>
      </c>
      <c r="E729" s="8">
        <v>45956</v>
      </c>
      <c r="F729" s="8">
        <v>45960</v>
      </c>
      <c r="G729" s="8">
        <v>45967</v>
      </c>
      <c r="H729" t="s">
        <v>22</v>
      </c>
      <c r="J729" s="8">
        <v>45993</v>
      </c>
      <c r="K729">
        <v>1</v>
      </c>
      <c r="L729">
        <v>4</v>
      </c>
      <c r="M729">
        <v>7</v>
      </c>
      <c r="N729">
        <v>9</v>
      </c>
      <c r="O729">
        <v>1</v>
      </c>
      <c r="P729">
        <v>1</v>
      </c>
      <c r="Q729">
        <v>1</v>
      </c>
      <c r="R729">
        <v>1</v>
      </c>
      <c r="S729" t="s">
        <v>1058</v>
      </c>
    </row>
    <row r="730" spans="1:19">
      <c r="A730" t="s">
        <v>665</v>
      </c>
      <c r="B730" t="s">
        <v>24</v>
      </c>
      <c r="C730" t="s">
        <v>35</v>
      </c>
      <c r="D730" s="8">
        <v>45951</v>
      </c>
      <c r="E730" s="8">
        <v>45952</v>
      </c>
      <c r="F730" s="8">
        <v>45954</v>
      </c>
      <c r="G730" s="8">
        <v>45956</v>
      </c>
      <c r="H730" t="s">
        <v>22</v>
      </c>
      <c r="J730" s="8">
        <v>45982</v>
      </c>
      <c r="K730">
        <v>1</v>
      </c>
      <c r="L730">
        <v>2</v>
      </c>
      <c r="M730">
        <v>2</v>
      </c>
      <c r="N730">
        <v>9</v>
      </c>
      <c r="O730">
        <v>1</v>
      </c>
      <c r="P730">
        <v>1</v>
      </c>
      <c r="Q730">
        <v>1</v>
      </c>
      <c r="R730">
        <v>1</v>
      </c>
      <c r="S730" t="s">
        <v>1058</v>
      </c>
    </row>
    <row r="731" spans="1:19">
      <c r="A731" t="s">
        <v>674</v>
      </c>
      <c r="B731" t="s">
        <v>24</v>
      </c>
      <c r="C731" t="s">
        <v>21</v>
      </c>
      <c r="D731" s="8">
        <v>45943</v>
      </c>
      <c r="E731" s="8">
        <v>45947</v>
      </c>
      <c r="F731" s="8">
        <v>45951</v>
      </c>
      <c r="G731" s="8">
        <v>45954</v>
      </c>
      <c r="H731" t="s">
        <v>22</v>
      </c>
      <c r="J731" s="8">
        <v>45979</v>
      </c>
      <c r="K731">
        <v>4</v>
      </c>
      <c r="L731">
        <v>4</v>
      </c>
      <c r="M731">
        <v>3</v>
      </c>
      <c r="N731">
        <v>9</v>
      </c>
      <c r="O731">
        <v>1</v>
      </c>
      <c r="P731">
        <v>1</v>
      </c>
      <c r="Q731">
        <v>1</v>
      </c>
      <c r="R731">
        <v>1</v>
      </c>
      <c r="S731" t="s">
        <v>1058</v>
      </c>
    </row>
    <row r="732" spans="1:19">
      <c r="A732" t="s">
        <v>712</v>
      </c>
      <c r="B732" t="s">
        <v>24</v>
      </c>
      <c r="C732" t="s">
        <v>21</v>
      </c>
      <c r="D732" s="8">
        <v>45938</v>
      </c>
      <c r="E732" s="8">
        <v>45942</v>
      </c>
      <c r="F732" s="8">
        <v>45945</v>
      </c>
      <c r="G732" s="8">
        <v>45947</v>
      </c>
      <c r="H732" t="s">
        <v>22</v>
      </c>
      <c r="J732" s="8">
        <v>45976</v>
      </c>
      <c r="K732">
        <v>4</v>
      </c>
      <c r="L732">
        <v>3</v>
      </c>
      <c r="M732">
        <v>2</v>
      </c>
      <c r="N732">
        <v>10</v>
      </c>
      <c r="O732">
        <v>1</v>
      </c>
      <c r="P732">
        <v>1</v>
      </c>
      <c r="Q732">
        <v>1</v>
      </c>
      <c r="R732">
        <v>1</v>
      </c>
      <c r="S732" t="s">
        <v>1058</v>
      </c>
    </row>
    <row r="733" spans="1:19">
      <c r="A733" t="s">
        <v>729</v>
      </c>
      <c r="B733" t="s">
        <v>24</v>
      </c>
      <c r="C733" t="s">
        <v>21</v>
      </c>
      <c r="D733" s="8">
        <v>45951</v>
      </c>
      <c r="E733" s="8">
        <v>45955</v>
      </c>
      <c r="F733" s="8">
        <v>45959</v>
      </c>
      <c r="G733" s="8">
        <v>45963</v>
      </c>
      <c r="H733" t="s">
        <v>22</v>
      </c>
      <c r="J733" s="8">
        <v>45979</v>
      </c>
      <c r="K733">
        <v>4</v>
      </c>
      <c r="L733">
        <v>4</v>
      </c>
      <c r="M733">
        <v>4</v>
      </c>
      <c r="N733">
        <v>9</v>
      </c>
      <c r="O733">
        <v>1</v>
      </c>
      <c r="P733">
        <v>1</v>
      </c>
      <c r="Q733">
        <v>1</v>
      </c>
      <c r="R733">
        <v>1</v>
      </c>
      <c r="S733" t="s">
        <v>1058</v>
      </c>
    </row>
    <row r="734" spans="1:19">
      <c r="A734" t="s">
        <v>874</v>
      </c>
      <c r="B734" t="s">
        <v>24</v>
      </c>
      <c r="C734" t="s">
        <v>21</v>
      </c>
      <c r="D734" s="8">
        <v>45961</v>
      </c>
      <c r="E734" s="8">
        <v>45965</v>
      </c>
      <c r="F734" s="8">
        <v>45968</v>
      </c>
      <c r="G734" s="8">
        <v>45974</v>
      </c>
      <c r="H734" t="s">
        <v>22</v>
      </c>
      <c r="J734" s="8">
        <v>45988</v>
      </c>
      <c r="K734">
        <v>4</v>
      </c>
      <c r="L734">
        <v>3</v>
      </c>
      <c r="M734">
        <v>6</v>
      </c>
      <c r="N734">
        <v>9</v>
      </c>
      <c r="O734">
        <v>1</v>
      </c>
      <c r="P734">
        <v>1</v>
      </c>
      <c r="Q734">
        <v>1</v>
      </c>
      <c r="R734">
        <v>1</v>
      </c>
      <c r="S734" t="s">
        <v>1058</v>
      </c>
    </row>
    <row r="735" spans="1:19">
      <c r="A735" t="s">
        <v>896</v>
      </c>
      <c r="B735" t="s">
        <v>24</v>
      </c>
      <c r="C735" t="s">
        <v>21</v>
      </c>
      <c r="D735" s="8">
        <v>45952</v>
      </c>
      <c r="E735" s="8">
        <v>45956</v>
      </c>
      <c r="F735" s="8">
        <v>45960</v>
      </c>
      <c r="G735" s="8">
        <v>45966</v>
      </c>
      <c r="H735" t="s">
        <v>22</v>
      </c>
      <c r="J735" s="8">
        <v>45979</v>
      </c>
      <c r="K735">
        <v>4</v>
      </c>
      <c r="L735">
        <v>4</v>
      </c>
      <c r="M735">
        <v>6</v>
      </c>
      <c r="N735">
        <v>9</v>
      </c>
      <c r="O735">
        <v>1</v>
      </c>
      <c r="P735">
        <v>1</v>
      </c>
      <c r="Q735">
        <v>1</v>
      </c>
      <c r="R735">
        <v>1</v>
      </c>
      <c r="S735" t="s">
        <v>1058</v>
      </c>
    </row>
    <row r="736" spans="1:19">
      <c r="A736" t="s">
        <v>899</v>
      </c>
      <c r="B736" t="s">
        <v>24</v>
      </c>
      <c r="C736" t="s">
        <v>21</v>
      </c>
      <c r="D736" s="8">
        <v>45951</v>
      </c>
      <c r="E736" s="8">
        <v>45954</v>
      </c>
      <c r="F736" s="8">
        <v>45956</v>
      </c>
      <c r="G736" s="8">
        <v>45958</v>
      </c>
      <c r="H736" t="s">
        <v>22</v>
      </c>
      <c r="J736" s="8">
        <v>45971</v>
      </c>
      <c r="K736">
        <v>3</v>
      </c>
      <c r="L736">
        <v>2</v>
      </c>
      <c r="M736">
        <v>2</v>
      </c>
      <c r="N736">
        <v>9</v>
      </c>
      <c r="O736">
        <v>1</v>
      </c>
      <c r="P736">
        <v>1</v>
      </c>
      <c r="Q736">
        <v>1</v>
      </c>
      <c r="R736">
        <v>1</v>
      </c>
      <c r="S736" t="s">
        <v>1058</v>
      </c>
    </row>
    <row r="737" spans="1:19">
      <c r="A737" t="s">
        <v>921</v>
      </c>
      <c r="B737" t="s">
        <v>24</v>
      </c>
      <c r="C737" t="s">
        <v>21</v>
      </c>
      <c r="D737" s="8">
        <v>45955</v>
      </c>
      <c r="E737" s="8">
        <v>45957</v>
      </c>
      <c r="F737" s="8">
        <v>45958</v>
      </c>
      <c r="G737" s="8">
        <v>45963</v>
      </c>
      <c r="H737" t="s">
        <v>22</v>
      </c>
      <c r="J737" s="8">
        <v>45983</v>
      </c>
      <c r="K737">
        <v>2</v>
      </c>
      <c r="L737">
        <v>1</v>
      </c>
      <c r="M737">
        <v>5</v>
      </c>
      <c r="N737">
        <v>9</v>
      </c>
      <c r="O737">
        <v>1</v>
      </c>
      <c r="P737">
        <v>1</v>
      </c>
      <c r="Q737">
        <v>1</v>
      </c>
      <c r="R737">
        <v>1</v>
      </c>
      <c r="S737" t="s">
        <v>1058</v>
      </c>
    </row>
    <row r="738" spans="1:19">
      <c r="A738" t="s">
        <v>933</v>
      </c>
      <c r="B738" t="s">
        <v>24</v>
      </c>
      <c r="C738" t="s">
        <v>21</v>
      </c>
      <c r="D738" s="8">
        <v>45956</v>
      </c>
      <c r="E738" s="8">
        <v>45961</v>
      </c>
      <c r="F738" s="8">
        <v>45965</v>
      </c>
      <c r="G738" s="8">
        <v>45968</v>
      </c>
      <c r="H738" t="s">
        <v>22</v>
      </c>
      <c r="J738" s="8">
        <v>45993</v>
      </c>
      <c r="K738">
        <v>5</v>
      </c>
      <c r="L738">
        <v>4</v>
      </c>
      <c r="M738">
        <v>3</v>
      </c>
      <c r="N738">
        <v>10</v>
      </c>
      <c r="O738">
        <v>1</v>
      </c>
      <c r="P738">
        <v>1</v>
      </c>
      <c r="Q738">
        <v>1</v>
      </c>
      <c r="R738">
        <v>1</v>
      </c>
      <c r="S738" t="s">
        <v>1058</v>
      </c>
    </row>
    <row r="739" spans="1:19">
      <c r="A739" t="s">
        <v>946</v>
      </c>
      <c r="B739" t="s">
        <v>24</v>
      </c>
      <c r="C739" t="s">
        <v>21</v>
      </c>
      <c r="D739" s="8">
        <v>45941</v>
      </c>
      <c r="E739" s="8">
        <v>45946</v>
      </c>
      <c r="F739" s="8">
        <v>45947</v>
      </c>
      <c r="G739" s="8">
        <v>45952</v>
      </c>
      <c r="H739" t="s">
        <v>22</v>
      </c>
      <c r="J739" s="8">
        <v>45976</v>
      </c>
      <c r="K739">
        <v>5</v>
      </c>
      <c r="L739">
        <v>1</v>
      </c>
      <c r="M739">
        <v>5</v>
      </c>
      <c r="N739">
        <v>9</v>
      </c>
      <c r="O739">
        <v>1</v>
      </c>
      <c r="P739">
        <v>1</v>
      </c>
      <c r="Q739">
        <v>1</v>
      </c>
      <c r="R739">
        <v>1</v>
      </c>
      <c r="S739" t="s">
        <v>1058</v>
      </c>
    </row>
    <row r="740" spans="1:19">
      <c r="A740" t="s">
        <v>964</v>
      </c>
      <c r="B740" t="s">
        <v>24</v>
      </c>
      <c r="C740" t="s">
        <v>35</v>
      </c>
      <c r="D740" s="8">
        <v>45934</v>
      </c>
      <c r="E740" s="8">
        <v>45937</v>
      </c>
      <c r="F740" s="8">
        <v>45938</v>
      </c>
      <c r="G740" s="8">
        <v>45943</v>
      </c>
      <c r="H740" t="s">
        <v>22</v>
      </c>
      <c r="J740" s="8">
        <v>45963</v>
      </c>
      <c r="K740">
        <v>3</v>
      </c>
      <c r="L740">
        <v>1</v>
      </c>
      <c r="M740">
        <v>5</v>
      </c>
      <c r="N740">
        <v>9</v>
      </c>
      <c r="O740">
        <v>1</v>
      </c>
      <c r="P740">
        <v>1</v>
      </c>
      <c r="Q740">
        <v>1</v>
      </c>
      <c r="R740">
        <v>1</v>
      </c>
      <c r="S740" t="s">
        <v>1058</v>
      </c>
    </row>
    <row r="741" spans="1:19">
      <c r="A741" t="s">
        <v>1006</v>
      </c>
      <c r="B741" t="s">
        <v>24</v>
      </c>
      <c r="C741" t="s">
        <v>21</v>
      </c>
      <c r="D741" s="8">
        <v>45953</v>
      </c>
      <c r="E741" s="8">
        <v>45954</v>
      </c>
      <c r="F741" s="8">
        <v>45955</v>
      </c>
      <c r="G741" s="8">
        <v>45958</v>
      </c>
      <c r="H741" t="s">
        <v>22</v>
      </c>
      <c r="J741" s="8">
        <v>45987</v>
      </c>
      <c r="K741">
        <v>1</v>
      </c>
      <c r="L741">
        <v>1</v>
      </c>
      <c r="M741">
        <v>3</v>
      </c>
      <c r="N741">
        <v>9</v>
      </c>
      <c r="O741">
        <v>1</v>
      </c>
      <c r="P741">
        <v>1</v>
      </c>
      <c r="Q741">
        <v>1</v>
      </c>
      <c r="R741">
        <v>1</v>
      </c>
      <c r="S741" t="s">
        <v>1058</v>
      </c>
    </row>
    <row r="742" spans="1:19">
      <c r="A742" t="s">
        <v>25</v>
      </c>
      <c r="B742" t="s">
        <v>26</v>
      </c>
      <c r="C742" t="s">
        <v>27</v>
      </c>
      <c r="D742" s="8">
        <v>45931</v>
      </c>
      <c r="H742" t="s">
        <v>28</v>
      </c>
      <c r="I742" t="s">
        <v>29</v>
      </c>
      <c r="O742">
        <v>1</v>
      </c>
      <c r="P742">
        <v>0</v>
      </c>
      <c r="Q742">
        <v>0</v>
      </c>
      <c r="R742">
        <v>0</v>
      </c>
      <c r="S742" t="s">
        <v>1055</v>
      </c>
    </row>
    <row r="743" spans="1:19">
      <c r="A743" t="s">
        <v>65</v>
      </c>
      <c r="B743" t="s">
        <v>26</v>
      </c>
      <c r="C743" t="s">
        <v>27</v>
      </c>
      <c r="D743" s="8">
        <v>45949</v>
      </c>
      <c r="H743" t="s">
        <v>28</v>
      </c>
      <c r="I743" t="s">
        <v>31</v>
      </c>
      <c r="O743">
        <v>1</v>
      </c>
      <c r="P743">
        <v>0</v>
      </c>
      <c r="Q743">
        <v>0</v>
      </c>
      <c r="R743">
        <v>0</v>
      </c>
      <c r="S743" t="s">
        <v>1055</v>
      </c>
    </row>
    <row r="744" spans="1:19">
      <c r="A744" t="s">
        <v>113</v>
      </c>
      <c r="B744" t="s">
        <v>26</v>
      </c>
      <c r="C744" t="s">
        <v>27</v>
      </c>
      <c r="D744" s="8">
        <v>45948</v>
      </c>
      <c r="H744" t="s">
        <v>28</v>
      </c>
      <c r="I744" t="s">
        <v>29</v>
      </c>
      <c r="O744">
        <v>1</v>
      </c>
      <c r="P744">
        <v>0</v>
      </c>
      <c r="Q744">
        <v>0</v>
      </c>
      <c r="R744">
        <v>0</v>
      </c>
      <c r="S744" t="s">
        <v>1055</v>
      </c>
    </row>
    <row r="745" spans="1:19">
      <c r="A745" t="s">
        <v>136</v>
      </c>
      <c r="B745" t="s">
        <v>26</v>
      </c>
      <c r="C745" t="s">
        <v>27</v>
      </c>
      <c r="D745" s="8">
        <v>45947</v>
      </c>
      <c r="H745" t="s">
        <v>28</v>
      </c>
      <c r="I745" t="s">
        <v>106</v>
      </c>
      <c r="O745">
        <v>1</v>
      </c>
      <c r="P745">
        <v>0</v>
      </c>
      <c r="Q745">
        <v>0</v>
      </c>
      <c r="R745">
        <v>0</v>
      </c>
      <c r="S745" t="s">
        <v>1055</v>
      </c>
    </row>
    <row r="746" spans="1:19">
      <c r="A746" t="s">
        <v>137</v>
      </c>
      <c r="B746" t="s">
        <v>26</v>
      </c>
      <c r="C746" t="s">
        <v>27</v>
      </c>
      <c r="D746" s="8">
        <v>45942</v>
      </c>
      <c r="H746" t="s">
        <v>28</v>
      </c>
      <c r="I746" t="s">
        <v>106</v>
      </c>
      <c r="O746">
        <v>1</v>
      </c>
      <c r="P746">
        <v>0</v>
      </c>
      <c r="Q746">
        <v>0</v>
      </c>
      <c r="R746">
        <v>0</v>
      </c>
      <c r="S746" t="s">
        <v>1055</v>
      </c>
    </row>
    <row r="747" spans="1:19">
      <c r="A747" t="s">
        <v>143</v>
      </c>
      <c r="B747" t="s">
        <v>26</v>
      </c>
      <c r="C747" t="s">
        <v>27</v>
      </c>
      <c r="D747" s="8">
        <v>45953</v>
      </c>
      <c r="H747" t="s">
        <v>28</v>
      </c>
      <c r="I747" t="s">
        <v>68</v>
      </c>
      <c r="O747">
        <v>1</v>
      </c>
      <c r="P747">
        <v>0</v>
      </c>
      <c r="Q747">
        <v>0</v>
      </c>
      <c r="R747">
        <v>0</v>
      </c>
      <c r="S747" t="s">
        <v>1055</v>
      </c>
    </row>
    <row r="748" spans="1:19">
      <c r="A748" t="s">
        <v>145</v>
      </c>
      <c r="B748" t="s">
        <v>26</v>
      </c>
      <c r="C748" t="s">
        <v>21</v>
      </c>
      <c r="D748" s="8">
        <v>45939</v>
      </c>
      <c r="E748" s="8">
        <v>45941</v>
      </c>
      <c r="F748" s="8">
        <v>45944</v>
      </c>
      <c r="G748" s="8">
        <v>45949</v>
      </c>
      <c r="H748" t="s">
        <v>28</v>
      </c>
      <c r="I748" t="s">
        <v>38</v>
      </c>
      <c r="K748">
        <v>2</v>
      </c>
      <c r="L748">
        <v>3</v>
      </c>
      <c r="M748">
        <v>5</v>
      </c>
      <c r="O748">
        <v>1</v>
      </c>
      <c r="P748">
        <v>1</v>
      </c>
      <c r="Q748">
        <v>1</v>
      </c>
      <c r="R748">
        <v>0</v>
      </c>
      <c r="S748" t="s">
        <v>1055</v>
      </c>
    </row>
    <row r="749" spans="1:19">
      <c r="A749" t="s">
        <v>165</v>
      </c>
      <c r="B749" t="s">
        <v>26</v>
      </c>
      <c r="C749" t="s">
        <v>27</v>
      </c>
      <c r="D749" s="8">
        <v>45954</v>
      </c>
      <c r="H749" t="s">
        <v>28</v>
      </c>
      <c r="I749" t="s">
        <v>68</v>
      </c>
      <c r="O749">
        <v>1</v>
      </c>
      <c r="P749">
        <v>0</v>
      </c>
      <c r="Q749">
        <v>0</v>
      </c>
      <c r="R749">
        <v>0</v>
      </c>
      <c r="S749" t="s">
        <v>1055</v>
      </c>
    </row>
    <row r="750" spans="1:19">
      <c r="A750" t="s">
        <v>170</v>
      </c>
      <c r="B750" t="s">
        <v>26</v>
      </c>
      <c r="C750" t="s">
        <v>21</v>
      </c>
      <c r="D750" s="8">
        <v>45940</v>
      </c>
      <c r="E750" s="8">
        <v>45941</v>
      </c>
      <c r="F750" s="8">
        <v>45943</v>
      </c>
      <c r="G750" s="8">
        <v>45948</v>
      </c>
      <c r="H750" t="s">
        <v>28</v>
      </c>
      <c r="I750" t="s">
        <v>106</v>
      </c>
      <c r="K750">
        <v>1</v>
      </c>
      <c r="L750">
        <v>2</v>
      </c>
      <c r="M750">
        <v>5</v>
      </c>
      <c r="O750">
        <v>1</v>
      </c>
      <c r="P750">
        <v>1</v>
      </c>
      <c r="Q750">
        <v>1</v>
      </c>
      <c r="R750">
        <v>0</v>
      </c>
      <c r="S750" t="s">
        <v>1055</v>
      </c>
    </row>
    <row r="751" spans="1:19">
      <c r="A751" t="s">
        <v>191</v>
      </c>
      <c r="B751" t="s">
        <v>26</v>
      </c>
      <c r="C751" t="s">
        <v>27</v>
      </c>
      <c r="D751" s="8">
        <v>45951</v>
      </c>
      <c r="H751" t="s">
        <v>28</v>
      </c>
      <c r="I751" t="s">
        <v>31</v>
      </c>
      <c r="O751">
        <v>1</v>
      </c>
      <c r="P751">
        <v>0</v>
      </c>
      <c r="Q751">
        <v>0</v>
      </c>
      <c r="R751">
        <v>0</v>
      </c>
      <c r="S751" t="s">
        <v>1055</v>
      </c>
    </row>
    <row r="752" spans="1:19">
      <c r="A752" t="s">
        <v>200</v>
      </c>
      <c r="B752" t="s">
        <v>26</v>
      </c>
      <c r="C752" t="s">
        <v>35</v>
      </c>
      <c r="D752" s="8">
        <v>45946</v>
      </c>
      <c r="E752" s="8">
        <v>45950</v>
      </c>
      <c r="F752" s="8">
        <v>45952</v>
      </c>
      <c r="G752" s="8">
        <v>45954</v>
      </c>
      <c r="H752" t="s">
        <v>28</v>
      </c>
      <c r="I752" t="s">
        <v>106</v>
      </c>
      <c r="K752">
        <v>4</v>
      </c>
      <c r="L752">
        <v>2</v>
      </c>
      <c r="M752">
        <v>2</v>
      </c>
      <c r="O752">
        <v>1</v>
      </c>
      <c r="P752">
        <v>1</v>
      </c>
      <c r="Q752">
        <v>1</v>
      </c>
      <c r="R752">
        <v>0</v>
      </c>
      <c r="S752" t="s">
        <v>1055</v>
      </c>
    </row>
    <row r="753" spans="1:19">
      <c r="A753" t="s">
        <v>241</v>
      </c>
      <c r="B753" t="s">
        <v>26</v>
      </c>
      <c r="C753" t="s">
        <v>27</v>
      </c>
      <c r="D753" s="8">
        <v>45945</v>
      </c>
      <c r="H753" t="s">
        <v>28</v>
      </c>
      <c r="I753" t="s">
        <v>106</v>
      </c>
      <c r="O753">
        <v>1</v>
      </c>
      <c r="P753">
        <v>0</v>
      </c>
      <c r="Q753">
        <v>0</v>
      </c>
      <c r="R753">
        <v>0</v>
      </c>
      <c r="S753" t="s">
        <v>1055</v>
      </c>
    </row>
    <row r="754" spans="1:19">
      <c r="A754" t="s">
        <v>248</v>
      </c>
      <c r="B754" t="s">
        <v>26</v>
      </c>
      <c r="C754" t="s">
        <v>27</v>
      </c>
      <c r="D754" s="8">
        <v>45940</v>
      </c>
      <c r="H754" t="s">
        <v>28</v>
      </c>
      <c r="I754" t="s">
        <v>106</v>
      </c>
      <c r="O754">
        <v>1</v>
      </c>
      <c r="P754">
        <v>0</v>
      </c>
      <c r="Q754">
        <v>0</v>
      </c>
      <c r="R754">
        <v>0</v>
      </c>
      <c r="S754" t="s">
        <v>1055</v>
      </c>
    </row>
    <row r="755" spans="1:19">
      <c r="A755" t="s">
        <v>251</v>
      </c>
      <c r="B755" t="s">
        <v>26</v>
      </c>
      <c r="C755" t="s">
        <v>27</v>
      </c>
      <c r="D755" s="8">
        <v>45932</v>
      </c>
      <c r="H755" t="s">
        <v>28</v>
      </c>
      <c r="I755" t="s">
        <v>31</v>
      </c>
      <c r="O755">
        <v>1</v>
      </c>
      <c r="P755">
        <v>0</v>
      </c>
      <c r="Q755">
        <v>0</v>
      </c>
      <c r="R755">
        <v>0</v>
      </c>
      <c r="S755" t="s">
        <v>1055</v>
      </c>
    </row>
    <row r="756" spans="1:19">
      <c r="A756" t="s">
        <v>252</v>
      </c>
      <c r="B756" t="s">
        <v>26</v>
      </c>
      <c r="C756" t="s">
        <v>27</v>
      </c>
      <c r="D756" s="8">
        <v>45950</v>
      </c>
      <c r="H756" t="s">
        <v>28</v>
      </c>
      <c r="I756" t="s">
        <v>29</v>
      </c>
      <c r="O756">
        <v>1</v>
      </c>
      <c r="P756">
        <v>0</v>
      </c>
      <c r="Q756">
        <v>0</v>
      </c>
      <c r="R756">
        <v>0</v>
      </c>
      <c r="S756" t="s">
        <v>1055</v>
      </c>
    </row>
    <row r="757" spans="1:19">
      <c r="A757" t="s">
        <v>261</v>
      </c>
      <c r="B757" t="s">
        <v>26</v>
      </c>
      <c r="C757" t="s">
        <v>27</v>
      </c>
      <c r="D757" s="8">
        <v>45939</v>
      </c>
      <c r="H757" t="s">
        <v>28</v>
      </c>
      <c r="I757" t="s">
        <v>29</v>
      </c>
      <c r="O757">
        <v>1</v>
      </c>
      <c r="P757">
        <v>0</v>
      </c>
      <c r="Q757">
        <v>0</v>
      </c>
      <c r="R757">
        <v>0</v>
      </c>
      <c r="S757" t="s">
        <v>1055</v>
      </c>
    </row>
    <row r="758" spans="1:19">
      <c r="A758" t="s">
        <v>265</v>
      </c>
      <c r="B758" t="s">
        <v>26</v>
      </c>
      <c r="C758" t="s">
        <v>21</v>
      </c>
      <c r="D758" s="8">
        <v>45938</v>
      </c>
      <c r="E758" s="8">
        <v>45939</v>
      </c>
      <c r="F758" s="8">
        <v>45941</v>
      </c>
      <c r="G758" s="8">
        <v>45945</v>
      </c>
      <c r="H758" t="s">
        <v>28</v>
      </c>
      <c r="I758" t="s">
        <v>68</v>
      </c>
      <c r="K758">
        <v>1</v>
      </c>
      <c r="L758">
        <v>2</v>
      </c>
      <c r="M758">
        <v>4</v>
      </c>
      <c r="O758">
        <v>1</v>
      </c>
      <c r="P758">
        <v>1</v>
      </c>
      <c r="Q758">
        <v>1</v>
      </c>
      <c r="R758">
        <v>0</v>
      </c>
      <c r="S758" t="s">
        <v>1055</v>
      </c>
    </row>
    <row r="759" spans="1:19">
      <c r="A759" t="s">
        <v>272</v>
      </c>
      <c r="B759" t="s">
        <v>26</v>
      </c>
      <c r="C759" t="s">
        <v>35</v>
      </c>
      <c r="D759" s="8">
        <v>45945</v>
      </c>
      <c r="E759" s="8">
        <v>45947</v>
      </c>
      <c r="F759" s="8">
        <v>45951</v>
      </c>
      <c r="G759" s="8">
        <v>45954</v>
      </c>
      <c r="H759" t="s">
        <v>28</v>
      </c>
      <c r="I759" t="s">
        <v>68</v>
      </c>
      <c r="K759">
        <v>2</v>
      </c>
      <c r="L759">
        <v>4</v>
      </c>
      <c r="M759">
        <v>3</v>
      </c>
      <c r="O759">
        <v>1</v>
      </c>
      <c r="P759">
        <v>1</v>
      </c>
      <c r="Q759">
        <v>1</v>
      </c>
      <c r="R759">
        <v>0</v>
      </c>
      <c r="S759" t="s">
        <v>1055</v>
      </c>
    </row>
    <row r="760" spans="1:19">
      <c r="A760" t="s">
        <v>288</v>
      </c>
      <c r="B760" t="s">
        <v>26</v>
      </c>
      <c r="C760" t="s">
        <v>21</v>
      </c>
      <c r="D760" s="8">
        <v>45960</v>
      </c>
      <c r="E760" s="8">
        <v>45964</v>
      </c>
      <c r="F760" s="8">
        <v>45968</v>
      </c>
      <c r="G760" s="8">
        <v>45973</v>
      </c>
      <c r="H760" t="s">
        <v>28</v>
      </c>
      <c r="I760" t="s">
        <v>31</v>
      </c>
      <c r="K760">
        <v>4</v>
      </c>
      <c r="L760">
        <v>4</v>
      </c>
      <c r="M760">
        <v>5</v>
      </c>
      <c r="O760">
        <v>1</v>
      </c>
      <c r="P760">
        <v>1</v>
      </c>
      <c r="Q760">
        <v>1</v>
      </c>
      <c r="R760">
        <v>0</v>
      </c>
      <c r="S760" t="s">
        <v>1055</v>
      </c>
    </row>
    <row r="761" spans="1:19">
      <c r="A761" t="s">
        <v>295</v>
      </c>
      <c r="B761" t="s">
        <v>26</v>
      </c>
      <c r="C761" t="s">
        <v>27</v>
      </c>
      <c r="D761" s="8">
        <v>45956</v>
      </c>
      <c r="H761" t="s">
        <v>28</v>
      </c>
      <c r="I761" t="s">
        <v>29</v>
      </c>
      <c r="O761">
        <v>1</v>
      </c>
      <c r="P761">
        <v>0</v>
      </c>
      <c r="Q761">
        <v>0</v>
      </c>
      <c r="R761">
        <v>0</v>
      </c>
      <c r="S761" t="s">
        <v>1055</v>
      </c>
    </row>
    <row r="762" spans="1:19">
      <c r="A762" t="s">
        <v>299</v>
      </c>
      <c r="B762" t="s">
        <v>26</v>
      </c>
      <c r="C762" t="s">
        <v>27</v>
      </c>
      <c r="D762" s="8">
        <v>45934</v>
      </c>
      <c r="H762" t="s">
        <v>28</v>
      </c>
      <c r="I762" t="s">
        <v>38</v>
      </c>
      <c r="O762">
        <v>1</v>
      </c>
      <c r="P762">
        <v>0</v>
      </c>
      <c r="Q762">
        <v>0</v>
      </c>
      <c r="R762">
        <v>0</v>
      </c>
      <c r="S762" t="s">
        <v>1055</v>
      </c>
    </row>
    <row r="763" spans="1:19">
      <c r="A763" t="s">
        <v>322</v>
      </c>
      <c r="B763" t="s">
        <v>26</v>
      </c>
      <c r="C763" t="s">
        <v>27</v>
      </c>
      <c r="D763" s="8">
        <v>45953</v>
      </c>
      <c r="H763" t="s">
        <v>28</v>
      </c>
      <c r="I763" t="s">
        <v>29</v>
      </c>
      <c r="O763">
        <v>1</v>
      </c>
      <c r="P763">
        <v>0</v>
      </c>
      <c r="Q763">
        <v>0</v>
      </c>
      <c r="R763">
        <v>0</v>
      </c>
      <c r="S763" t="s">
        <v>1055</v>
      </c>
    </row>
    <row r="764" spans="1:19">
      <c r="A764" t="s">
        <v>327</v>
      </c>
      <c r="B764" t="s">
        <v>26</v>
      </c>
      <c r="C764" t="s">
        <v>27</v>
      </c>
      <c r="D764" s="8">
        <v>45939</v>
      </c>
      <c r="H764" t="s">
        <v>28</v>
      </c>
      <c r="I764" t="s">
        <v>106</v>
      </c>
      <c r="O764">
        <v>1</v>
      </c>
      <c r="P764">
        <v>0</v>
      </c>
      <c r="Q764">
        <v>0</v>
      </c>
      <c r="R764">
        <v>0</v>
      </c>
      <c r="S764" t="s">
        <v>1055</v>
      </c>
    </row>
    <row r="765" spans="1:19">
      <c r="A765" t="s">
        <v>332</v>
      </c>
      <c r="B765" t="s">
        <v>26</v>
      </c>
      <c r="C765" t="s">
        <v>27</v>
      </c>
      <c r="D765" s="8">
        <v>45933</v>
      </c>
      <c r="H765" t="s">
        <v>28</v>
      </c>
      <c r="I765" t="s">
        <v>38</v>
      </c>
      <c r="O765">
        <v>1</v>
      </c>
      <c r="P765">
        <v>0</v>
      </c>
      <c r="Q765">
        <v>0</v>
      </c>
      <c r="R765">
        <v>0</v>
      </c>
      <c r="S765" t="s">
        <v>1055</v>
      </c>
    </row>
    <row r="766" spans="1:19">
      <c r="A766" t="s">
        <v>354</v>
      </c>
      <c r="B766" t="s">
        <v>26</v>
      </c>
      <c r="C766" t="s">
        <v>27</v>
      </c>
      <c r="D766" s="8">
        <v>45957</v>
      </c>
      <c r="H766" t="s">
        <v>28</v>
      </c>
      <c r="I766" t="s">
        <v>31</v>
      </c>
      <c r="O766">
        <v>1</v>
      </c>
      <c r="P766">
        <v>0</v>
      </c>
      <c r="Q766">
        <v>0</v>
      </c>
      <c r="R766">
        <v>0</v>
      </c>
      <c r="S766" t="s">
        <v>1055</v>
      </c>
    </row>
    <row r="767" spans="1:19">
      <c r="A767" t="s">
        <v>368</v>
      </c>
      <c r="B767" t="s">
        <v>26</v>
      </c>
      <c r="C767" t="s">
        <v>27</v>
      </c>
      <c r="D767" s="8">
        <v>45949</v>
      </c>
      <c r="H767" t="s">
        <v>28</v>
      </c>
      <c r="I767" t="s">
        <v>106</v>
      </c>
      <c r="O767">
        <v>1</v>
      </c>
      <c r="P767">
        <v>0</v>
      </c>
      <c r="Q767">
        <v>0</v>
      </c>
      <c r="R767">
        <v>0</v>
      </c>
      <c r="S767" t="s">
        <v>1055</v>
      </c>
    </row>
    <row r="768" spans="1:19">
      <c r="A768" t="s">
        <v>418</v>
      </c>
      <c r="B768" t="s">
        <v>26</v>
      </c>
      <c r="C768" t="s">
        <v>27</v>
      </c>
      <c r="D768" s="8">
        <v>45946</v>
      </c>
      <c r="H768" t="s">
        <v>28</v>
      </c>
      <c r="I768" t="s">
        <v>106</v>
      </c>
      <c r="O768">
        <v>1</v>
      </c>
      <c r="P768">
        <v>0</v>
      </c>
      <c r="Q768">
        <v>0</v>
      </c>
      <c r="R768">
        <v>0</v>
      </c>
      <c r="S768" t="s">
        <v>1055</v>
      </c>
    </row>
    <row r="769" spans="1:19">
      <c r="A769" t="s">
        <v>465</v>
      </c>
      <c r="B769" t="s">
        <v>26</v>
      </c>
      <c r="C769" t="s">
        <v>27</v>
      </c>
      <c r="D769" s="8">
        <v>45957</v>
      </c>
      <c r="H769" t="s">
        <v>28</v>
      </c>
      <c r="I769" t="s">
        <v>29</v>
      </c>
      <c r="O769">
        <v>1</v>
      </c>
      <c r="P769">
        <v>0</v>
      </c>
      <c r="Q769">
        <v>0</v>
      </c>
      <c r="R769">
        <v>0</v>
      </c>
      <c r="S769" t="s">
        <v>1055</v>
      </c>
    </row>
    <row r="770" spans="1:19">
      <c r="A770" t="s">
        <v>475</v>
      </c>
      <c r="B770" t="s">
        <v>26</v>
      </c>
      <c r="C770" t="s">
        <v>27</v>
      </c>
      <c r="D770" s="8">
        <v>45950</v>
      </c>
      <c r="H770" t="s">
        <v>28</v>
      </c>
      <c r="I770" t="s">
        <v>38</v>
      </c>
      <c r="O770">
        <v>1</v>
      </c>
      <c r="P770">
        <v>0</v>
      </c>
      <c r="Q770">
        <v>0</v>
      </c>
      <c r="R770">
        <v>0</v>
      </c>
      <c r="S770" t="s">
        <v>1055</v>
      </c>
    </row>
    <row r="771" spans="1:19">
      <c r="A771" t="s">
        <v>486</v>
      </c>
      <c r="B771" t="s">
        <v>26</v>
      </c>
      <c r="C771" t="s">
        <v>27</v>
      </c>
      <c r="D771" s="8">
        <v>45944</v>
      </c>
      <c r="H771" t="s">
        <v>28</v>
      </c>
      <c r="I771" t="s">
        <v>29</v>
      </c>
      <c r="O771">
        <v>1</v>
      </c>
      <c r="P771">
        <v>0</v>
      </c>
      <c r="Q771">
        <v>0</v>
      </c>
      <c r="R771">
        <v>0</v>
      </c>
      <c r="S771" t="s">
        <v>1055</v>
      </c>
    </row>
    <row r="772" spans="1:19">
      <c r="A772" t="s">
        <v>502</v>
      </c>
      <c r="B772" t="s">
        <v>26</v>
      </c>
      <c r="C772" t="s">
        <v>27</v>
      </c>
      <c r="D772" s="8">
        <v>45958</v>
      </c>
      <c r="H772" t="s">
        <v>28</v>
      </c>
      <c r="I772" t="s">
        <v>38</v>
      </c>
      <c r="O772">
        <v>1</v>
      </c>
      <c r="P772">
        <v>0</v>
      </c>
      <c r="Q772">
        <v>0</v>
      </c>
      <c r="R772">
        <v>0</v>
      </c>
      <c r="S772" t="s">
        <v>1055</v>
      </c>
    </row>
    <row r="773" spans="1:19">
      <c r="A773" t="s">
        <v>507</v>
      </c>
      <c r="B773" t="s">
        <v>26</v>
      </c>
      <c r="C773" t="s">
        <v>27</v>
      </c>
      <c r="D773" s="8">
        <v>45942</v>
      </c>
      <c r="H773" t="s">
        <v>28</v>
      </c>
      <c r="I773" t="s">
        <v>106</v>
      </c>
      <c r="O773">
        <v>1</v>
      </c>
      <c r="P773">
        <v>0</v>
      </c>
      <c r="Q773">
        <v>0</v>
      </c>
      <c r="R773">
        <v>0</v>
      </c>
      <c r="S773" t="s">
        <v>1055</v>
      </c>
    </row>
    <row r="774" spans="1:19">
      <c r="A774" t="s">
        <v>508</v>
      </c>
      <c r="B774" t="s">
        <v>26</v>
      </c>
      <c r="C774" t="s">
        <v>21</v>
      </c>
      <c r="D774" s="8">
        <v>45941</v>
      </c>
      <c r="E774" s="8">
        <v>45943</v>
      </c>
      <c r="F774" s="8">
        <v>45947</v>
      </c>
      <c r="G774" s="8">
        <v>45952</v>
      </c>
      <c r="H774" t="s">
        <v>28</v>
      </c>
      <c r="I774" t="s">
        <v>29</v>
      </c>
      <c r="K774">
        <v>2</v>
      </c>
      <c r="L774">
        <v>4</v>
      </c>
      <c r="M774">
        <v>5</v>
      </c>
      <c r="O774">
        <v>1</v>
      </c>
      <c r="P774">
        <v>1</v>
      </c>
      <c r="Q774">
        <v>1</v>
      </c>
      <c r="R774">
        <v>0</v>
      </c>
      <c r="S774" t="s">
        <v>1055</v>
      </c>
    </row>
    <row r="775" spans="1:19">
      <c r="A775" t="s">
        <v>527</v>
      </c>
      <c r="B775" t="s">
        <v>26</v>
      </c>
      <c r="C775" t="s">
        <v>27</v>
      </c>
      <c r="D775" s="8">
        <v>45941</v>
      </c>
      <c r="H775" t="s">
        <v>28</v>
      </c>
      <c r="I775" t="s">
        <v>106</v>
      </c>
      <c r="O775">
        <v>1</v>
      </c>
      <c r="P775">
        <v>0</v>
      </c>
      <c r="Q775">
        <v>0</v>
      </c>
      <c r="R775">
        <v>0</v>
      </c>
      <c r="S775" t="s">
        <v>1055</v>
      </c>
    </row>
    <row r="776" spans="1:19">
      <c r="A776" t="s">
        <v>548</v>
      </c>
      <c r="B776" t="s">
        <v>26</v>
      </c>
      <c r="C776" t="s">
        <v>35</v>
      </c>
      <c r="D776" s="8">
        <v>45958</v>
      </c>
      <c r="E776" s="8">
        <v>45962</v>
      </c>
      <c r="F776" s="8">
        <v>45963</v>
      </c>
      <c r="G776" s="8">
        <v>45970</v>
      </c>
      <c r="H776" t="s">
        <v>28</v>
      </c>
      <c r="I776" t="s">
        <v>29</v>
      </c>
      <c r="K776">
        <v>4</v>
      </c>
      <c r="L776">
        <v>1</v>
      </c>
      <c r="M776">
        <v>7</v>
      </c>
      <c r="O776">
        <v>1</v>
      </c>
      <c r="P776">
        <v>1</v>
      </c>
      <c r="Q776">
        <v>1</v>
      </c>
      <c r="R776">
        <v>0</v>
      </c>
      <c r="S776" t="s">
        <v>1055</v>
      </c>
    </row>
    <row r="777" spans="1:19">
      <c r="A777" t="s">
        <v>562</v>
      </c>
      <c r="B777" t="s">
        <v>26</v>
      </c>
      <c r="C777" t="s">
        <v>27</v>
      </c>
      <c r="D777" s="8">
        <v>45951</v>
      </c>
      <c r="H777" t="s">
        <v>28</v>
      </c>
      <c r="I777" t="s">
        <v>31</v>
      </c>
      <c r="O777">
        <v>1</v>
      </c>
      <c r="P777">
        <v>0</v>
      </c>
      <c r="Q777">
        <v>0</v>
      </c>
      <c r="R777">
        <v>0</v>
      </c>
      <c r="S777" t="s">
        <v>1055</v>
      </c>
    </row>
    <row r="778" spans="1:19">
      <c r="A778" t="s">
        <v>574</v>
      </c>
      <c r="B778" t="s">
        <v>26</v>
      </c>
      <c r="C778" t="s">
        <v>27</v>
      </c>
      <c r="D778" s="8">
        <v>45958</v>
      </c>
      <c r="H778" t="s">
        <v>28</v>
      </c>
      <c r="I778" t="s">
        <v>106</v>
      </c>
      <c r="O778">
        <v>1</v>
      </c>
      <c r="P778">
        <v>0</v>
      </c>
      <c r="Q778">
        <v>0</v>
      </c>
      <c r="R778">
        <v>0</v>
      </c>
      <c r="S778" t="s">
        <v>1055</v>
      </c>
    </row>
    <row r="779" spans="1:19">
      <c r="A779" t="s">
        <v>586</v>
      </c>
      <c r="B779" t="s">
        <v>26</v>
      </c>
      <c r="C779" t="s">
        <v>27</v>
      </c>
      <c r="D779" s="8">
        <v>45955</v>
      </c>
      <c r="H779" t="s">
        <v>28</v>
      </c>
      <c r="I779" t="s">
        <v>68</v>
      </c>
      <c r="O779">
        <v>1</v>
      </c>
      <c r="P779">
        <v>0</v>
      </c>
      <c r="Q779">
        <v>0</v>
      </c>
      <c r="R779">
        <v>0</v>
      </c>
      <c r="S779" t="s">
        <v>1055</v>
      </c>
    </row>
    <row r="780" spans="1:19">
      <c r="A780" t="s">
        <v>623</v>
      </c>
      <c r="B780" t="s">
        <v>26</v>
      </c>
      <c r="C780" t="s">
        <v>27</v>
      </c>
      <c r="D780" s="8">
        <v>45938</v>
      </c>
      <c r="H780" t="s">
        <v>28</v>
      </c>
      <c r="I780" t="s">
        <v>68</v>
      </c>
      <c r="O780">
        <v>1</v>
      </c>
      <c r="P780">
        <v>0</v>
      </c>
      <c r="Q780">
        <v>0</v>
      </c>
      <c r="R780">
        <v>0</v>
      </c>
      <c r="S780" t="s">
        <v>1055</v>
      </c>
    </row>
    <row r="781" spans="1:19">
      <c r="A781" t="s">
        <v>652</v>
      </c>
      <c r="B781" t="s">
        <v>26</v>
      </c>
      <c r="C781" t="s">
        <v>21</v>
      </c>
      <c r="D781" s="8">
        <v>45956</v>
      </c>
      <c r="E781" s="8">
        <v>45957</v>
      </c>
      <c r="F781" s="8">
        <v>45960</v>
      </c>
      <c r="G781" s="8">
        <v>45963</v>
      </c>
      <c r="H781" t="s">
        <v>28</v>
      </c>
      <c r="I781" t="s">
        <v>68</v>
      </c>
      <c r="K781">
        <v>1</v>
      </c>
      <c r="L781">
        <v>3</v>
      </c>
      <c r="M781">
        <v>3</v>
      </c>
      <c r="O781">
        <v>1</v>
      </c>
      <c r="P781">
        <v>1</v>
      </c>
      <c r="Q781">
        <v>1</v>
      </c>
      <c r="R781">
        <v>0</v>
      </c>
      <c r="S781" t="s">
        <v>1055</v>
      </c>
    </row>
    <row r="782" spans="1:19">
      <c r="A782" t="s">
        <v>653</v>
      </c>
      <c r="B782" t="s">
        <v>26</v>
      </c>
      <c r="C782" t="s">
        <v>21</v>
      </c>
      <c r="D782" s="8">
        <v>45945</v>
      </c>
      <c r="E782" s="8">
        <v>45949</v>
      </c>
      <c r="F782" s="8">
        <v>45954</v>
      </c>
      <c r="G782" s="8">
        <v>45958</v>
      </c>
      <c r="H782" t="s">
        <v>28</v>
      </c>
      <c r="I782" t="s">
        <v>38</v>
      </c>
      <c r="K782">
        <v>4</v>
      </c>
      <c r="L782">
        <v>5</v>
      </c>
      <c r="M782">
        <v>4</v>
      </c>
      <c r="O782">
        <v>1</v>
      </c>
      <c r="P782">
        <v>1</v>
      </c>
      <c r="Q782">
        <v>1</v>
      </c>
      <c r="R782">
        <v>0</v>
      </c>
      <c r="S782" t="s">
        <v>1055</v>
      </c>
    </row>
    <row r="783" spans="1:19">
      <c r="A783" t="s">
        <v>657</v>
      </c>
      <c r="B783" t="s">
        <v>26</v>
      </c>
      <c r="C783" t="s">
        <v>27</v>
      </c>
      <c r="D783" s="8">
        <v>45948</v>
      </c>
      <c r="H783" t="s">
        <v>28</v>
      </c>
      <c r="I783" t="s">
        <v>106</v>
      </c>
      <c r="O783">
        <v>1</v>
      </c>
      <c r="P783">
        <v>0</v>
      </c>
      <c r="Q783">
        <v>0</v>
      </c>
      <c r="R783">
        <v>0</v>
      </c>
      <c r="S783" t="s">
        <v>1055</v>
      </c>
    </row>
    <row r="784" spans="1:19">
      <c r="A784" t="s">
        <v>668</v>
      </c>
      <c r="B784" t="s">
        <v>26</v>
      </c>
      <c r="C784" t="s">
        <v>35</v>
      </c>
      <c r="D784" s="8">
        <v>45953</v>
      </c>
      <c r="E784" s="8">
        <v>45956</v>
      </c>
      <c r="F784" s="8">
        <v>45961</v>
      </c>
      <c r="G784" s="8">
        <v>45964</v>
      </c>
      <c r="H784" t="s">
        <v>28</v>
      </c>
      <c r="I784" t="s">
        <v>106</v>
      </c>
      <c r="K784">
        <v>3</v>
      </c>
      <c r="L784">
        <v>5</v>
      </c>
      <c r="M784">
        <v>3</v>
      </c>
      <c r="O784">
        <v>1</v>
      </c>
      <c r="P784">
        <v>1</v>
      </c>
      <c r="Q784">
        <v>1</v>
      </c>
      <c r="R784">
        <v>0</v>
      </c>
      <c r="S784" t="s">
        <v>1055</v>
      </c>
    </row>
    <row r="785" spans="1:19">
      <c r="A785" t="s">
        <v>682</v>
      </c>
      <c r="B785" t="s">
        <v>26</v>
      </c>
      <c r="C785" t="s">
        <v>21</v>
      </c>
      <c r="D785" s="8">
        <v>45949</v>
      </c>
      <c r="E785" s="8">
        <v>45950</v>
      </c>
      <c r="F785" s="8">
        <v>45953</v>
      </c>
      <c r="G785" s="8">
        <v>45956</v>
      </c>
      <c r="H785" t="s">
        <v>28</v>
      </c>
      <c r="I785" t="s">
        <v>29</v>
      </c>
      <c r="K785">
        <v>1</v>
      </c>
      <c r="L785">
        <v>3</v>
      </c>
      <c r="M785">
        <v>3</v>
      </c>
      <c r="O785">
        <v>1</v>
      </c>
      <c r="P785">
        <v>1</v>
      </c>
      <c r="Q785">
        <v>1</v>
      </c>
      <c r="R785">
        <v>0</v>
      </c>
      <c r="S785" t="s">
        <v>1055</v>
      </c>
    </row>
    <row r="786" spans="1:19">
      <c r="A786" t="s">
        <v>683</v>
      </c>
      <c r="B786" t="s">
        <v>26</v>
      </c>
      <c r="C786" t="s">
        <v>35</v>
      </c>
      <c r="D786" s="8">
        <v>45940</v>
      </c>
      <c r="E786" s="8">
        <v>45941</v>
      </c>
      <c r="F786" s="8">
        <v>45942</v>
      </c>
      <c r="G786" s="8">
        <v>45946</v>
      </c>
      <c r="H786" t="s">
        <v>28</v>
      </c>
      <c r="I786" t="s">
        <v>106</v>
      </c>
      <c r="K786">
        <v>1</v>
      </c>
      <c r="L786">
        <v>1</v>
      </c>
      <c r="M786">
        <v>4</v>
      </c>
      <c r="O786">
        <v>1</v>
      </c>
      <c r="P786">
        <v>1</v>
      </c>
      <c r="Q786">
        <v>1</v>
      </c>
      <c r="R786">
        <v>0</v>
      </c>
      <c r="S786" t="s">
        <v>1055</v>
      </c>
    </row>
    <row r="787" spans="1:19">
      <c r="A787" t="s">
        <v>685</v>
      </c>
      <c r="B787" t="s">
        <v>26</v>
      </c>
      <c r="C787" t="s">
        <v>27</v>
      </c>
      <c r="D787" s="8">
        <v>45940</v>
      </c>
      <c r="H787" t="s">
        <v>28</v>
      </c>
      <c r="I787" t="s">
        <v>31</v>
      </c>
      <c r="O787">
        <v>1</v>
      </c>
      <c r="P787">
        <v>0</v>
      </c>
      <c r="Q787">
        <v>0</v>
      </c>
      <c r="R787">
        <v>0</v>
      </c>
      <c r="S787" t="s">
        <v>1055</v>
      </c>
    </row>
    <row r="788" spans="1:19">
      <c r="A788" t="s">
        <v>690</v>
      </c>
      <c r="B788" t="s">
        <v>26</v>
      </c>
      <c r="C788" t="s">
        <v>21</v>
      </c>
      <c r="D788" s="8">
        <v>45939</v>
      </c>
      <c r="E788" s="8">
        <v>45941</v>
      </c>
      <c r="F788" s="8">
        <v>45945</v>
      </c>
      <c r="G788" s="8">
        <v>45949</v>
      </c>
      <c r="H788" t="s">
        <v>28</v>
      </c>
      <c r="I788" t="s">
        <v>29</v>
      </c>
      <c r="K788">
        <v>2</v>
      </c>
      <c r="L788">
        <v>4</v>
      </c>
      <c r="M788">
        <v>4</v>
      </c>
      <c r="O788">
        <v>1</v>
      </c>
      <c r="P788">
        <v>1</v>
      </c>
      <c r="Q788">
        <v>1</v>
      </c>
      <c r="R788">
        <v>0</v>
      </c>
      <c r="S788" t="s">
        <v>1055</v>
      </c>
    </row>
    <row r="789" spans="1:19">
      <c r="A789" t="s">
        <v>719</v>
      </c>
      <c r="B789" t="s">
        <v>26</v>
      </c>
      <c r="C789" t="s">
        <v>27</v>
      </c>
      <c r="D789" s="8">
        <v>45954</v>
      </c>
      <c r="H789" t="s">
        <v>28</v>
      </c>
      <c r="I789" t="s">
        <v>38</v>
      </c>
      <c r="O789">
        <v>1</v>
      </c>
      <c r="P789">
        <v>0</v>
      </c>
      <c r="Q789">
        <v>0</v>
      </c>
      <c r="R789">
        <v>0</v>
      </c>
      <c r="S789" t="s">
        <v>1055</v>
      </c>
    </row>
    <row r="790" spans="1:19">
      <c r="A790" t="s">
        <v>760</v>
      </c>
      <c r="B790" t="s">
        <v>26</v>
      </c>
      <c r="C790" t="s">
        <v>27</v>
      </c>
      <c r="D790" s="8">
        <v>45957</v>
      </c>
      <c r="H790" t="s">
        <v>28</v>
      </c>
      <c r="I790" t="s">
        <v>38</v>
      </c>
      <c r="O790">
        <v>1</v>
      </c>
      <c r="P790">
        <v>0</v>
      </c>
      <c r="Q790">
        <v>0</v>
      </c>
      <c r="R790">
        <v>0</v>
      </c>
      <c r="S790" t="s">
        <v>1055</v>
      </c>
    </row>
    <row r="791" spans="1:19">
      <c r="A791" t="s">
        <v>770</v>
      </c>
      <c r="B791" t="s">
        <v>26</v>
      </c>
      <c r="C791" t="s">
        <v>27</v>
      </c>
      <c r="D791" s="8">
        <v>45934</v>
      </c>
      <c r="H791" t="s">
        <v>28</v>
      </c>
      <c r="I791" t="s">
        <v>31</v>
      </c>
      <c r="O791">
        <v>1</v>
      </c>
      <c r="P791">
        <v>0</v>
      </c>
      <c r="Q791">
        <v>0</v>
      </c>
      <c r="R791">
        <v>0</v>
      </c>
      <c r="S791" t="s">
        <v>1055</v>
      </c>
    </row>
    <row r="792" spans="1:19">
      <c r="A792" t="s">
        <v>780</v>
      </c>
      <c r="B792" t="s">
        <v>26</v>
      </c>
      <c r="C792" t="s">
        <v>27</v>
      </c>
      <c r="D792" s="8">
        <v>45954</v>
      </c>
      <c r="H792" t="s">
        <v>28</v>
      </c>
      <c r="I792" t="s">
        <v>68</v>
      </c>
      <c r="O792">
        <v>1</v>
      </c>
      <c r="P792">
        <v>0</v>
      </c>
      <c r="Q792">
        <v>0</v>
      </c>
      <c r="R792">
        <v>0</v>
      </c>
      <c r="S792" t="s">
        <v>1055</v>
      </c>
    </row>
    <row r="793" spans="1:19">
      <c r="A793" t="s">
        <v>792</v>
      </c>
      <c r="B793" t="s">
        <v>26</v>
      </c>
      <c r="C793" t="s">
        <v>27</v>
      </c>
      <c r="D793" s="8">
        <v>45939</v>
      </c>
      <c r="H793" t="s">
        <v>28</v>
      </c>
      <c r="I793" t="s">
        <v>68</v>
      </c>
      <c r="O793">
        <v>1</v>
      </c>
      <c r="P793">
        <v>0</v>
      </c>
      <c r="Q793">
        <v>0</v>
      </c>
      <c r="R793">
        <v>0</v>
      </c>
      <c r="S793" t="s">
        <v>1055</v>
      </c>
    </row>
    <row r="794" spans="1:19">
      <c r="A794" t="s">
        <v>796</v>
      </c>
      <c r="B794" t="s">
        <v>26</v>
      </c>
      <c r="C794" t="s">
        <v>21</v>
      </c>
      <c r="D794" s="8">
        <v>45942</v>
      </c>
      <c r="E794" s="8">
        <v>45946</v>
      </c>
      <c r="F794" s="8">
        <v>45948</v>
      </c>
      <c r="G794" s="8">
        <v>45952</v>
      </c>
      <c r="H794" t="s">
        <v>28</v>
      </c>
      <c r="I794" t="s">
        <v>68</v>
      </c>
      <c r="K794">
        <v>4</v>
      </c>
      <c r="L794">
        <v>2</v>
      </c>
      <c r="M794">
        <v>4</v>
      </c>
      <c r="O794">
        <v>1</v>
      </c>
      <c r="P794">
        <v>1</v>
      </c>
      <c r="Q794">
        <v>1</v>
      </c>
      <c r="R794">
        <v>0</v>
      </c>
      <c r="S794" t="s">
        <v>1055</v>
      </c>
    </row>
    <row r="795" spans="1:19">
      <c r="A795" t="s">
        <v>799</v>
      </c>
      <c r="B795" t="s">
        <v>26</v>
      </c>
      <c r="C795" t="s">
        <v>27</v>
      </c>
      <c r="D795" s="8">
        <v>45952</v>
      </c>
      <c r="H795" t="s">
        <v>28</v>
      </c>
      <c r="I795" t="s">
        <v>106</v>
      </c>
      <c r="O795">
        <v>1</v>
      </c>
      <c r="P795">
        <v>0</v>
      </c>
      <c r="Q795">
        <v>0</v>
      </c>
      <c r="R795">
        <v>0</v>
      </c>
      <c r="S795" t="s">
        <v>1055</v>
      </c>
    </row>
    <row r="796" spans="1:19">
      <c r="A796" t="s">
        <v>815</v>
      </c>
      <c r="B796" t="s">
        <v>26</v>
      </c>
      <c r="C796" t="s">
        <v>27</v>
      </c>
      <c r="D796" s="8">
        <v>45948</v>
      </c>
      <c r="H796" t="s">
        <v>28</v>
      </c>
      <c r="I796" t="s">
        <v>29</v>
      </c>
      <c r="O796">
        <v>1</v>
      </c>
      <c r="P796">
        <v>0</v>
      </c>
      <c r="Q796">
        <v>0</v>
      </c>
      <c r="R796">
        <v>0</v>
      </c>
      <c r="S796" t="s">
        <v>1055</v>
      </c>
    </row>
    <row r="797" spans="1:19">
      <c r="A797" t="s">
        <v>834</v>
      </c>
      <c r="B797" t="s">
        <v>26</v>
      </c>
      <c r="C797" t="s">
        <v>21</v>
      </c>
      <c r="D797" s="8">
        <v>45932</v>
      </c>
      <c r="E797" s="8">
        <v>45934</v>
      </c>
      <c r="F797" s="8">
        <v>45936</v>
      </c>
      <c r="G797" s="8">
        <v>45939</v>
      </c>
      <c r="H797" t="s">
        <v>28</v>
      </c>
      <c r="I797" t="s">
        <v>106</v>
      </c>
      <c r="K797">
        <v>2</v>
      </c>
      <c r="L797">
        <v>2</v>
      </c>
      <c r="M797">
        <v>3</v>
      </c>
      <c r="O797">
        <v>1</v>
      </c>
      <c r="P797">
        <v>1</v>
      </c>
      <c r="Q797">
        <v>1</v>
      </c>
      <c r="R797">
        <v>0</v>
      </c>
      <c r="S797" t="s">
        <v>1055</v>
      </c>
    </row>
    <row r="798" spans="1:19">
      <c r="A798" t="s">
        <v>843</v>
      </c>
      <c r="B798" t="s">
        <v>26</v>
      </c>
      <c r="C798" t="s">
        <v>27</v>
      </c>
      <c r="D798" s="8">
        <v>45943</v>
      </c>
      <c r="H798" t="s">
        <v>28</v>
      </c>
      <c r="I798" t="s">
        <v>68</v>
      </c>
      <c r="O798">
        <v>1</v>
      </c>
      <c r="P798">
        <v>0</v>
      </c>
      <c r="Q798">
        <v>0</v>
      </c>
      <c r="R798">
        <v>0</v>
      </c>
      <c r="S798" t="s">
        <v>1055</v>
      </c>
    </row>
    <row r="799" spans="1:19">
      <c r="A799" t="s">
        <v>880</v>
      </c>
      <c r="B799" t="s">
        <v>26</v>
      </c>
      <c r="C799" t="s">
        <v>27</v>
      </c>
      <c r="D799" s="8">
        <v>45942</v>
      </c>
      <c r="H799" t="s">
        <v>28</v>
      </c>
      <c r="I799" t="s">
        <v>68</v>
      </c>
      <c r="O799">
        <v>1</v>
      </c>
      <c r="P799">
        <v>0</v>
      </c>
      <c r="Q799">
        <v>0</v>
      </c>
      <c r="R799">
        <v>0</v>
      </c>
      <c r="S799" t="s">
        <v>1055</v>
      </c>
    </row>
    <row r="800" spans="1:19">
      <c r="A800" t="s">
        <v>910</v>
      </c>
      <c r="B800" t="s">
        <v>26</v>
      </c>
      <c r="C800" t="s">
        <v>27</v>
      </c>
      <c r="D800" s="8">
        <v>45933</v>
      </c>
      <c r="H800" t="s">
        <v>28</v>
      </c>
      <c r="I800" t="s">
        <v>68</v>
      </c>
      <c r="O800">
        <v>1</v>
      </c>
      <c r="P800">
        <v>0</v>
      </c>
      <c r="Q800">
        <v>0</v>
      </c>
      <c r="R800">
        <v>0</v>
      </c>
      <c r="S800" t="s">
        <v>1055</v>
      </c>
    </row>
    <row r="801" spans="1:19">
      <c r="A801" t="s">
        <v>919</v>
      </c>
      <c r="B801" t="s">
        <v>26</v>
      </c>
      <c r="C801" t="s">
        <v>27</v>
      </c>
      <c r="D801" s="8">
        <v>45938</v>
      </c>
      <c r="H801" t="s">
        <v>28</v>
      </c>
      <c r="I801" t="s">
        <v>38</v>
      </c>
      <c r="O801">
        <v>1</v>
      </c>
      <c r="P801">
        <v>0</v>
      </c>
      <c r="Q801">
        <v>0</v>
      </c>
      <c r="R801">
        <v>0</v>
      </c>
      <c r="S801" t="s">
        <v>1055</v>
      </c>
    </row>
    <row r="802" spans="1:19">
      <c r="A802" t="s">
        <v>1010</v>
      </c>
      <c r="B802" t="s">
        <v>26</v>
      </c>
      <c r="C802" t="s">
        <v>27</v>
      </c>
      <c r="D802" s="8">
        <v>45947</v>
      </c>
      <c r="H802" t="s">
        <v>28</v>
      </c>
      <c r="I802" t="s">
        <v>68</v>
      </c>
      <c r="O802">
        <v>1</v>
      </c>
      <c r="P802">
        <v>0</v>
      </c>
      <c r="Q802">
        <v>0</v>
      </c>
      <c r="R802">
        <v>0</v>
      </c>
      <c r="S802" t="s">
        <v>1055</v>
      </c>
    </row>
    <row r="803" spans="1:19">
      <c r="A803" t="s">
        <v>1014</v>
      </c>
      <c r="B803" t="s">
        <v>26</v>
      </c>
      <c r="C803" t="s">
        <v>27</v>
      </c>
      <c r="D803" s="8">
        <v>45950</v>
      </c>
      <c r="H803" t="s">
        <v>28</v>
      </c>
      <c r="I803" t="s">
        <v>29</v>
      </c>
      <c r="O803">
        <v>1</v>
      </c>
      <c r="P803">
        <v>0</v>
      </c>
      <c r="Q803">
        <v>0</v>
      </c>
      <c r="R803">
        <v>0</v>
      </c>
      <c r="S803" t="s">
        <v>1055</v>
      </c>
    </row>
    <row r="804" spans="1:19">
      <c r="A804" t="s">
        <v>1022</v>
      </c>
      <c r="B804" t="s">
        <v>26</v>
      </c>
      <c r="C804" t="s">
        <v>27</v>
      </c>
      <c r="D804" s="8">
        <v>45951</v>
      </c>
      <c r="H804" t="s">
        <v>28</v>
      </c>
      <c r="I804" t="s">
        <v>31</v>
      </c>
      <c r="O804">
        <v>1</v>
      </c>
      <c r="P804">
        <v>0</v>
      </c>
      <c r="Q804">
        <v>0</v>
      </c>
      <c r="R804">
        <v>0</v>
      </c>
      <c r="S804" t="s">
        <v>1055</v>
      </c>
    </row>
    <row r="805" spans="1:19">
      <c r="A805" t="s">
        <v>40</v>
      </c>
      <c r="B805" t="s">
        <v>26</v>
      </c>
      <c r="C805" t="s">
        <v>21</v>
      </c>
      <c r="D805" s="8">
        <v>45961</v>
      </c>
      <c r="E805" s="8">
        <v>45965</v>
      </c>
      <c r="F805" s="8">
        <v>45966</v>
      </c>
      <c r="G805" s="8">
        <v>45971</v>
      </c>
      <c r="H805" t="s">
        <v>22</v>
      </c>
      <c r="J805" s="8">
        <v>45983</v>
      </c>
      <c r="K805">
        <v>4</v>
      </c>
      <c r="L805">
        <v>1</v>
      </c>
      <c r="M805">
        <v>5</v>
      </c>
      <c r="N805">
        <v>6</v>
      </c>
      <c r="O805">
        <v>1</v>
      </c>
      <c r="P805">
        <v>1</v>
      </c>
      <c r="Q805">
        <v>1</v>
      </c>
      <c r="R805">
        <v>1</v>
      </c>
      <c r="S805" t="s">
        <v>1056</v>
      </c>
    </row>
    <row r="806" spans="1:19">
      <c r="A806" t="s">
        <v>47</v>
      </c>
      <c r="B806" t="s">
        <v>26</v>
      </c>
      <c r="C806" t="s">
        <v>35</v>
      </c>
      <c r="D806" s="8">
        <v>45935</v>
      </c>
      <c r="E806" s="8">
        <v>45936</v>
      </c>
      <c r="F806" s="8">
        <v>45940</v>
      </c>
      <c r="G806" s="8">
        <v>45946</v>
      </c>
      <c r="H806" t="s">
        <v>22</v>
      </c>
      <c r="J806" s="8">
        <v>45956</v>
      </c>
      <c r="K806">
        <v>1</v>
      </c>
      <c r="L806">
        <v>4</v>
      </c>
      <c r="M806">
        <v>6</v>
      </c>
      <c r="N806">
        <v>2</v>
      </c>
      <c r="O806">
        <v>1</v>
      </c>
      <c r="P806">
        <v>1</v>
      </c>
      <c r="Q806">
        <v>1</v>
      </c>
      <c r="R806">
        <v>1</v>
      </c>
      <c r="S806" t="s">
        <v>1056</v>
      </c>
    </row>
    <row r="807" spans="1:19">
      <c r="A807" t="s">
        <v>50</v>
      </c>
      <c r="B807" t="s">
        <v>26</v>
      </c>
      <c r="C807" t="s">
        <v>21</v>
      </c>
      <c r="D807" s="8">
        <v>45954</v>
      </c>
      <c r="E807" s="8">
        <v>45955</v>
      </c>
      <c r="F807" s="8">
        <v>45960</v>
      </c>
      <c r="G807" s="8">
        <v>45962</v>
      </c>
      <c r="H807" t="s">
        <v>22</v>
      </c>
      <c r="J807" s="8">
        <v>45972</v>
      </c>
      <c r="K807">
        <v>1</v>
      </c>
      <c r="L807">
        <v>5</v>
      </c>
      <c r="M807">
        <v>2</v>
      </c>
      <c r="N807">
        <v>4</v>
      </c>
      <c r="O807">
        <v>1</v>
      </c>
      <c r="P807">
        <v>1</v>
      </c>
      <c r="Q807">
        <v>1</v>
      </c>
      <c r="R807">
        <v>1</v>
      </c>
      <c r="S807" t="s">
        <v>1056</v>
      </c>
    </row>
    <row r="808" spans="1:19">
      <c r="A808" t="s">
        <v>57</v>
      </c>
      <c r="B808" t="s">
        <v>26</v>
      </c>
      <c r="C808" t="s">
        <v>21</v>
      </c>
      <c r="D808" s="8">
        <v>45960</v>
      </c>
      <c r="E808" s="8">
        <v>45965</v>
      </c>
      <c r="F808" s="8">
        <v>45970</v>
      </c>
      <c r="G808" s="8">
        <v>45976</v>
      </c>
      <c r="H808" t="s">
        <v>22</v>
      </c>
      <c r="J808" s="8">
        <v>45996</v>
      </c>
      <c r="K808">
        <v>5</v>
      </c>
      <c r="L808">
        <v>5</v>
      </c>
      <c r="M808">
        <v>6</v>
      </c>
      <c r="N808">
        <v>1</v>
      </c>
      <c r="O808">
        <v>1</v>
      </c>
      <c r="P808">
        <v>1</v>
      </c>
      <c r="Q808">
        <v>1</v>
      </c>
      <c r="R808">
        <v>1</v>
      </c>
      <c r="S808" t="s">
        <v>1056</v>
      </c>
    </row>
    <row r="809" spans="1:19">
      <c r="A809" t="s">
        <v>59</v>
      </c>
      <c r="B809" t="s">
        <v>26</v>
      </c>
      <c r="C809" t="s">
        <v>21</v>
      </c>
      <c r="D809" s="8">
        <v>45955</v>
      </c>
      <c r="E809" s="8">
        <v>45960</v>
      </c>
      <c r="F809" s="8">
        <v>45962</v>
      </c>
      <c r="G809" s="8">
        <v>45968</v>
      </c>
      <c r="H809" t="s">
        <v>22</v>
      </c>
      <c r="J809" s="8">
        <v>45978</v>
      </c>
      <c r="K809">
        <v>5</v>
      </c>
      <c r="L809">
        <v>2</v>
      </c>
      <c r="M809">
        <v>6</v>
      </c>
      <c r="N809">
        <v>3</v>
      </c>
      <c r="O809">
        <v>1</v>
      </c>
      <c r="P809">
        <v>1</v>
      </c>
      <c r="Q809">
        <v>1</v>
      </c>
      <c r="R809">
        <v>1</v>
      </c>
      <c r="S809" t="s">
        <v>1056</v>
      </c>
    </row>
    <row r="810" spans="1:19">
      <c r="A810" t="s">
        <v>62</v>
      </c>
      <c r="B810" t="s">
        <v>26</v>
      </c>
      <c r="C810" t="s">
        <v>21</v>
      </c>
      <c r="D810" s="8">
        <v>45944</v>
      </c>
      <c r="E810" s="8">
        <v>45945</v>
      </c>
      <c r="F810" s="8">
        <v>45946</v>
      </c>
      <c r="G810" s="8">
        <v>45950</v>
      </c>
      <c r="H810" t="s">
        <v>22</v>
      </c>
      <c r="J810" s="8">
        <v>45978</v>
      </c>
      <c r="K810">
        <v>1</v>
      </c>
      <c r="L810">
        <v>1</v>
      </c>
      <c r="M810">
        <v>4</v>
      </c>
      <c r="N810">
        <v>5</v>
      </c>
      <c r="O810">
        <v>1</v>
      </c>
      <c r="P810">
        <v>1</v>
      </c>
      <c r="Q810">
        <v>1</v>
      </c>
      <c r="R810">
        <v>1</v>
      </c>
      <c r="S810" t="s">
        <v>1056</v>
      </c>
    </row>
    <row r="811" spans="1:19">
      <c r="A811" t="s">
        <v>73</v>
      </c>
      <c r="B811" t="s">
        <v>26</v>
      </c>
      <c r="C811" t="s">
        <v>21</v>
      </c>
      <c r="D811" s="8">
        <v>45933</v>
      </c>
      <c r="E811" s="8">
        <v>45936</v>
      </c>
      <c r="F811" s="8">
        <v>45938</v>
      </c>
      <c r="G811" s="8">
        <v>45944</v>
      </c>
      <c r="H811" t="s">
        <v>22</v>
      </c>
      <c r="J811" s="8">
        <v>45965</v>
      </c>
      <c r="K811">
        <v>3</v>
      </c>
      <c r="L811">
        <v>2</v>
      </c>
      <c r="M811">
        <v>6</v>
      </c>
      <c r="N811">
        <v>6</v>
      </c>
      <c r="O811">
        <v>1</v>
      </c>
      <c r="P811">
        <v>1</v>
      </c>
      <c r="Q811">
        <v>1</v>
      </c>
      <c r="R811">
        <v>1</v>
      </c>
      <c r="S811" t="s">
        <v>1056</v>
      </c>
    </row>
    <row r="812" spans="1:19">
      <c r="A812" t="s">
        <v>78</v>
      </c>
      <c r="B812" t="s">
        <v>26</v>
      </c>
      <c r="C812" t="s">
        <v>21</v>
      </c>
      <c r="D812" s="8">
        <v>45955</v>
      </c>
      <c r="E812" s="8">
        <v>45957</v>
      </c>
      <c r="F812" s="8">
        <v>45962</v>
      </c>
      <c r="G812" s="8">
        <v>45967</v>
      </c>
      <c r="H812" t="s">
        <v>22</v>
      </c>
      <c r="J812" s="8">
        <v>45987</v>
      </c>
      <c r="K812">
        <v>2</v>
      </c>
      <c r="L812">
        <v>5</v>
      </c>
      <c r="M812">
        <v>5</v>
      </c>
      <c r="N812">
        <v>5</v>
      </c>
      <c r="O812">
        <v>1</v>
      </c>
      <c r="P812">
        <v>1</v>
      </c>
      <c r="Q812">
        <v>1</v>
      </c>
      <c r="R812">
        <v>1</v>
      </c>
      <c r="S812" t="s">
        <v>1056</v>
      </c>
    </row>
    <row r="813" spans="1:19">
      <c r="A813" t="s">
        <v>83</v>
      </c>
      <c r="B813" t="s">
        <v>26</v>
      </c>
      <c r="C813" t="s">
        <v>35</v>
      </c>
      <c r="D813" s="8">
        <v>45943</v>
      </c>
      <c r="E813" s="8">
        <v>45944</v>
      </c>
      <c r="F813" s="8">
        <v>45946</v>
      </c>
      <c r="G813" s="8">
        <v>45948</v>
      </c>
      <c r="H813" t="s">
        <v>22</v>
      </c>
      <c r="J813" s="8">
        <v>45963</v>
      </c>
      <c r="K813">
        <v>1</v>
      </c>
      <c r="L813">
        <v>2</v>
      </c>
      <c r="M813">
        <v>2</v>
      </c>
      <c r="N813">
        <v>6</v>
      </c>
      <c r="O813">
        <v>1</v>
      </c>
      <c r="P813">
        <v>1</v>
      </c>
      <c r="Q813">
        <v>1</v>
      </c>
      <c r="R813">
        <v>1</v>
      </c>
      <c r="S813" t="s">
        <v>1056</v>
      </c>
    </row>
    <row r="814" spans="1:19">
      <c r="A814" t="s">
        <v>88</v>
      </c>
      <c r="B814" t="s">
        <v>26</v>
      </c>
      <c r="C814" t="s">
        <v>21</v>
      </c>
      <c r="D814" s="8">
        <v>45941</v>
      </c>
      <c r="E814" s="8">
        <v>45944</v>
      </c>
      <c r="F814" s="8">
        <v>45948</v>
      </c>
      <c r="G814" s="8">
        <v>45951</v>
      </c>
      <c r="H814" t="s">
        <v>22</v>
      </c>
      <c r="J814" s="8">
        <v>45971</v>
      </c>
      <c r="K814">
        <v>3</v>
      </c>
      <c r="L814">
        <v>4</v>
      </c>
      <c r="M814">
        <v>3</v>
      </c>
      <c r="N814">
        <v>6</v>
      </c>
      <c r="O814">
        <v>1</v>
      </c>
      <c r="P814">
        <v>1</v>
      </c>
      <c r="Q814">
        <v>1</v>
      </c>
      <c r="R814">
        <v>1</v>
      </c>
      <c r="S814" t="s">
        <v>1056</v>
      </c>
    </row>
    <row r="815" spans="1:19">
      <c r="A815" t="s">
        <v>94</v>
      </c>
      <c r="B815" t="s">
        <v>26</v>
      </c>
      <c r="C815" t="s">
        <v>21</v>
      </c>
      <c r="D815" s="8">
        <v>45939</v>
      </c>
      <c r="E815" s="8">
        <v>45944</v>
      </c>
      <c r="F815" s="8">
        <v>45949</v>
      </c>
      <c r="G815" s="8">
        <v>45951</v>
      </c>
      <c r="H815" t="s">
        <v>22</v>
      </c>
      <c r="J815" s="8">
        <v>45968</v>
      </c>
      <c r="K815">
        <v>5</v>
      </c>
      <c r="L815">
        <v>5</v>
      </c>
      <c r="M815">
        <v>2</v>
      </c>
      <c r="N815">
        <v>3</v>
      </c>
      <c r="O815">
        <v>1</v>
      </c>
      <c r="P815">
        <v>1</v>
      </c>
      <c r="Q815">
        <v>1</v>
      </c>
      <c r="R815">
        <v>1</v>
      </c>
      <c r="S815" t="s">
        <v>1056</v>
      </c>
    </row>
    <row r="816" spans="1:19">
      <c r="A816" t="s">
        <v>101</v>
      </c>
      <c r="B816" t="s">
        <v>26</v>
      </c>
      <c r="C816" t="s">
        <v>35</v>
      </c>
      <c r="D816" s="8">
        <v>45939</v>
      </c>
      <c r="E816" s="8">
        <v>45940</v>
      </c>
      <c r="F816" s="8">
        <v>45945</v>
      </c>
      <c r="G816" s="8">
        <v>45948</v>
      </c>
      <c r="H816" t="s">
        <v>22</v>
      </c>
      <c r="J816" s="8">
        <v>45967</v>
      </c>
      <c r="K816">
        <v>1</v>
      </c>
      <c r="L816">
        <v>5</v>
      </c>
      <c r="M816">
        <v>3</v>
      </c>
      <c r="N816">
        <v>1</v>
      </c>
      <c r="O816">
        <v>1</v>
      </c>
      <c r="P816">
        <v>1</v>
      </c>
      <c r="Q816">
        <v>1</v>
      </c>
      <c r="R816">
        <v>1</v>
      </c>
      <c r="S816" t="s">
        <v>1056</v>
      </c>
    </row>
    <row r="817" spans="1:19">
      <c r="A817" t="s">
        <v>115</v>
      </c>
      <c r="B817" t="s">
        <v>26</v>
      </c>
      <c r="C817" t="s">
        <v>21</v>
      </c>
      <c r="D817" s="8">
        <v>45938</v>
      </c>
      <c r="E817" s="8">
        <v>45940</v>
      </c>
      <c r="F817" s="8">
        <v>45943</v>
      </c>
      <c r="G817" s="8">
        <v>45948</v>
      </c>
      <c r="H817" t="s">
        <v>22</v>
      </c>
      <c r="J817" s="8">
        <v>45959</v>
      </c>
      <c r="K817">
        <v>2</v>
      </c>
      <c r="L817">
        <v>3</v>
      </c>
      <c r="M817">
        <v>5</v>
      </c>
      <c r="N817">
        <v>5</v>
      </c>
      <c r="O817">
        <v>1</v>
      </c>
      <c r="P817">
        <v>1</v>
      </c>
      <c r="Q817">
        <v>1</v>
      </c>
      <c r="R817">
        <v>1</v>
      </c>
      <c r="S817" t="s">
        <v>1056</v>
      </c>
    </row>
    <row r="818" spans="1:19">
      <c r="A818" t="s">
        <v>121</v>
      </c>
      <c r="B818" t="s">
        <v>26</v>
      </c>
      <c r="C818" t="s">
        <v>35</v>
      </c>
      <c r="D818" s="8">
        <v>45945</v>
      </c>
      <c r="E818" s="8">
        <v>45947</v>
      </c>
      <c r="F818" s="8">
        <v>45950</v>
      </c>
      <c r="G818" s="8">
        <v>45956</v>
      </c>
      <c r="H818" t="s">
        <v>22</v>
      </c>
      <c r="J818" s="8">
        <v>45985</v>
      </c>
      <c r="K818">
        <v>2</v>
      </c>
      <c r="L818">
        <v>3</v>
      </c>
      <c r="M818">
        <v>6</v>
      </c>
      <c r="N818">
        <v>5</v>
      </c>
      <c r="O818">
        <v>1</v>
      </c>
      <c r="P818">
        <v>1</v>
      </c>
      <c r="Q818">
        <v>1</v>
      </c>
      <c r="R818">
        <v>1</v>
      </c>
      <c r="S818" t="s">
        <v>1056</v>
      </c>
    </row>
    <row r="819" spans="1:19">
      <c r="A819" t="s">
        <v>131</v>
      </c>
      <c r="B819" t="s">
        <v>26</v>
      </c>
      <c r="C819" t="s">
        <v>21</v>
      </c>
      <c r="D819" s="8">
        <v>45952</v>
      </c>
      <c r="E819" s="8">
        <v>45956</v>
      </c>
      <c r="F819" s="8">
        <v>45961</v>
      </c>
      <c r="G819" s="8">
        <v>45968</v>
      </c>
      <c r="H819" t="s">
        <v>22</v>
      </c>
      <c r="J819" s="8">
        <v>45982</v>
      </c>
      <c r="K819">
        <v>4</v>
      </c>
      <c r="L819">
        <v>5</v>
      </c>
      <c r="M819">
        <v>7</v>
      </c>
      <c r="N819">
        <v>0</v>
      </c>
      <c r="O819">
        <v>1</v>
      </c>
      <c r="P819">
        <v>1</v>
      </c>
      <c r="Q819">
        <v>1</v>
      </c>
      <c r="R819">
        <v>1</v>
      </c>
      <c r="S819" t="s">
        <v>1056</v>
      </c>
    </row>
    <row r="820" spans="1:19">
      <c r="A820" t="s">
        <v>135</v>
      </c>
      <c r="B820" t="s">
        <v>26</v>
      </c>
      <c r="C820" t="s">
        <v>21</v>
      </c>
      <c r="D820" s="8">
        <v>45948</v>
      </c>
      <c r="E820" s="8">
        <v>45951</v>
      </c>
      <c r="F820" s="8">
        <v>45954</v>
      </c>
      <c r="G820" s="8">
        <v>45957</v>
      </c>
      <c r="H820" t="s">
        <v>22</v>
      </c>
      <c r="J820" s="8">
        <v>45978</v>
      </c>
      <c r="K820">
        <v>3</v>
      </c>
      <c r="L820">
        <v>3</v>
      </c>
      <c r="M820">
        <v>3</v>
      </c>
      <c r="N820">
        <v>0</v>
      </c>
      <c r="O820">
        <v>1</v>
      </c>
      <c r="P820">
        <v>1</v>
      </c>
      <c r="Q820">
        <v>1</v>
      </c>
      <c r="R820">
        <v>1</v>
      </c>
      <c r="S820" t="s">
        <v>1056</v>
      </c>
    </row>
    <row r="821" spans="1:19">
      <c r="A821" t="s">
        <v>138</v>
      </c>
      <c r="B821" t="s">
        <v>26</v>
      </c>
      <c r="C821" t="s">
        <v>21</v>
      </c>
      <c r="D821" s="8">
        <v>45944</v>
      </c>
      <c r="E821" s="8">
        <v>45947</v>
      </c>
      <c r="F821" s="8">
        <v>45949</v>
      </c>
      <c r="G821" s="8">
        <v>45954</v>
      </c>
      <c r="H821" t="s">
        <v>22</v>
      </c>
      <c r="J821" s="8">
        <v>45974</v>
      </c>
      <c r="K821">
        <v>3</v>
      </c>
      <c r="L821">
        <v>2</v>
      </c>
      <c r="M821">
        <v>5</v>
      </c>
      <c r="N821">
        <v>2</v>
      </c>
      <c r="O821">
        <v>1</v>
      </c>
      <c r="P821">
        <v>1</v>
      </c>
      <c r="Q821">
        <v>1</v>
      </c>
      <c r="R821">
        <v>1</v>
      </c>
      <c r="S821" t="s">
        <v>1056</v>
      </c>
    </row>
    <row r="822" spans="1:19">
      <c r="A822" t="s">
        <v>144</v>
      </c>
      <c r="B822" t="s">
        <v>26</v>
      </c>
      <c r="C822" t="s">
        <v>21</v>
      </c>
      <c r="D822" s="8">
        <v>45945</v>
      </c>
      <c r="E822" s="8">
        <v>45946</v>
      </c>
      <c r="F822" s="8">
        <v>45947</v>
      </c>
      <c r="G822" s="8">
        <v>45951</v>
      </c>
      <c r="H822" t="s">
        <v>22</v>
      </c>
      <c r="J822" s="8">
        <v>45963</v>
      </c>
      <c r="K822">
        <v>1</v>
      </c>
      <c r="L822">
        <v>1</v>
      </c>
      <c r="M822">
        <v>4</v>
      </c>
      <c r="N822">
        <v>2</v>
      </c>
      <c r="O822">
        <v>1</v>
      </c>
      <c r="P822">
        <v>1</v>
      </c>
      <c r="Q822">
        <v>1</v>
      </c>
      <c r="R822">
        <v>1</v>
      </c>
      <c r="S822" t="s">
        <v>1056</v>
      </c>
    </row>
    <row r="823" spans="1:19">
      <c r="A823" t="s">
        <v>155</v>
      </c>
      <c r="B823" t="s">
        <v>26</v>
      </c>
      <c r="C823" t="s">
        <v>35</v>
      </c>
      <c r="D823" s="8">
        <v>45948</v>
      </c>
      <c r="E823" s="8">
        <v>45952</v>
      </c>
      <c r="F823" s="8">
        <v>45957</v>
      </c>
      <c r="G823" s="8">
        <v>45962</v>
      </c>
      <c r="H823" t="s">
        <v>22</v>
      </c>
      <c r="J823" s="8">
        <v>45974</v>
      </c>
      <c r="K823">
        <v>4</v>
      </c>
      <c r="L823">
        <v>5</v>
      </c>
      <c r="M823">
        <v>5</v>
      </c>
      <c r="N823">
        <v>6</v>
      </c>
      <c r="O823">
        <v>1</v>
      </c>
      <c r="P823">
        <v>1</v>
      </c>
      <c r="Q823">
        <v>1</v>
      </c>
      <c r="R823">
        <v>1</v>
      </c>
      <c r="S823" t="s">
        <v>1056</v>
      </c>
    </row>
    <row r="824" spans="1:19">
      <c r="A824" t="s">
        <v>156</v>
      </c>
      <c r="B824" t="s">
        <v>26</v>
      </c>
      <c r="C824" t="s">
        <v>35</v>
      </c>
      <c r="D824" s="8">
        <v>45961</v>
      </c>
      <c r="E824" s="8">
        <v>45966</v>
      </c>
      <c r="F824" s="8">
        <v>45969</v>
      </c>
      <c r="G824" s="8">
        <v>45975</v>
      </c>
      <c r="H824" t="s">
        <v>22</v>
      </c>
      <c r="J824" s="8">
        <v>45996</v>
      </c>
      <c r="K824">
        <v>5</v>
      </c>
      <c r="L824">
        <v>3</v>
      </c>
      <c r="M824">
        <v>6</v>
      </c>
      <c r="N824">
        <v>5</v>
      </c>
      <c r="O824">
        <v>1</v>
      </c>
      <c r="P824">
        <v>1</v>
      </c>
      <c r="Q824">
        <v>1</v>
      </c>
      <c r="R824">
        <v>1</v>
      </c>
      <c r="S824" t="s">
        <v>1056</v>
      </c>
    </row>
    <row r="825" spans="1:19">
      <c r="A825" t="s">
        <v>157</v>
      </c>
      <c r="B825" t="s">
        <v>26</v>
      </c>
      <c r="C825" t="s">
        <v>21</v>
      </c>
      <c r="D825" s="8">
        <v>45955</v>
      </c>
      <c r="E825" s="8">
        <v>45959</v>
      </c>
      <c r="F825" s="8">
        <v>45961</v>
      </c>
      <c r="G825" s="8">
        <v>45967</v>
      </c>
      <c r="H825" t="s">
        <v>22</v>
      </c>
      <c r="J825" s="8">
        <v>45985</v>
      </c>
      <c r="K825">
        <v>4</v>
      </c>
      <c r="L825">
        <v>2</v>
      </c>
      <c r="M825">
        <v>6</v>
      </c>
      <c r="N825">
        <v>4</v>
      </c>
      <c r="O825">
        <v>1</v>
      </c>
      <c r="P825">
        <v>1</v>
      </c>
      <c r="Q825">
        <v>1</v>
      </c>
      <c r="R825">
        <v>1</v>
      </c>
      <c r="S825" t="s">
        <v>1056</v>
      </c>
    </row>
    <row r="826" spans="1:19">
      <c r="A826" t="s">
        <v>158</v>
      </c>
      <c r="B826" t="s">
        <v>26</v>
      </c>
      <c r="C826" t="s">
        <v>35</v>
      </c>
      <c r="D826" s="8">
        <v>45953</v>
      </c>
      <c r="E826" s="8">
        <v>45957</v>
      </c>
      <c r="F826" s="8">
        <v>45958</v>
      </c>
      <c r="G826" s="8">
        <v>45965</v>
      </c>
      <c r="H826" t="s">
        <v>22</v>
      </c>
      <c r="J826" s="8">
        <v>45978</v>
      </c>
      <c r="K826">
        <v>4</v>
      </c>
      <c r="L826">
        <v>1</v>
      </c>
      <c r="M826">
        <v>7</v>
      </c>
      <c r="N826">
        <v>0</v>
      </c>
      <c r="O826">
        <v>1</v>
      </c>
      <c r="P826">
        <v>1</v>
      </c>
      <c r="Q826">
        <v>1</v>
      </c>
      <c r="R826">
        <v>1</v>
      </c>
      <c r="S826" t="s">
        <v>1056</v>
      </c>
    </row>
    <row r="827" spans="1:19">
      <c r="A827" t="s">
        <v>168</v>
      </c>
      <c r="B827" t="s">
        <v>26</v>
      </c>
      <c r="C827" t="s">
        <v>21</v>
      </c>
      <c r="D827" s="8">
        <v>45947</v>
      </c>
      <c r="E827" s="8">
        <v>45950</v>
      </c>
      <c r="F827" s="8">
        <v>45951</v>
      </c>
      <c r="G827" s="8">
        <v>45956</v>
      </c>
      <c r="H827" t="s">
        <v>22</v>
      </c>
      <c r="J827" s="8">
        <v>45979</v>
      </c>
      <c r="K827">
        <v>3</v>
      </c>
      <c r="L827">
        <v>1</v>
      </c>
      <c r="M827">
        <v>5</v>
      </c>
      <c r="N827">
        <v>3</v>
      </c>
      <c r="O827">
        <v>1</v>
      </c>
      <c r="P827">
        <v>1</v>
      </c>
      <c r="Q827">
        <v>1</v>
      </c>
      <c r="R827">
        <v>1</v>
      </c>
      <c r="S827" t="s">
        <v>1056</v>
      </c>
    </row>
    <row r="828" spans="1:19">
      <c r="A828" t="s">
        <v>193</v>
      </c>
      <c r="B828" t="s">
        <v>26</v>
      </c>
      <c r="C828" t="s">
        <v>21</v>
      </c>
      <c r="D828" s="8">
        <v>45955</v>
      </c>
      <c r="E828" s="8">
        <v>45957</v>
      </c>
      <c r="F828" s="8">
        <v>45959</v>
      </c>
      <c r="G828" s="8">
        <v>45965</v>
      </c>
      <c r="H828" t="s">
        <v>22</v>
      </c>
      <c r="J828" s="8">
        <v>45976</v>
      </c>
      <c r="K828">
        <v>2</v>
      </c>
      <c r="L828">
        <v>2</v>
      </c>
      <c r="M828">
        <v>6</v>
      </c>
      <c r="N828">
        <v>3</v>
      </c>
      <c r="O828">
        <v>1</v>
      </c>
      <c r="P828">
        <v>1</v>
      </c>
      <c r="Q828">
        <v>1</v>
      </c>
      <c r="R828">
        <v>1</v>
      </c>
      <c r="S828" t="s">
        <v>1056</v>
      </c>
    </row>
    <row r="829" spans="1:19">
      <c r="A829" t="s">
        <v>194</v>
      </c>
      <c r="B829" t="s">
        <v>26</v>
      </c>
      <c r="C829" t="s">
        <v>21</v>
      </c>
      <c r="D829" s="8">
        <v>45946</v>
      </c>
      <c r="E829" s="8">
        <v>45949</v>
      </c>
      <c r="F829" s="8">
        <v>45952</v>
      </c>
      <c r="G829" s="8">
        <v>45959</v>
      </c>
      <c r="H829" t="s">
        <v>22</v>
      </c>
      <c r="J829" s="8">
        <v>45978</v>
      </c>
      <c r="K829">
        <v>3</v>
      </c>
      <c r="L829">
        <v>3</v>
      </c>
      <c r="M829">
        <v>7</v>
      </c>
      <c r="N829">
        <v>2</v>
      </c>
      <c r="O829">
        <v>1</v>
      </c>
      <c r="P829">
        <v>1</v>
      </c>
      <c r="Q829">
        <v>1</v>
      </c>
      <c r="R829">
        <v>1</v>
      </c>
      <c r="S829" t="s">
        <v>1056</v>
      </c>
    </row>
    <row r="830" spans="1:19">
      <c r="A830" t="s">
        <v>197</v>
      </c>
      <c r="B830" t="s">
        <v>26</v>
      </c>
      <c r="C830" t="s">
        <v>35</v>
      </c>
      <c r="D830" s="8">
        <v>45931</v>
      </c>
      <c r="E830" s="8">
        <v>45932</v>
      </c>
      <c r="F830" s="8">
        <v>45933</v>
      </c>
      <c r="G830" s="8">
        <v>45939</v>
      </c>
      <c r="H830" t="s">
        <v>22</v>
      </c>
      <c r="J830" s="8">
        <v>45957</v>
      </c>
      <c r="K830">
        <v>1</v>
      </c>
      <c r="L830">
        <v>1</v>
      </c>
      <c r="M830">
        <v>6</v>
      </c>
      <c r="N830">
        <v>6</v>
      </c>
      <c r="O830">
        <v>1</v>
      </c>
      <c r="P830">
        <v>1</v>
      </c>
      <c r="Q830">
        <v>1</v>
      </c>
      <c r="R830">
        <v>1</v>
      </c>
      <c r="S830" t="s">
        <v>1056</v>
      </c>
    </row>
    <row r="831" spans="1:19">
      <c r="A831" t="s">
        <v>198</v>
      </c>
      <c r="B831" t="s">
        <v>26</v>
      </c>
      <c r="C831" t="s">
        <v>21</v>
      </c>
      <c r="D831" s="8">
        <v>45949</v>
      </c>
      <c r="E831" s="8">
        <v>45950</v>
      </c>
      <c r="F831" s="8">
        <v>45951</v>
      </c>
      <c r="G831" s="8">
        <v>45953</v>
      </c>
      <c r="H831" t="s">
        <v>22</v>
      </c>
      <c r="J831" s="8">
        <v>45966</v>
      </c>
      <c r="K831">
        <v>1</v>
      </c>
      <c r="L831">
        <v>1</v>
      </c>
      <c r="M831">
        <v>2</v>
      </c>
      <c r="N831">
        <v>2</v>
      </c>
      <c r="O831">
        <v>1</v>
      </c>
      <c r="P831">
        <v>1</v>
      </c>
      <c r="Q831">
        <v>1</v>
      </c>
      <c r="R831">
        <v>1</v>
      </c>
      <c r="S831" t="s">
        <v>1056</v>
      </c>
    </row>
    <row r="832" spans="1:19">
      <c r="A832" t="s">
        <v>201</v>
      </c>
      <c r="B832" t="s">
        <v>26</v>
      </c>
      <c r="C832" t="s">
        <v>21</v>
      </c>
      <c r="D832" s="8">
        <v>45946</v>
      </c>
      <c r="E832" s="8">
        <v>45948</v>
      </c>
      <c r="F832" s="8">
        <v>45953</v>
      </c>
      <c r="G832" s="8">
        <v>45957</v>
      </c>
      <c r="H832" t="s">
        <v>22</v>
      </c>
      <c r="J832" s="8">
        <v>45969</v>
      </c>
      <c r="K832">
        <v>2</v>
      </c>
      <c r="L832">
        <v>5</v>
      </c>
      <c r="M832">
        <v>4</v>
      </c>
      <c r="N832">
        <v>5</v>
      </c>
      <c r="O832">
        <v>1</v>
      </c>
      <c r="P832">
        <v>1</v>
      </c>
      <c r="Q832">
        <v>1</v>
      </c>
      <c r="R832">
        <v>1</v>
      </c>
      <c r="S832" t="s">
        <v>1056</v>
      </c>
    </row>
    <row r="833" spans="1:19">
      <c r="A833" t="s">
        <v>210</v>
      </c>
      <c r="B833" t="s">
        <v>26</v>
      </c>
      <c r="C833" t="s">
        <v>35</v>
      </c>
      <c r="D833" s="8">
        <v>45946</v>
      </c>
      <c r="E833" s="8">
        <v>45949</v>
      </c>
      <c r="F833" s="8">
        <v>45953</v>
      </c>
      <c r="G833" s="8">
        <v>45959</v>
      </c>
      <c r="H833" t="s">
        <v>22</v>
      </c>
      <c r="J833" s="8">
        <v>45971</v>
      </c>
      <c r="K833">
        <v>3</v>
      </c>
      <c r="L833">
        <v>4</v>
      </c>
      <c r="M833">
        <v>6</v>
      </c>
      <c r="N833">
        <v>5</v>
      </c>
      <c r="O833">
        <v>1</v>
      </c>
      <c r="P833">
        <v>1</v>
      </c>
      <c r="Q833">
        <v>1</v>
      </c>
      <c r="R833">
        <v>1</v>
      </c>
      <c r="S833" t="s">
        <v>1056</v>
      </c>
    </row>
    <row r="834" spans="1:19">
      <c r="A834" t="s">
        <v>212</v>
      </c>
      <c r="B834" t="s">
        <v>26</v>
      </c>
      <c r="C834" t="s">
        <v>21</v>
      </c>
      <c r="D834" s="8">
        <v>45957</v>
      </c>
      <c r="E834" s="8">
        <v>45961</v>
      </c>
      <c r="F834" s="8">
        <v>45964</v>
      </c>
      <c r="G834" s="8">
        <v>45969</v>
      </c>
      <c r="H834" t="s">
        <v>22</v>
      </c>
      <c r="J834" s="8">
        <v>45998</v>
      </c>
      <c r="K834">
        <v>4</v>
      </c>
      <c r="L834">
        <v>3</v>
      </c>
      <c r="M834">
        <v>5</v>
      </c>
      <c r="N834">
        <v>4</v>
      </c>
      <c r="O834">
        <v>1</v>
      </c>
      <c r="P834">
        <v>1</v>
      </c>
      <c r="Q834">
        <v>1</v>
      </c>
      <c r="R834">
        <v>1</v>
      </c>
      <c r="S834" t="s">
        <v>1056</v>
      </c>
    </row>
    <row r="835" spans="1:19">
      <c r="A835" t="s">
        <v>213</v>
      </c>
      <c r="B835" t="s">
        <v>26</v>
      </c>
      <c r="C835" t="s">
        <v>35</v>
      </c>
      <c r="D835" s="8">
        <v>45933</v>
      </c>
      <c r="E835" s="8">
        <v>45934</v>
      </c>
      <c r="F835" s="8">
        <v>45935</v>
      </c>
      <c r="G835" s="8">
        <v>45937</v>
      </c>
      <c r="H835" t="s">
        <v>22</v>
      </c>
      <c r="J835" s="8">
        <v>45966</v>
      </c>
      <c r="K835">
        <v>1</v>
      </c>
      <c r="L835">
        <v>1</v>
      </c>
      <c r="M835">
        <v>2</v>
      </c>
      <c r="N835">
        <v>1</v>
      </c>
      <c r="O835">
        <v>1</v>
      </c>
      <c r="P835">
        <v>1</v>
      </c>
      <c r="Q835">
        <v>1</v>
      </c>
      <c r="R835">
        <v>1</v>
      </c>
      <c r="S835" t="s">
        <v>1056</v>
      </c>
    </row>
    <row r="836" spans="1:19">
      <c r="A836" t="s">
        <v>219</v>
      </c>
      <c r="B836" t="s">
        <v>26</v>
      </c>
      <c r="C836" t="s">
        <v>21</v>
      </c>
      <c r="D836" s="8">
        <v>45952</v>
      </c>
      <c r="E836" s="8">
        <v>45955</v>
      </c>
      <c r="F836" s="8">
        <v>45956</v>
      </c>
      <c r="G836" s="8">
        <v>45958</v>
      </c>
      <c r="H836" t="s">
        <v>22</v>
      </c>
      <c r="J836" s="8">
        <v>45973</v>
      </c>
      <c r="K836">
        <v>3</v>
      </c>
      <c r="L836">
        <v>1</v>
      </c>
      <c r="M836">
        <v>2</v>
      </c>
      <c r="N836">
        <v>3</v>
      </c>
      <c r="O836">
        <v>1</v>
      </c>
      <c r="P836">
        <v>1</v>
      </c>
      <c r="Q836">
        <v>1</v>
      </c>
      <c r="R836">
        <v>1</v>
      </c>
      <c r="S836" t="s">
        <v>1056</v>
      </c>
    </row>
    <row r="837" spans="1:19">
      <c r="A837" t="s">
        <v>245</v>
      </c>
      <c r="B837" t="s">
        <v>26</v>
      </c>
      <c r="C837" t="s">
        <v>35</v>
      </c>
      <c r="D837" s="8">
        <v>45958</v>
      </c>
      <c r="E837" s="8">
        <v>45960</v>
      </c>
      <c r="F837" s="8">
        <v>45961</v>
      </c>
      <c r="G837" s="8">
        <v>45967</v>
      </c>
      <c r="H837" t="s">
        <v>22</v>
      </c>
      <c r="J837" s="8">
        <v>45980</v>
      </c>
      <c r="K837">
        <v>2</v>
      </c>
      <c r="L837">
        <v>1</v>
      </c>
      <c r="M837">
        <v>6</v>
      </c>
      <c r="N837">
        <v>4</v>
      </c>
      <c r="O837">
        <v>1</v>
      </c>
      <c r="P837">
        <v>1</v>
      </c>
      <c r="Q837">
        <v>1</v>
      </c>
      <c r="R837">
        <v>1</v>
      </c>
      <c r="S837" t="s">
        <v>1056</v>
      </c>
    </row>
    <row r="838" spans="1:19">
      <c r="A838" t="s">
        <v>279</v>
      </c>
      <c r="B838" t="s">
        <v>26</v>
      </c>
      <c r="C838" t="s">
        <v>35</v>
      </c>
      <c r="D838" s="8">
        <v>45940</v>
      </c>
      <c r="E838" s="8">
        <v>45942</v>
      </c>
      <c r="F838" s="8">
        <v>45945</v>
      </c>
      <c r="G838" s="8">
        <v>45948</v>
      </c>
      <c r="H838" t="s">
        <v>22</v>
      </c>
      <c r="J838" s="8">
        <v>45963</v>
      </c>
      <c r="K838">
        <v>2</v>
      </c>
      <c r="L838">
        <v>3</v>
      </c>
      <c r="M838">
        <v>3</v>
      </c>
      <c r="N838">
        <v>6</v>
      </c>
      <c r="O838">
        <v>1</v>
      </c>
      <c r="P838">
        <v>1</v>
      </c>
      <c r="Q838">
        <v>1</v>
      </c>
      <c r="R838">
        <v>1</v>
      </c>
      <c r="S838" t="s">
        <v>1056</v>
      </c>
    </row>
    <row r="839" spans="1:19">
      <c r="A839" t="s">
        <v>282</v>
      </c>
      <c r="B839" t="s">
        <v>26</v>
      </c>
      <c r="C839" t="s">
        <v>35</v>
      </c>
      <c r="D839" s="8">
        <v>45953</v>
      </c>
      <c r="E839" s="8">
        <v>45954</v>
      </c>
      <c r="F839" s="8">
        <v>45955</v>
      </c>
      <c r="G839" s="8">
        <v>45958</v>
      </c>
      <c r="H839" t="s">
        <v>22</v>
      </c>
      <c r="J839" s="8">
        <v>45970</v>
      </c>
      <c r="K839">
        <v>1</v>
      </c>
      <c r="L839">
        <v>1</v>
      </c>
      <c r="M839">
        <v>3</v>
      </c>
      <c r="N839">
        <v>3</v>
      </c>
      <c r="O839">
        <v>1</v>
      </c>
      <c r="P839">
        <v>1</v>
      </c>
      <c r="Q839">
        <v>1</v>
      </c>
      <c r="R839">
        <v>1</v>
      </c>
      <c r="S839" t="s">
        <v>1056</v>
      </c>
    </row>
    <row r="840" spans="1:19">
      <c r="A840" t="s">
        <v>283</v>
      </c>
      <c r="B840" t="s">
        <v>26</v>
      </c>
      <c r="C840" t="s">
        <v>21</v>
      </c>
      <c r="D840" s="8">
        <v>45958</v>
      </c>
      <c r="E840" s="8">
        <v>45960</v>
      </c>
      <c r="F840" s="8">
        <v>45963</v>
      </c>
      <c r="G840" s="8">
        <v>45966</v>
      </c>
      <c r="H840" t="s">
        <v>22</v>
      </c>
      <c r="J840" s="8">
        <v>45991</v>
      </c>
      <c r="K840">
        <v>2</v>
      </c>
      <c r="L840">
        <v>3</v>
      </c>
      <c r="M840">
        <v>3</v>
      </c>
      <c r="N840">
        <v>2</v>
      </c>
      <c r="O840">
        <v>1</v>
      </c>
      <c r="P840">
        <v>1</v>
      </c>
      <c r="Q840">
        <v>1</v>
      </c>
      <c r="R840">
        <v>1</v>
      </c>
      <c r="S840" t="s">
        <v>1056</v>
      </c>
    </row>
    <row r="841" spans="1:19">
      <c r="A841" t="s">
        <v>284</v>
      </c>
      <c r="B841" t="s">
        <v>26</v>
      </c>
      <c r="C841" t="s">
        <v>35</v>
      </c>
      <c r="D841" s="8">
        <v>45945</v>
      </c>
      <c r="E841" s="8">
        <v>45949</v>
      </c>
      <c r="F841" s="8">
        <v>45952</v>
      </c>
      <c r="G841" s="8">
        <v>45959</v>
      </c>
      <c r="H841" t="s">
        <v>22</v>
      </c>
      <c r="J841" s="8">
        <v>45972</v>
      </c>
      <c r="K841">
        <v>4</v>
      </c>
      <c r="L841">
        <v>3</v>
      </c>
      <c r="M841">
        <v>7</v>
      </c>
      <c r="N841">
        <v>6</v>
      </c>
      <c r="O841">
        <v>1</v>
      </c>
      <c r="P841">
        <v>1</v>
      </c>
      <c r="Q841">
        <v>1</v>
      </c>
      <c r="R841">
        <v>1</v>
      </c>
      <c r="S841" t="s">
        <v>1056</v>
      </c>
    </row>
    <row r="842" spans="1:19">
      <c r="A842" t="s">
        <v>287</v>
      </c>
      <c r="B842" t="s">
        <v>26</v>
      </c>
      <c r="C842" t="s">
        <v>21</v>
      </c>
      <c r="D842" s="8">
        <v>45938</v>
      </c>
      <c r="E842" s="8">
        <v>45943</v>
      </c>
      <c r="F842" s="8">
        <v>45944</v>
      </c>
      <c r="G842" s="8">
        <v>45951</v>
      </c>
      <c r="H842" t="s">
        <v>22</v>
      </c>
      <c r="J842" s="8">
        <v>45976</v>
      </c>
      <c r="K842">
        <v>5</v>
      </c>
      <c r="L842">
        <v>1</v>
      </c>
      <c r="M842">
        <v>7</v>
      </c>
      <c r="N842">
        <v>5</v>
      </c>
      <c r="O842">
        <v>1</v>
      </c>
      <c r="P842">
        <v>1</v>
      </c>
      <c r="Q842">
        <v>1</v>
      </c>
      <c r="R842">
        <v>1</v>
      </c>
      <c r="S842" t="s">
        <v>1056</v>
      </c>
    </row>
    <row r="843" spans="1:19">
      <c r="A843" t="s">
        <v>296</v>
      </c>
      <c r="B843" t="s">
        <v>26</v>
      </c>
      <c r="C843" t="s">
        <v>21</v>
      </c>
      <c r="D843" s="8">
        <v>45960</v>
      </c>
      <c r="E843" s="8">
        <v>45964</v>
      </c>
      <c r="F843" s="8">
        <v>45965</v>
      </c>
      <c r="G843" s="8">
        <v>45972</v>
      </c>
      <c r="H843" t="s">
        <v>22</v>
      </c>
      <c r="J843" s="8">
        <v>45999</v>
      </c>
      <c r="K843">
        <v>4</v>
      </c>
      <c r="L843">
        <v>1</v>
      </c>
      <c r="M843">
        <v>7</v>
      </c>
      <c r="N843">
        <v>5</v>
      </c>
      <c r="O843">
        <v>1</v>
      </c>
      <c r="P843">
        <v>1</v>
      </c>
      <c r="Q843">
        <v>1</v>
      </c>
      <c r="R843">
        <v>1</v>
      </c>
      <c r="S843" t="s">
        <v>1056</v>
      </c>
    </row>
    <row r="844" spans="1:19">
      <c r="A844" t="s">
        <v>303</v>
      </c>
      <c r="B844" t="s">
        <v>26</v>
      </c>
      <c r="C844" t="s">
        <v>35</v>
      </c>
      <c r="D844" s="8">
        <v>45935</v>
      </c>
      <c r="E844" s="8">
        <v>45938</v>
      </c>
      <c r="F844" s="8">
        <v>45940</v>
      </c>
      <c r="G844" s="8">
        <v>45947</v>
      </c>
      <c r="H844" t="s">
        <v>22</v>
      </c>
      <c r="J844" s="8">
        <v>45968</v>
      </c>
      <c r="K844">
        <v>3</v>
      </c>
      <c r="L844">
        <v>2</v>
      </c>
      <c r="M844">
        <v>7</v>
      </c>
      <c r="N844">
        <v>5</v>
      </c>
      <c r="O844">
        <v>1</v>
      </c>
      <c r="P844">
        <v>1</v>
      </c>
      <c r="Q844">
        <v>1</v>
      </c>
      <c r="R844">
        <v>1</v>
      </c>
      <c r="S844" t="s">
        <v>1056</v>
      </c>
    </row>
    <row r="845" spans="1:19">
      <c r="A845" t="s">
        <v>306</v>
      </c>
      <c r="B845" t="s">
        <v>26</v>
      </c>
      <c r="C845" t="s">
        <v>35</v>
      </c>
      <c r="D845" s="8">
        <v>45957</v>
      </c>
      <c r="E845" s="8">
        <v>45960</v>
      </c>
      <c r="F845" s="8">
        <v>45962</v>
      </c>
      <c r="G845" s="8">
        <v>45968</v>
      </c>
      <c r="H845" t="s">
        <v>22</v>
      </c>
      <c r="J845" s="8">
        <v>45979</v>
      </c>
      <c r="K845">
        <v>3</v>
      </c>
      <c r="L845">
        <v>2</v>
      </c>
      <c r="M845">
        <v>6</v>
      </c>
      <c r="N845">
        <v>2</v>
      </c>
      <c r="O845">
        <v>1</v>
      </c>
      <c r="P845">
        <v>1</v>
      </c>
      <c r="Q845">
        <v>1</v>
      </c>
      <c r="R845">
        <v>1</v>
      </c>
      <c r="S845" t="s">
        <v>1056</v>
      </c>
    </row>
    <row r="846" spans="1:19">
      <c r="A846" t="s">
        <v>324</v>
      </c>
      <c r="B846" t="s">
        <v>26</v>
      </c>
      <c r="C846" t="s">
        <v>21</v>
      </c>
      <c r="D846" s="8">
        <v>45953</v>
      </c>
      <c r="E846" s="8">
        <v>45958</v>
      </c>
      <c r="F846" s="8">
        <v>45962</v>
      </c>
      <c r="G846" s="8">
        <v>45967</v>
      </c>
      <c r="H846" t="s">
        <v>22</v>
      </c>
      <c r="J846" s="8">
        <v>45980</v>
      </c>
      <c r="K846">
        <v>5</v>
      </c>
      <c r="L846">
        <v>4</v>
      </c>
      <c r="M846">
        <v>5</v>
      </c>
      <c r="N846">
        <v>1</v>
      </c>
      <c r="O846">
        <v>1</v>
      </c>
      <c r="P846">
        <v>1</v>
      </c>
      <c r="Q846">
        <v>1</v>
      </c>
      <c r="R846">
        <v>1</v>
      </c>
      <c r="S846" t="s">
        <v>1056</v>
      </c>
    </row>
    <row r="847" spans="1:19">
      <c r="A847" t="s">
        <v>341</v>
      </c>
      <c r="B847" t="s">
        <v>26</v>
      </c>
      <c r="C847" t="s">
        <v>21</v>
      </c>
      <c r="D847" s="8">
        <v>45931</v>
      </c>
      <c r="E847" s="8">
        <v>45936</v>
      </c>
      <c r="F847" s="8">
        <v>45938</v>
      </c>
      <c r="G847" s="8">
        <v>45942</v>
      </c>
      <c r="H847" t="s">
        <v>22</v>
      </c>
      <c r="J847" s="8">
        <v>45969</v>
      </c>
      <c r="K847">
        <v>5</v>
      </c>
      <c r="L847">
        <v>2</v>
      </c>
      <c r="M847">
        <v>4</v>
      </c>
      <c r="N847">
        <v>6</v>
      </c>
      <c r="O847">
        <v>1</v>
      </c>
      <c r="P847">
        <v>1</v>
      </c>
      <c r="Q847">
        <v>1</v>
      </c>
      <c r="R847">
        <v>1</v>
      </c>
      <c r="S847" t="s">
        <v>1056</v>
      </c>
    </row>
    <row r="848" spans="1:19">
      <c r="A848" t="s">
        <v>343</v>
      </c>
      <c r="B848" t="s">
        <v>26</v>
      </c>
      <c r="C848" t="s">
        <v>35</v>
      </c>
      <c r="D848" s="8">
        <v>45938</v>
      </c>
      <c r="E848" s="8">
        <v>45939</v>
      </c>
      <c r="F848" s="8">
        <v>45944</v>
      </c>
      <c r="G848" s="8">
        <v>45948</v>
      </c>
      <c r="H848" t="s">
        <v>22</v>
      </c>
      <c r="J848" s="8">
        <v>45976</v>
      </c>
      <c r="K848">
        <v>1</v>
      </c>
      <c r="L848">
        <v>5</v>
      </c>
      <c r="M848">
        <v>4</v>
      </c>
      <c r="N848">
        <v>3</v>
      </c>
      <c r="O848">
        <v>1</v>
      </c>
      <c r="P848">
        <v>1</v>
      </c>
      <c r="Q848">
        <v>1</v>
      </c>
      <c r="R848">
        <v>1</v>
      </c>
      <c r="S848" t="s">
        <v>1056</v>
      </c>
    </row>
    <row r="849" spans="1:19">
      <c r="A849" t="s">
        <v>362</v>
      </c>
      <c r="B849" t="s">
        <v>26</v>
      </c>
      <c r="C849" t="s">
        <v>21</v>
      </c>
      <c r="D849" s="8">
        <v>45947</v>
      </c>
      <c r="E849" s="8">
        <v>45951</v>
      </c>
      <c r="F849" s="8">
        <v>45955</v>
      </c>
      <c r="G849" s="8">
        <v>45957</v>
      </c>
      <c r="H849" t="s">
        <v>22</v>
      </c>
      <c r="J849" s="8">
        <v>45981</v>
      </c>
      <c r="K849">
        <v>4</v>
      </c>
      <c r="L849">
        <v>4</v>
      </c>
      <c r="M849">
        <v>2</v>
      </c>
      <c r="N849">
        <v>2</v>
      </c>
      <c r="O849">
        <v>1</v>
      </c>
      <c r="P849">
        <v>1</v>
      </c>
      <c r="Q849">
        <v>1</v>
      </c>
      <c r="R849">
        <v>1</v>
      </c>
      <c r="S849" t="s">
        <v>1056</v>
      </c>
    </row>
    <row r="850" spans="1:19">
      <c r="A850" t="s">
        <v>364</v>
      </c>
      <c r="B850" t="s">
        <v>26</v>
      </c>
      <c r="C850" t="s">
        <v>21</v>
      </c>
      <c r="D850" s="8">
        <v>45945</v>
      </c>
      <c r="E850" s="8">
        <v>45948</v>
      </c>
      <c r="F850" s="8">
        <v>45949</v>
      </c>
      <c r="G850" s="8">
        <v>45952</v>
      </c>
      <c r="H850" t="s">
        <v>22</v>
      </c>
      <c r="J850" s="8">
        <v>45967</v>
      </c>
      <c r="K850">
        <v>3</v>
      </c>
      <c r="L850">
        <v>1</v>
      </c>
      <c r="M850">
        <v>3</v>
      </c>
      <c r="N850">
        <v>0</v>
      </c>
      <c r="O850">
        <v>1</v>
      </c>
      <c r="P850">
        <v>1</v>
      </c>
      <c r="Q850">
        <v>1</v>
      </c>
      <c r="R850">
        <v>1</v>
      </c>
      <c r="S850" t="s">
        <v>1056</v>
      </c>
    </row>
    <row r="851" spans="1:19">
      <c r="A851" t="s">
        <v>366</v>
      </c>
      <c r="B851" t="s">
        <v>26</v>
      </c>
      <c r="C851" t="s">
        <v>21</v>
      </c>
      <c r="D851" s="8">
        <v>45939</v>
      </c>
      <c r="E851" s="8">
        <v>45940</v>
      </c>
      <c r="F851" s="8">
        <v>45943</v>
      </c>
      <c r="G851" s="8">
        <v>45946</v>
      </c>
      <c r="H851" t="s">
        <v>22</v>
      </c>
      <c r="J851" s="8">
        <v>45962</v>
      </c>
      <c r="K851">
        <v>1</v>
      </c>
      <c r="L851">
        <v>3</v>
      </c>
      <c r="M851">
        <v>3</v>
      </c>
      <c r="N851">
        <v>2</v>
      </c>
      <c r="O851">
        <v>1</v>
      </c>
      <c r="P851">
        <v>1</v>
      </c>
      <c r="Q851">
        <v>1</v>
      </c>
      <c r="R851">
        <v>1</v>
      </c>
      <c r="S851" t="s">
        <v>1056</v>
      </c>
    </row>
    <row r="852" spans="1:19">
      <c r="A852" t="s">
        <v>367</v>
      </c>
      <c r="B852" t="s">
        <v>26</v>
      </c>
      <c r="C852" t="s">
        <v>35</v>
      </c>
      <c r="D852" s="8">
        <v>45936</v>
      </c>
      <c r="E852" s="8">
        <v>45939</v>
      </c>
      <c r="F852" s="8">
        <v>45940</v>
      </c>
      <c r="G852" s="8">
        <v>45947</v>
      </c>
      <c r="H852" t="s">
        <v>22</v>
      </c>
      <c r="J852" s="8">
        <v>45961</v>
      </c>
      <c r="K852">
        <v>3</v>
      </c>
      <c r="L852">
        <v>1</v>
      </c>
      <c r="M852">
        <v>7</v>
      </c>
      <c r="N852">
        <v>1</v>
      </c>
      <c r="O852">
        <v>1</v>
      </c>
      <c r="P852">
        <v>1</v>
      </c>
      <c r="Q852">
        <v>1</v>
      </c>
      <c r="R852">
        <v>1</v>
      </c>
      <c r="S852" t="s">
        <v>1056</v>
      </c>
    </row>
    <row r="853" spans="1:19">
      <c r="A853" t="s">
        <v>374</v>
      </c>
      <c r="B853" t="s">
        <v>26</v>
      </c>
      <c r="C853" t="s">
        <v>21</v>
      </c>
      <c r="D853" s="8">
        <v>45946</v>
      </c>
      <c r="E853" s="8">
        <v>45951</v>
      </c>
      <c r="F853" s="8">
        <v>45952</v>
      </c>
      <c r="G853" s="8">
        <v>45954</v>
      </c>
      <c r="H853" t="s">
        <v>22</v>
      </c>
      <c r="J853" s="8">
        <v>45977</v>
      </c>
      <c r="K853">
        <v>5</v>
      </c>
      <c r="L853">
        <v>1</v>
      </c>
      <c r="M853">
        <v>2</v>
      </c>
      <c r="N853">
        <v>1</v>
      </c>
      <c r="O853">
        <v>1</v>
      </c>
      <c r="P853">
        <v>1</v>
      </c>
      <c r="Q853">
        <v>1</v>
      </c>
      <c r="R853">
        <v>1</v>
      </c>
      <c r="S853" t="s">
        <v>1056</v>
      </c>
    </row>
    <row r="854" spans="1:19">
      <c r="A854" t="s">
        <v>379</v>
      </c>
      <c r="B854" t="s">
        <v>26</v>
      </c>
      <c r="C854" t="s">
        <v>21</v>
      </c>
      <c r="D854" s="8">
        <v>45952</v>
      </c>
      <c r="E854" s="8">
        <v>45954</v>
      </c>
      <c r="F854" s="8">
        <v>45955</v>
      </c>
      <c r="G854" s="8">
        <v>45959</v>
      </c>
      <c r="H854" t="s">
        <v>22</v>
      </c>
      <c r="J854" s="8">
        <v>45977</v>
      </c>
      <c r="K854">
        <v>2</v>
      </c>
      <c r="L854">
        <v>1</v>
      </c>
      <c r="M854">
        <v>4</v>
      </c>
      <c r="N854">
        <v>4</v>
      </c>
      <c r="O854">
        <v>1</v>
      </c>
      <c r="P854">
        <v>1</v>
      </c>
      <c r="Q854">
        <v>1</v>
      </c>
      <c r="R854">
        <v>1</v>
      </c>
      <c r="S854" t="s">
        <v>1056</v>
      </c>
    </row>
    <row r="855" spans="1:19">
      <c r="A855" t="s">
        <v>381</v>
      </c>
      <c r="B855" t="s">
        <v>26</v>
      </c>
      <c r="C855" t="s">
        <v>21</v>
      </c>
      <c r="D855" s="8">
        <v>45958</v>
      </c>
      <c r="E855" s="8">
        <v>45959</v>
      </c>
      <c r="F855" s="8">
        <v>45963</v>
      </c>
      <c r="G855" s="8">
        <v>45970</v>
      </c>
      <c r="H855" t="s">
        <v>22</v>
      </c>
      <c r="J855" s="8">
        <v>45982</v>
      </c>
      <c r="K855">
        <v>1</v>
      </c>
      <c r="L855">
        <v>4</v>
      </c>
      <c r="M855">
        <v>7</v>
      </c>
      <c r="N855">
        <v>4</v>
      </c>
      <c r="O855">
        <v>1</v>
      </c>
      <c r="P855">
        <v>1</v>
      </c>
      <c r="Q855">
        <v>1</v>
      </c>
      <c r="R855">
        <v>1</v>
      </c>
      <c r="S855" t="s">
        <v>1056</v>
      </c>
    </row>
    <row r="856" spans="1:19">
      <c r="A856" t="s">
        <v>388</v>
      </c>
      <c r="B856" t="s">
        <v>26</v>
      </c>
      <c r="C856" t="s">
        <v>21</v>
      </c>
      <c r="D856" s="8">
        <v>45952</v>
      </c>
      <c r="E856" s="8">
        <v>45954</v>
      </c>
      <c r="F856" s="8">
        <v>45958</v>
      </c>
      <c r="G856" s="8">
        <v>45965</v>
      </c>
      <c r="H856" t="s">
        <v>22</v>
      </c>
      <c r="J856" s="8">
        <v>45987</v>
      </c>
      <c r="K856">
        <v>2</v>
      </c>
      <c r="L856">
        <v>4</v>
      </c>
      <c r="M856">
        <v>7</v>
      </c>
      <c r="N856">
        <v>3</v>
      </c>
      <c r="O856">
        <v>1</v>
      </c>
      <c r="P856">
        <v>1</v>
      </c>
      <c r="Q856">
        <v>1</v>
      </c>
      <c r="R856">
        <v>1</v>
      </c>
      <c r="S856" t="s">
        <v>1056</v>
      </c>
    </row>
    <row r="857" spans="1:19">
      <c r="A857" t="s">
        <v>392</v>
      </c>
      <c r="B857" t="s">
        <v>26</v>
      </c>
      <c r="C857" t="s">
        <v>35</v>
      </c>
      <c r="D857" s="8">
        <v>45955</v>
      </c>
      <c r="E857" s="8">
        <v>45958</v>
      </c>
      <c r="F857" s="8">
        <v>45962</v>
      </c>
      <c r="G857" s="8">
        <v>45967</v>
      </c>
      <c r="H857" t="s">
        <v>22</v>
      </c>
      <c r="J857" s="8">
        <v>45985</v>
      </c>
      <c r="K857">
        <v>3</v>
      </c>
      <c r="L857">
        <v>4</v>
      </c>
      <c r="M857">
        <v>5</v>
      </c>
      <c r="N857">
        <v>5</v>
      </c>
      <c r="O857">
        <v>1</v>
      </c>
      <c r="P857">
        <v>1</v>
      </c>
      <c r="Q857">
        <v>1</v>
      </c>
      <c r="R857">
        <v>1</v>
      </c>
      <c r="S857" t="s">
        <v>1056</v>
      </c>
    </row>
    <row r="858" spans="1:19">
      <c r="A858" t="s">
        <v>396</v>
      </c>
      <c r="B858" t="s">
        <v>26</v>
      </c>
      <c r="C858" t="s">
        <v>21</v>
      </c>
      <c r="D858" s="8">
        <v>45933</v>
      </c>
      <c r="E858" s="8">
        <v>45935</v>
      </c>
      <c r="F858" s="8">
        <v>45940</v>
      </c>
      <c r="G858" s="8">
        <v>45942</v>
      </c>
      <c r="H858" t="s">
        <v>22</v>
      </c>
      <c r="J858" s="8">
        <v>45971</v>
      </c>
      <c r="K858">
        <v>2</v>
      </c>
      <c r="L858">
        <v>5</v>
      </c>
      <c r="M858">
        <v>2</v>
      </c>
      <c r="N858">
        <v>4</v>
      </c>
      <c r="O858">
        <v>1</v>
      </c>
      <c r="P858">
        <v>1</v>
      </c>
      <c r="Q858">
        <v>1</v>
      </c>
      <c r="R858">
        <v>1</v>
      </c>
      <c r="S858" t="s">
        <v>1056</v>
      </c>
    </row>
    <row r="859" spans="1:19">
      <c r="A859" t="s">
        <v>404</v>
      </c>
      <c r="B859" t="s">
        <v>26</v>
      </c>
      <c r="C859" t="s">
        <v>21</v>
      </c>
      <c r="D859" s="8">
        <v>45947</v>
      </c>
      <c r="E859" s="8">
        <v>45950</v>
      </c>
      <c r="F859" s="8">
        <v>45952</v>
      </c>
      <c r="G859" s="8">
        <v>45958</v>
      </c>
      <c r="H859" t="s">
        <v>22</v>
      </c>
      <c r="J859" s="8">
        <v>45972</v>
      </c>
      <c r="K859">
        <v>3</v>
      </c>
      <c r="L859">
        <v>2</v>
      </c>
      <c r="M859">
        <v>6</v>
      </c>
      <c r="N859">
        <v>1</v>
      </c>
      <c r="O859">
        <v>1</v>
      </c>
      <c r="P859">
        <v>1</v>
      </c>
      <c r="Q859">
        <v>1</v>
      </c>
      <c r="R859">
        <v>1</v>
      </c>
      <c r="S859" t="s">
        <v>1056</v>
      </c>
    </row>
    <row r="860" spans="1:19">
      <c r="A860" t="s">
        <v>419</v>
      </c>
      <c r="B860" t="s">
        <v>26</v>
      </c>
      <c r="C860" t="s">
        <v>21</v>
      </c>
      <c r="D860" s="8">
        <v>45951</v>
      </c>
      <c r="E860" s="8">
        <v>45956</v>
      </c>
      <c r="F860" s="8">
        <v>45959</v>
      </c>
      <c r="G860" s="8">
        <v>45962</v>
      </c>
      <c r="H860" t="s">
        <v>22</v>
      </c>
      <c r="J860" s="8">
        <v>45985</v>
      </c>
      <c r="K860">
        <v>5</v>
      </c>
      <c r="L860">
        <v>3</v>
      </c>
      <c r="M860">
        <v>3</v>
      </c>
      <c r="N860">
        <v>5</v>
      </c>
      <c r="O860">
        <v>1</v>
      </c>
      <c r="P860">
        <v>1</v>
      </c>
      <c r="Q860">
        <v>1</v>
      </c>
      <c r="R860">
        <v>1</v>
      </c>
      <c r="S860" t="s">
        <v>1056</v>
      </c>
    </row>
    <row r="861" spans="1:19">
      <c r="A861" t="s">
        <v>422</v>
      </c>
      <c r="B861" t="s">
        <v>26</v>
      </c>
      <c r="C861" t="s">
        <v>21</v>
      </c>
      <c r="D861" s="8">
        <v>45932</v>
      </c>
      <c r="E861" s="8">
        <v>45935</v>
      </c>
      <c r="F861" s="8">
        <v>45937</v>
      </c>
      <c r="G861" s="8">
        <v>45944</v>
      </c>
      <c r="H861" t="s">
        <v>22</v>
      </c>
      <c r="J861" s="8">
        <v>45966</v>
      </c>
      <c r="K861">
        <v>3</v>
      </c>
      <c r="L861">
        <v>2</v>
      </c>
      <c r="M861">
        <v>7</v>
      </c>
      <c r="N861">
        <v>6</v>
      </c>
      <c r="O861">
        <v>1</v>
      </c>
      <c r="P861">
        <v>1</v>
      </c>
      <c r="Q861">
        <v>1</v>
      </c>
      <c r="R861">
        <v>1</v>
      </c>
      <c r="S861" t="s">
        <v>1056</v>
      </c>
    </row>
    <row r="862" spans="1:19">
      <c r="A862" t="s">
        <v>423</v>
      </c>
      <c r="B862" t="s">
        <v>26</v>
      </c>
      <c r="C862" t="s">
        <v>35</v>
      </c>
      <c r="D862" s="8">
        <v>45937</v>
      </c>
      <c r="E862" s="8">
        <v>45942</v>
      </c>
      <c r="F862" s="8">
        <v>45943</v>
      </c>
      <c r="G862" s="8">
        <v>45945</v>
      </c>
      <c r="H862" t="s">
        <v>22</v>
      </c>
      <c r="J862" s="8">
        <v>45975</v>
      </c>
      <c r="K862">
        <v>5</v>
      </c>
      <c r="L862">
        <v>1</v>
      </c>
      <c r="M862">
        <v>2</v>
      </c>
      <c r="N862">
        <v>1</v>
      </c>
      <c r="O862">
        <v>1</v>
      </c>
      <c r="P862">
        <v>1</v>
      </c>
      <c r="Q862">
        <v>1</v>
      </c>
      <c r="R862">
        <v>1</v>
      </c>
      <c r="S862" t="s">
        <v>1056</v>
      </c>
    </row>
    <row r="863" spans="1:19">
      <c r="A863" t="s">
        <v>430</v>
      </c>
      <c r="B863" t="s">
        <v>26</v>
      </c>
      <c r="C863" t="s">
        <v>21</v>
      </c>
      <c r="D863" s="8">
        <v>45959</v>
      </c>
      <c r="E863" s="8">
        <v>45961</v>
      </c>
      <c r="F863" s="8">
        <v>45963</v>
      </c>
      <c r="G863" s="8">
        <v>45968</v>
      </c>
      <c r="H863" t="s">
        <v>22</v>
      </c>
      <c r="J863" s="8">
        <v>45983</v>
      </c>
      <c r="K863">
        <v>2</v>
      </c>
      <c r="L863">
        <v>2</v>
      </c>
      <c r="M863">
        <v>5</v>
      </c>
      <c r="N863">
        <v>2</v>
      </c>
      <c r="O863">
        <v>1</v>
      </c>
      <c r="P863">
        <v>1</v>
      </c>
      <c r="Q863">
        <v>1</v>
      </c>
      <c r="R863">
        <v>1</v>
      </c>
      <c r="S863" t="s">
        <v>1056</v>
      </c>
    </row>
    <row r="864" spans="1:19">
      <c r="A864" t="s">
        <v>448</v>
      </c>
      <c r="B864" t="s">
        <v>26</v>
      </c>
      <c r="C864" t="s">
        <v>35</v>
      </c>
      <c r="D864" s="8">
        <v>45957</v>
      </c>
      <c r="E864" s="8">
        <v>45961</v>
      </c>
      <c r="F864" s="8">
        <v>45963</v>
      </c>
      <c r="G864" s="8">
        <v>45970</v>
      </c>
      <c r="H864" t="s">
        <v>22</v>
      </c>
      <c r="J864" s="8">
        <v>45988</v>
      </c>
      <c r="K864">
        <v>4</v>
      </c>
      <c r="L864">
        <v>2</v>
      </c>
      <c r="M864">
        <v>7</v>
      </c>
      <c r="N864">
        <v>0</v>
      </c>
      <c r="O864">
        <v>1</v>
      </c>
      <c r="P864">
        <v>1</v>
      </c>
      <c r="Q864">
        <v>1</v>
      </c>
      <c r="R864">
        <v>1</v>
      </c>
      <c r="S864" t="s">
        <v>1056</v>
      </c>
    </row>
    <row r="865" spans="1:19">
      <c r="A865" t="s">
        <v>449</v>
      </c>
      <c r="B865" t="s">
        <v>26</v>
      </c>
      <c r="C865" t="s">
        <v>21</v>
      </c>
      <c r="D865" s="8">
        <v>45960</v>
      </c>
      <c r="E865" s="8">
        <v>45962</v>
      </c>
      <c r="F865" s="8">
        <v>45967</v>
      </c>
      <c r="G865" s="8">
        <v>45974</v>
      </c>
      <c r="H865" t="s">
        <v>22</v>
      </c>
      <c r="J865" s="8">
        <v>45995</v>
      </c>
      <c r="K865">
        <v>2</v>
      </c>
      <c r="L865">
        <v>5</v>
      </c>
      <c r="M865">
        <v>7</v>
      </c>
      <c r="N865">
        <v>4</v>
      </c>
      <c r="O865">
        <v>1</v>
      </c>
      <c r="P865">
        <v>1</v>
      </c>
      <c r="Q865">
        <v>1</v>
      </c>
      <c r="R865">
        <v>1</v>
      </c>
      <c r="S865" t="s">
        <v>1056</v>
      </c>
    </row>
    <row r="866" spans="1:19">
      <c r="A866" t="s">
        <v>466</v>
      </c>
      <c r="B866" t="s">
        <v>26</v>
      </c>
      <c r="C866" t="s">
        <v>21</v>
      </c>
      <c r="D866" s="8">
        <v>45946</v>
      </c>
      <c r="E866" s="8">
        <v>45947</v>
      </c>
      <c r="F866" s="8">
        <v>45950</v>
      </c>
      <c r="G866" s="8">
        <v>45955</v>
      </c>
      <c r="H866" t="s">
        <v>22</v>
      </c>
      <c r="J866" s="8">
        <v>45984</v>
      </c>
      <c r="K866">
        <v>1</v>
      </c>
      <c r="L866">
        <v>3</v>
      </c>
      <c r="M866">
        <v>5</v>
      </c>
      <c r="N866">
        <v>1</v>
      </c>
      <c r="O866">
        <v>1</v>
      </c>
      <c r="P866">
        <v>1</v>
      </c>
      <c r="Q866">
        <v>1</v>
      </c>
      <c r="R866">
        <v>1</v>
      </c>
      <c r="S866" t="s">
        <v>1056</v>
      </c>
    </row>
    <row r="867" spans="1:19">
      <c r="A867" t="s">
        <v>481</v>
      </c>
      <c r="B867" t="s">
        <v>26</v>
      </c>
      <c r="C867" t="s">
        <v>21</v>
      </c>
      <c r="D867" s="8">
        <v>45933</v>
      </c>
      <c r="E867" s="8">
        <v>45937</v>
      </c>
      <c r="F867" s="8">
        <v>45942</v>
      </c>
      <c r="G867" s="8">
        <v>45949</v>
      </c>
      <c r="H867" t="s">
        <v>22</v>
      </c>
      <c r="J867" s="8">
        <v>45960</v>
      </c>
      <c r="K867">
        <v>4</v>
      </c>
      <c r="L867">
        <v>5</v>
      </c>
      <c r="M867">
        <v>7</v>
      </c>
      <c r="N867">
        <v>3</v>
      </c>
      <c r="O867">
        <v>1</v>
      </c>
      <c r="P867">
        <v>1</v>
      </c>
      <c r="Q867">
        <v>1</v>
      </c>
      <c r="R867">
        <v>1</v>
      </c>
      <c r="S867" t="s">
        <v>1056</v>
      </c>
    </row>
    <row r="868" spans="1:19">
      <c r="A868" t="s">
        <v>485</v>
      </c>
      <c r="B868" t="s">
        <v>26</v>
      </c>
      <c r="C868" t="s">
        <v>21</v>
      </c>
      <c r="D868" s="8">
        <v>45958</v>
      </c>
      <c r="E868" s="8">
        <v>45962</v>
      </c>
      <c r="F868" s="8">
        <v>45966</v>
      </c>
      <c r="G868" s="8">
        <v>45973</v>
      </c>
      <c r="H868" t="s">
        <v>22</v>
      </c>
      <c r="J868" s="8">
        <v>45985</v>
      </c>
      <c r="K868">
        <v>4</v>
      </c>
      <c r="L868">
        <v>4</v>
      </c>
      <c r="M868">
        <v>7</v>
      </c>
      <c r="N868">
        <v>4</v>
      </c>
      <c r="O868">
        <v>1</v>
      </c>
      <c r="P868">
        <v>1</v>
      </c>
      <c r="Q868">
        <v>1</v>
      </c>
      <c r="R868">
        <v>1</v>
      </c>
      <c r="S868" t="s">
        <v>1056</v>
      </c>
    </row>
    <row r="869" spans="1:19">
      <c r="A869" t="s">
        <v>498</v>
      </c>
      <c r="B869" t="s">
        <v>26</v>
      </c>
      <c r="C869" t="s">
        <v>35</v>
      </c>
      <c r="D869" s="8">
        <v>45949</v>
      </c>
      <c r="E869" s="8">
        <v>45954</v>
      </c>
      <c r="F869" s="8">
        <v>45957</v>
      </c>
      <c r="G869" s="8">
        <v>45964</v>
      </c>
      <c r="H869" t="s">
        <v>22</v>
      </c>
      <c r="J869" s="8">
        <v>45974</v>
      </c>
      <c r="K869">
        <v>5</v>
      </c>
      <c r="L869">
        <v>3</v>
      </c>
      <c r="M869">
        <v>7</v>
      </c>
      <c r="N869">
        <v>4</v>
      </c>
      <c r="O869">
        <v>1</v>
      </c>
      <c r="P869">
        <v>1</v>
      </c>
      <c r="Q869">
        <v>1</v>
      </c>
      <c r="R869">
        <v>1</v>
      </c>
      <c r="S869" t="s">
        <v>1056</v>
      </c>
    </row>
    <row r="870" spans="1:19">
      <c r="A870" t="s">
        <v>513</v>
      </c>
      <c r="B870" t="s">
        <v>26</v>
      </c>
      <c r="C870" t="s">
        <v>21</v>
      </c>
      <c r="D870" s="8">
        <v>45945</v>
      </c>
      <c r="E870" s="8">
        <v>45947</v>
      </c>
      <c r="F870" s="8">
        <v>45949</v>
      </c>
      <c r="G870" s="8">
        <v>45956</v>
      </c>
      <c r="H870" t="s">
        <v>22</v>
      </c>
      <c r="J870" s="8">
        <v>45967</v>
      </c>
      <c r="K870">
        <v>2</v>
      </c>
      <c r="L870">
        <v>2</v>
      </c>
      <c r="M870">
        <v>7</v>
      </c>
      <c r="N870">
        <v>2</v>
      </c>
      <c r="O870">
        <v>1</v>
      </c>
      <c r="P870">
        <v>1</v>
      </c>
      <c r="Q870">
        <v>1</v>
      </c>
      <c r="R870">
        <v>1</v>
      </c>
      <c r="S870" t="s">
        <v>1056</v>
      </c>
    </row>
    <row r="871" spans="1:19">
      <c r="A871" t="s">
        <v>520</v>
      </c>
      <c r="B871" t="s">
        <v>26</v>
      </c>
      <c r="C871" t="s">
        <v>35</v>
      </c>
      <c r="D871" s="8">
        <v>45949</v>
      </c>
      <c r="E871" s="8">
        <v>45953</v>
      </c>
      <c r="F871" s="8">
        <v>45954</v>
      </c>
      <c r="G871" s="8">
        <v>45957</v>
      </c>
      <c r="H871" t="s">
        <v>22</v>
      </c>
      <c r="J871" s="8">
        <v>45983</v>
      </c>
      <c r="K871">
        <v>4</v>
      </c>
      <c r="L871">
        <v>1</v>
      </c>
      <c r="M871">
        <v>3</v>
      </c>
      <c r="N871">
        <v>4</v>
      </c>
      <c r="O871">
        <v>1</v>
      </c>
      <c r="P871">
        <v>1</v>
      </c>
      <c r="Q871">
        <v>1</v>
      </c>
      <c r="R871">
        <v>1</v>
      </c>
      <c r="S871" t="s">
        <v>1056</v>
      </c>
    </row>
    <row r="872" spans="1:19">
      <c r="A872" t="s">
        <v>521</v>
      </c>
      <c r="B872" t="s">
        <v>26</v>
      </c>
      <c r="C872" t="s">
        <v>21</v>
      </c>
      <c r="D872" s="8">
        <v>45943</v>
      </c>
      <c r="E872" s="8">
        <v>45948</v>
      </c>
      <c r="F872" s="8">
        <v>45953</v>
      </c>
      <c r="G872" s="8">
        <v>45958</v>
      </c>
      <c r="H872" t="s">
        <v>22</v>
      </c>
      <c r="J872" s="8">
        <v>45980</v>
      </c>
      <c r="K872">
        <v>5</v>
      </c>
      <c r="L872">
        <v>5</v>
      </c>
      <c r="M872">
        <v>5</v>
      </c>
      <c r="N872">
        <v>5</v>
      </c>
      <c r="O872">
        <v>1</v>
      </c>
      <c r="P872">
        <v>1</v>
      </c>
      <c r="Q872">
        <v>1</v>
      </c>
      <c r="R872">
        <v>1</v>
      </c>
      <c r="S872" t="s">
        <v>1056</v>
      </c>
    </row>
    <row r="873" spans="1:19">
      <c r="A873" t="s">
        <v>522</v>
      </c>
      <c r="B873" t="s">
        <v>26</v>
      </c>
      <c r="C873" t="s">
        <v>35</v>
      </c>
      <c r="D873" s="8">
        <v>45938</v>
      </c>
      <c r="E873" s="8">
        <v>45939</v>
      </c>
      <c r="F873" s="8">
        <v>45941</v>
      </c>
      <c r="G873" s="8">
        <v>45947</v>
      </c>
      <c r="H873" t="s">
        <v>22</v>
      </c>
      <c r="J873" s="8">
        <v>45977</v>
      </c>
      <c r="K873">
        <v>1</v>
      </c>
      <c r="L873">
        <v>2</v>
      </c>
      <c r="M873">
        <v>6</v>
      </c>
      <c r="N873">
        <v>2</v>
      </c>
      <c r="O873">
        <v>1</v>
      </c>
      <c r="P873">
        <v>1</v>
      </c>
      <c r="Q873">
        <v>1</v>
      </c>
      <c r="R873">
        <v>1</v>
      </c>
      <c r="S873" t="s">
        <v>1056</v>
      </c>
    </row>
    <row r="874" spans="1:19">
      <c r="A874" t="s">
        <v>525</v>
      </c>
      <c r="B874" t="s">
        <v>26</v>
      </c>
      <c r="C874" t="s">
        <v>21</v>
      </c>
      <c r="D874" s="8">
        <v>45944</v>
      </c>
      <c r="E874" s="8">
        <v>45947</v>
      </c>
      <c r="F874" s="8">
        <v>45951</v>
      </c>
      <c r="G874" s="8">
        <v>45957</v>
      </c>
      <c r="H874" t="s">
        <v>22</v>
      </c>
      <c r="J874" s="8">
        <v>45967</v>
      </c>
      <c r="K874">
        <v>3</v>
      </c>
      <c r="L874">
        <v>4</v>
      </c>
      <c r="M874">
        <v>6</v>
      </c>
      <c r="N874">
        <v>3</v>
      </c>
      <c r="O874">
        <v>1</v>
      </c>
      <c r="P874">
        <v>1</v>
      </c>
      <c r="Q874">
        <v>1</v>
      </c>
      <c r="R874">
        <v>1</v>
      </c>
      <c r="S874" t="s">
        <v>1056</v>
      </c>
    </row>
    <row r="875" spans="1:19">
      <c r="A875" t="s">
        <v>526</v>
      </c>
      <c r="B875" t="s">
        <v>26</v>
      </c>
      <c r="C875" t="s">
        <v>21</v>
      </c>
      <c r="D875" s="8">
        <v>45932</v>
      </c>
      <c r="E875" s="8">
        <v>45934</v>
      </c>
      <c r="F875" s="8">
        <v>45939</v>
      </c>
      <c r="G875" s="8">
        <v>45946</v>
      </c>
      <c r="H875" t="s">
        <v>22</v>
      </c>
      <c r="J875" s="8">
        <v>45963</v>
      </c>
      <c r="K875">
        <v>2</v>
      </c>
      <c r="L875">
        <v>5</v>
      </c>
      <c r="M875">
        <v>7</v>
      </c>
      <c r="N875">
        <v>1</v>
      </c>
      <c r="O875">
        <v>1</v>
      </c>
      <c r="P875">
        <v>1</v>
      </c>
      <c r="Q875">
        <v>1</v>
      </c>
      <c r="R875">
        <v>1</v>
      </c>
      <c r="S875" t="s">
        <v>1056</v>
      </c>
    </row>
    <row r="876" spans="1:19">
      <c r="A876" t="s">
        <v>539</v>
      </c>
      <c r="B876" t="s">
        <v>26</v>
      </c>
      <c r="C876" t="s">
        <v>21</v>
      </c>
      <c r="D876" s="8">
        <v>45935</v>
      </c>
      <c r="E876" s="8">
        <v>45938</v>
      </c>
      <c r="F876" s="8">
        <v>45940</v>
      </c>
      <c r="G876" s="8">
        <v>45943</v>
      </c>
      <c r="H876" t="s">
        <v>22</v>
      </c>
      <c r="J876" s="8">
        <v>45964</v>
      </c>
      <c r="K876">
        <v>3</v>
      </c>
      <c r="L876">
        <v>2</v>
      </c>
      <c r="M876">
        <v>3</v>
      </c>
      <c r="N876">
        <v>5</v>
      </c>
      <c r="O876">
        <v>1</v>
      </c>
      <c r="P876">
        <v>1</v>
      </c>
      <c r="Q876">
        <v>1</v>
      </c>
      <c r="R876">
        <v>1</v>
      </c>
      <c r="S876" t="s">
        <v>1056</v>
      </c>
    </row>
    <row r="877" spans="1:19">
      <c r="A877" t="s">
        <v>547</v>
      </c>
      <c r="B877" t="s">
        <v>26</v>
      </c>
      <c r="C877" t="s">
        <v>21</v>
      </c>
      <c r="D877" s="8">
        <v>45941</v>
      </c>
      <c r="E877" s="8">
        <v>45946</v>
      </c>
      <c r="F877" s="8">
        <v>45948</v>
      </c>
      <c r="G877" s="8">
        <v>45952</v>
      </c>
      <c r="H877" t="s">
        <v>22</v>
      </c>
      <c r="J877" s="8">
        <v>45971</v>
      </c>
      <c r="K877">
        <v>5</v>
      </c>
      <c r="L877">
        <v>2</v>
      </c>
      <c r="M877">
        <v>4</v>
      </c>
      <c r="N877">
        <v>5</v>
      </c>
      <c r="O877">
        <v>1</v>
      </c>
      <c r="P877">
        <v>1</v>
      </c>
      <c r="Q877">
        <v>1</v>
      </c>
      <c r="R877">
        <v>1</v>
      </c>
      <c r="S877" t="s">
        <v>1056</v>
      </c>
    </row>
    <row r="878" spans="1:19">
      <c r="A878" t="s">
        <v>556</v>
      </c>
      <c r="B878" t="s">
        <v>26</v>
      </c>
      <c r="C878" t="s">
        <v>21</v>
      </c>
      <c r="D878" s="8">
        <v>45945</v>
      </c>
      <c r="E878" s="8">
        <v>45950</v>
      </c>
      <c r="F878" s="8">
        <v>45955</v>
      </c>
      <c r="G878" s="8">
        <v>45957</v>
      </c>
      <c r="H878" t="s">
        <v>22</v>
      </c>
      <c r="J878" s="8">
        <v>45974</v>
      </c>
      <c r="K878">
        <v>5</v>
      </c>
      <c r="L878">
        <v>5</v>
      </c>
      <c r="M878">
        <v>2</v>
      </c>
      <c r="N878">
        <v>4</v>
      </c>
      <c r="O878">
        <v>1</v>
      </c>
      <c r="P878">
        <v>1</v>
      </c>
      <c r="Q878">
        <v>1</v>
      </c>
      <c r="R878">
        <v>1</v>
      </c>
      <c r="S878" t="s">
        <v>1056</v>
      </c>
    </row>
    <row r="879" spans="1:19">
      <c r="A879" t="s">
        <v>563</v>
      </c>
      <c r="B879" t="s">
        <v>26</v>
      </c>
      <c r="C879" t="s">
        <v>21</v>
      </c>
      <c r="D879" s="8">
        <v>45935</v>
      </c>
      <c r="E879" s="8">
        <v>45939</v>
      </c>
      <c r="F879" s="8">
        <v>45944</v>
      </c>
      <c r="G879" s="8">
        <v>45947</v>
      </c>
      <c r="H879" t="s">
        <v>22</v>
      </c>
      <c r="J879" s="8">
        <v>45977</v>
      </c>
      <c r="K879">
        <v>4</v>
      </c>
      <c r="L879">
        <v>5</v>
      </c>
      <c r="M879">
        <v>3</v>
      </c>
      <c r="N879">
        <v>2</v>
      </c>
      <c r="O879">
        <v>1</v>
      </c>
      <c r="P879">
        <v>1</v>
      </c>
      <c r="Q879">
        <v>1</v>
      </c>
      <c r="R879">
        <v>1</v>
      </c>
      <c r="S879" t="s">
        <v>1056</v>
      </c>
    </row>
    <row r="880" spans="1:19">
      <c r="A880" t="s">
        <v>569</v>
      </c>
      <c r="B880" t="s">
        <v>26</v>
      </c>
      <c r="C880" t="s">
        <v>21</v>
      </c>
      <c r="D880" s="8">
        <v>45950</v>
      </c>
      <c r="E880" s="8">
        <v>45955</v>
      </c>
      <c r="F880" s="8">
        <v>45960</v>
      </c>
      <c r="G880" s="8">
        <v>45966</v>
      </c>
      <c r="H880" t="s">
        <v>22</v>
      </c>
      <c r="J880" s="8">
        <v>45976</v>
      </c>
      <c r="K880">
        <v>5</v>
      </c>
      <c r="L880">
        <v>5</v>
      </c>
      <c r="M880">
        <v>6</v>
      </c>
      <c r="N880">
        <v>0</v>
      </c>
      <c r="O880">
        <v>1</v>
      </c>
      <c r="P880">
        <v>1</v>
      </c>
      <c r="Q880">
        <v>1</v>
      </c>
      <c r="R880">
        <v>1</v>
      </c>
      <c r="S880" t="s">
        <v>1056</v>
      </c>
    </row>
    <row r="881" spans="1:19">
      <c r="A881" t="s">
        <v>579</v>
      </c>
      <c r="B881" t="s">
        <v>26</v>
      </c>
      <c r="C881" t="s">
        <v>21</v>
      </c>
      <c r="D881" s="8">
        <v>45948</v>
      </c>
      <c r="E881" s="8">
        <v>45953</v>
      </c>
      <c r="F881" s="8">
        <v>45956</v>
      </c>
      <c r="G881" s="8">
        <v>45963</v>
      </c>
      <c r="H881" t="s">
        <v>22</v>
      </c>
      <c r="J881" s="8">
        <v>45980</v>
      </c>
      <c r="K881">
        <v>5</v>
      </c>
      <c r="L881">
        <v>3</v>
      </c>
      <c r="M881">
        <v>7</v>
      </c>
      <c r="N881">
        <v>3</v>
      </c>
      <c r="O881">
        <v>1</v>
      </c>
      <c r="P881">
        <v>1</v>
      </c>
      <c r="Q881">
        <v>1</v>
      </c>
      <c r="R881">
        <v>1</v>
      </c>
      <c r="S881" t="s">
        <v>1056</v>
      </c>
    </row>
    <row r="882" spans="1:19">
      <c r="A882" t="s">
        <v>580</v>
      </c>
      <c r="B882" t="s">
        <v>26</v>
      </c>
      <c r="C882" t="s">
        <v>21</v>
      </c>
      <c r="D882" s="8">
        <v>45943</v>
      </c>
      <c r="E882" s="8">
        <v>45948</v>
      </c>
      <c r="F882" s="8">
        <v>45952</v>
      </c>
      <c r="G882" s="8">
        <v>45959</v>
      </c>
      <c r="H882" t="s">
        <v>22</v>
      </c>
      <c r="J882" s="8">
        <v>45977</v>
      </c>
      <c r="K882">
        <v>5</v>
      </c>
      <c r="L882">
        <v>4</v>
      </c>
      <c r="M882">
        <v>7</v>
      </c>
      <c r="N882">
        <v>4</v>
      </c>
      <c r="O882">
        <v>1</v>
      </c>
      <c r="P882">
        <v>1</v>
      </c>
      <c r="Q882">
        <v>1</v>
      </c>
      <c r="R882">
        <v>1</v>
      </c>
      <c r="S882" t="s">
        <v>1056</v>
      </c>
    </row>
    <row r="883" spans="1:19">
      <c r="A883" t="s">
        <v>581</v>
      </c>
      <c r="B883" t="s">
        <v>26</v>
      </c>
      <c r="C883" t="s">
        <v>21</v>
      </c>
      <c r="D883" s="8">
        <v>45961</v>
      </c>
      <c r="E883" s="8">
        <v>45966</v>
      </c>
      <c r="F883" s="8">
        <v>45967</v>
      </c>
      <c r="G883" s="8">
        <v>45974</v>
      </c>
      <c r="H883" t="s">
        <v>22</v>
      </c>
      <c r="J883" s="8">
        <v>46003</v>
      </c>
      <c r="K883">
        <v>5</v>
      </c>
      <c r="L883">
        <v>1</v>
      </c>
      <c r="M883">
        <v>7</v>
      </c>
      <c r="N883">
        <v>6</v>
      </c>
      <c r="O883">
        <v>1</v>
      </c>
      <c r="P883">
        <v>1</v>
      </c>
      <c r="Q883">
        <v>1</v>
      </c>
      <c r="R883">
        <v>1</v>
      </c>
      <c r="S883" t="s">
        <v>1056</v>
      </c>
    </row>
    <row r="884" spans="1:19">
      <c r="A884" t="s">
        <v>582</v>
      </c>
      <c r="B884" t="s">
        <v>26</v>
      </c>
      <c r="C884" t="s">
        <v>21</v>
      </c>
      <c r="D884" s="8">
        <v>45941</v>
      </c>
      <c r="E884" s="8">
        <v>45946</v>
      </c>
      <c r="F884" s="8">
        <v>45951</v>
      </c>
      <c r="G884" s="8">
        <v>45953</v>
      </c>
      <c r="H884" t="s">
        <v>22</v>
      </c>
      <c r="J884" s="8">
        <v>45972</v>
      </c>
      <c r="K884">
        <v>5</v>
      </c>
      <c r="L884">
        <v>5</v>
      </c>
      <c r="M884">
        <v>2</v>
      </c>
      <c r="N884">
        <v>5</v>
      </c>
      <c r="O884">
        <v>1</v>
      </c>
      <c r="P884">
        <v>1</v>
      </c>
      <c r="Q884">
        <v>1</v>
      </c>
      <c r="R884">
        <v>1</v>
      </c>
      <c r="S884" t="s">
        <v>1056</v>
      </c>
    </row>
    <row r="885" spans="1:19">
      <c r="A885" t="s">
        <v>587</v>
      </c>
      <c r="B885" t="s">
        <v>26</v>
      </c>
      <c r="C885" t="s">
        <v>21</v>
      </c>
      <c r="D885" s="8">
        <v>45946</v>
      </c>
      <c r="E885" s="8">
        <v>45947</v>
      </c>
      <c r="F885" s="8">
        <v>45950</v>
      </c>
      <c r="G885" s="8">
        <v>45957</v>
      </c>
      <c r="H885" t="s">
        <v>22</v>
      </c>
      <c r="J885" s="8">
        <v>45979</v>
      </c>
      <c r="K885">
        <v>1</v>
      </c>
      <c r="L885">
        <v>3</v>
      </c>
      <c r="M885">
        <v>7</v>
      </c>
      <c r="N885">
        <v>2</v>
      </c>
      <c r="O885">
        <v>1</v>
      </c>
      <c r="P885">
        <v>1</v>
      </c>
      <c r="Q885">
        <v>1</v>
      </c>
      <c r="R885">
        <v>1</v>
      </c>
      <c r="S885" t="s">
        <v>1056</v>
      </c>
    </row>
    <row r="886" spans="1:19">
      <c r="A886" t="s">
        <v>590</v>
      </c>
      <c r="B886" t="s">
        <v>26</v>
      </c>
      <c r="C886" t="s">
        <v>21</v>
      </c>
      <c r="D886" s="8">
        <v>45932</v>
      </c>
      <c r="E886" s="8">
        <v>45935</v>
      </c>
      <c r="F886" s="8">
        <v>45940</v>
      </c>
      <c r="G886" s="8">
        <v>45943</v>
      </c>
      <c r="H886" t="s">
        <v>22</v>
      </c>
      <c r="J886" s="8">
        <v>45961</v>
      </c>
      <c r="K886">
        <v>3</v>
      </c>
      <c r="L886">
        <v>5</v>
      </c>
      <c r="M886">
        <v>3</v>
      </c>
      <c r="N886">
        <v>2</v>
      </c>
      <c r="O886">
        <v>1</v>
      </c>
      <c r="P886">
        <v>1</v>
      </c>
      <c r="Q886">
        <v>1</v>
      </c>
      <c r="R886">
        <v>1</v>
      </c>
      <c r="S886" t="s">
        <v>1056</v>
      </c>
    </row>
    <row r="887" spans="1:19">
      <c r="A887" t="s">
        <v>597</v>
      </c>
      <c r="B887" t="s">
        <v>26</v>
      </c>
      <c r="C887" t="s">
        <v>21</v>
      </c>
      <c r="D887" s="8">
        <v>45940</v>
      </c>
      <c r="E887" s="8">
        <v>45942</v>
      </c>
      <c r="F887" s="8">
        <v>45945</v>
      </c>
      <c r="G887" s="8">
        <v>45951</v>
      </c>
      <c r="H887" t="s">
        <v>22</v>
      </c>
      <c r="J887" s="8">
        <v>45980</v>
      </c>
      <c r="K887">
        <v>2</v>
      </c>
      <c r="L887">
        <v>3</v>
      </c>
      <c r="M887">
        <v>6</v>
      </c>
      <c r="N887">
        <v>4</v>
      </c>
      <c r="O887">
        <v>1</v>
      </c>
      <c r="P887">
        <v>1</v>
      </c>
      <c r="Q887">
        <v>1</v>
      </c>
      <c r="R887">
        <v>1</v>
      </c>
      <c r="S887" t="s">
        <v>1056</v>
      </c>
    </row>
    <row r="888" spans="1:19">
      <c r="A888" t="s">
        <v>598</v>
      </c>
      <c r="B888" t="s">
        <v>26</v>
      </c>
      <c r="C888" t="s">
        <v>35</v>
      </c>
      <c r="D888" s="8">
        <v>45938</v>
      </c>
      <c r="E888" s="8">
        <v>45939</v>
      </c>
      <c r="F888" s="8">
        <v>45941</v>
      </c>
      <c r="G888" s="8">
        <v>45947</v>
      </c>
      <c r="H888" t="s">
        <v>22</v>
      </c>
      <c r="J888" s="8">
        <v>45969</v>
      </c>
      <c r="K888">
        <v>1</v>
      </c>
      <c r="L888">
        <v>2</v>
      </c>
      <c r="M888">
        <v>6</v>
      </c>
      <c r="N888">
        <v>5</v>
      </c>
      <c r="O888">
        <v>1</v>
      </c>
      <c r="P888">
        <v>1</v>
      </c>
      <c r="Q888">
        <v>1</v>
      </c>
      <c r="R888">
        <v>1</v>
      </c>
      <c r="S888" t="s">
        <v>1056</v>
      </c>
    </row>
    <row r="889" spans="1:19">
      <c r="A889" t="s">
        <v>610</v>
      </c>
      <c r="B889" t="s">
        <v>26</v>
      </c>
      <c r="C889" t="s">
        <v>35</v>
      </c>
      <c r="D889" s="8">
        <v>45953</v>
      </c>
      <c r="E889" s="8">
        <v>45955</v>
      </c>
      <c r="F889" s="8">
        <v>45957</v>
      </c>
      <c r="G889" s="8">
        <v>45960</v>
      </c>
      <c r="H889" t="s">
        <v>22</v>
      </c>
      <c r="J889" s="8">
        <v>45979</v>
      </c>
      <c r="K889">
        <v>2</v>
      </c>
      <c r="L889">
        <v>2</v>
      </c>
      <c r="M889">
        <v>3</v>
      </c>
      <c r="N889">
        <v>3</v>
      </c>
      <c r="O889">
        <v>1</v>
      </c>
      <c r="P889">
        <v>1</v>
      </c>
      <c r="Q889">
        <v>1</v>
      </c>
      <c r="R889">
        <v>1</v>
      </c>
      <c r="S889" t="s">
        <v>1056</v>
      </c>
    </row>
    <row r="890" spans="1:19">
      <c r="A890" t="s">
        <v>613</v>
      </c>
      <c r="B890" t="s">
        <v>26</v>
      </c>
      <c r="C890" t="s">
        <v>21</v>
      </c>
      <c r="D890" s="8">
        <v>45931</v>
      </c>
      <c r="E890" s="8">
        <v>45935</v>
      </c>
      <c r="F890" s="8">
        <v>45937</v>
      </c>
      <c r="G890" s="8">
        <v>45940</v>
      </c>
      <c r="H890" t="s">
        <v>22</v>
      </c>
      <c r="J890" s="8">
        <v>45952</v>
      </c>
      <c r="K890">
        <v>4</v>
      </c>
      <c r="L890">
        <v>2</v>
      </c>
      <c r="M890">
        <v>3</v>
      </c>
      <c r="N890">
        <v>6</v>
      </c>
      <c r="O890">
        <v>1</v>
      </c>
      <c r="P890">
        <v>1</v>
      </c>
      <c r="Q890">
        <v>1</v>
      </c>
      <c r="R890">
        <v>1</v>
      </c>
      <c r="S890" t="s">
        <v>1056</v>
      </c>
    </row>
    <row r="891" spans="1:19">
      <c r="A891" t="s">
        <v>627</v>
      </c>
      <c r="B891" t="s">
        <v>26</v>
      </c>
      <c r="C891" t="s">
        <v>21</v>
      </c>
      <c r="D891" s="8">
        <v>45952</v>
      </c>
      <c r="E891" s="8">
        <v>45956</v>
      </c>
      <c r="F891" s="8">
        <v>45958</v>
      </c>
      <c r="G891" s="8">
        <v>45965</v>
      </c>
      <c r="H891" t="s">
        <v>22</v>
      </c>
      <c r="J891" s="8">
        <v>45984</v>
      </c>
      <c r="K891">
        <v>4</v>
      </c>
      <c r="L891">
        <v>2</v>
      </c>
      <c r="M891">
        <v>7</v>
      </c>
      <c r="N891">
        <v>2</v>
      </c>
      <c r="O891">
        <v>1</v>
      </c>
      <c r="P891">
        <v>1</v>
      </c>
      <c r="Q891">
        <v>1</v>
      </c>
      <c r="R891">
        <v>1</v>
      </c>
      <c r="S891" t="s">
        <v>1056</v>
      </c>
    </row>
    <row r="892" spans="1:19">
      <c r="A892" t="s">
        <v>631</v>
      </c>
      <c r="B892" t="s">
        <v>26</v>
      </c>
      <c r="C892" t="s">
        <v>21</v>
      </c>
      <c r="D892" s="8">
        <v>45936</v>
      </c>
      <c r="E892" s="8">
        <v>45939</v>
      </c>
      <c r="F892" s="8">
        <v>45940</v>
      </c>
      <c r="G892" s="8">
        <v>45945</v>
      </c>
      <c r="H892" t="s">
        <v>22</v>
      </c>
      <c r="J892" s="8">
        <v>45971</v>
      </c>
      <c r="K892">
        <v>3</v>
      </c>
      <c r="L892">
        <v>1</v>
      </c>
      <c r="M892">
        <v>5</v>
      </c>
      <c r="N892">
        <v>1</v>
      </c>
      <c r="O892">
        <v>1</v>
      </c>
      <c r="P892">
        <v>1</v>
      </c>
      <c r="Q892">
        <v>1</v>
      </c>
      <c r="R892">
        <v>1</v>
      </c>
      <c r="S892" t="s">
        <v>1056</v>
      </c>
    </row>
    <row r="893" spans="1:19">
      <c r="A893" t="s">
        <v>638</v>
      </c>
      <c r="B893" t="s">
        <v>26</v>
      </c>
      <c r="C893" t="s">
        <v>21</v>
      </c>
      <c r="D893" s="8">
        <v>45938</v>
      </c>
      <c r="E893" s="8">
        <v>45941</v>
      </c>
      <c r="F893" s="8">
        <v>45946</v>
      </c>
      <c r="G893" s="8">
        <v>45952</v>
      </c>
      <c r="H893" t="s">
        <v>22</v>
      </c>
      <c r="J893" s="8">
        <v>45966</v>
      </c>
      <c r="K893">
        <v>3</v>
      </c>
      <c r="L893">
        <v>5</v>
      </c>
      <c r="M893">
        <v>6</v>
      </c>
      <c r="N893">
        <v>3</v>
      </c>
      <c r="O893">
        <v>1</v>
      </c>
      <c r="P893">
        <v>1</v>
      </c>
      <c r="Q893">
        <v>1</v>
      </c>
      <c r="R893">
        <v>1</v>
      </c>
      <c r="S893" t="s">
        <v>1056</v>
      </c>
    </row>
    <row r="894" spans="1:19">
      <c r="A894" t="s">
        <v>647</v>
      </c>
      <c r="B894" t="s">
        <v>26</v>
      </c>
      <c r="C894" t="s">
        <v>21</v>
      </c>
      <c r="D894" s="8">
        <v>45945</v>
      </c>
      <c r="E894" s="8">
        <v>45949</v>
      </c>
      <c r="F894" s="8">
        <v>45953</v>
      </c>
      <c r="G894" s="8">
        <v>45958</v>
      </c>
      <c r="H894" t="s">
        <v>22</v>
      </c>
      <c r="J894" s="8">
        <v>45980</v>
      </c>
      <c r="K894">
        <v>4</v>
      </c>
      <c r="L894">
        <v>4</v>
      </c>
      <c r="M894">
        <v>5</v>
      </c>
      <c r="N894">
        <v>6</v>
      </c>
      <c r="O894">
        <v>1</v>
      </c>
      <c r="P894">
        <v>1</v>
      </c>
      <c r="Q894">
        <v>1</v>
      </c>
      <c r="R894">
        <v>1</v>
      </c>
      <c r="S894" t="s">
        <v>1056</v>
      </c>
    </row>
    <row r="895" spans="1:19">
      <c r="A895" t="s">
        <v>650</v>
      </c>
      <c r="B895" t="s">
        <v>26</v>
      </c>
      <c r="C895" t="s">
        <v>35</v>
      </c>
      <c r="D895" s="8">
        <v>45931</v>
      </c>
      <c r="E895" s="8">
        <v>45934</v>
      </c>
      <c r="F895" s="8">
        <v>45939</v>
      </c>
      <c r="G895" s="8">
        <v>45943</v>
      </c>
      <c r="H895" t="s">
        <v>22</v>
      </c>
      <c r="J895" s="8">
        <v>45971</v>
      </c>
      <c r="K895">
        <v>3</v>
      </c>
      <c r="L895">
        <v>5</v>
      </c>
      <c r="M895">
        <v>4</v>
      </c>
      <c r="N895">
        <v>4</v>
      </c>
      <c r="O895">
        <v>1</v>
      </c>
      <c r="P895">
        <v>1</v>
      </c>
      <c r="Q895">
        <v>1</v>
      </c>
      <c r="R895">
        <v>1</v>
      </c>
      <c r="S895" t="s">
        <v>1056</v>
      </c>
    </row>
    <row r="896" spans="1:19">
      <c r="A896" t="s">
        <v>667</v>
      </c>
      <c r="B896" t="s">
        <v>26</v>
      </c>
      <c r="C896" t="s">
        <v>21</v>
      </c>
      <c r="D896" s="8">
        <v>45944</v>
      </c>
      <c r="E896" s="8">
        <v>45947</v>
      </c>
      <c r="F896" s="8">
        <v>45949</v>
      </c>
      <c r="G896" s="8">
        <v>45951</v>
      </c>
      <c r="H896" t="s">
        <v>22</v>
      </c>
      <c r="J896" s="8">
        <v>45966</v>
      </c>
      <c r="K896">
        <v>3</v>
      </c>
      <c r="L896">
        <v>2</v>
      </c>
      <c r="M896">
        <v>2</v>
      </c>
      <c r="N896">
        <v>5</v>
      </c>
      <c r="O896">
        <v>1</v>
      </c>
      <c r="P896">
        <v>1</v>
      </c>
      <c r="Q896">
        <v>1</v>
      </c>
      <c r="R896">
        <v>1</v>
      </c>
      <c r="S896" t="s">
        <v>1056</v>
      </c>
    </row>
    <row r="897" spans="1:19">
      <c r="A897" t="s">
        <v>675</v>
      </c>
      <c r="B897" t="s">
        <v>26</v>
      </c>
      <c r="C897" t="s">
        <v>21</v>
      </c>
      <c r="D897" s="8">
        <v>45958</v>
      </c>
      <c r="E897" s="8">
        <v>45961</v>
      </c>
      <c r="F897" s="8">
        <v>45962</v>
      </c>
      <c r="G897" s="8">
        <v>45965</v>
      </c>
      <c r="H897" t="s">
        <v>22</v>
      </c>
      <c r="J897" s="8">
        <v>45979</v>
      </c>
      <c r="K897">
        <v>3</v>
      </c>
      <c r="L897">
        <v>1</v>
      </c>
      <c r="M897">
        <v>3</v>
      </c>
      <c r="N897">
        <v>4</v>
      </c>
      <c r="O897">
        <v>1</v>
      </c>
      <c r="P897">
        <v>1</v>
      </c>
      <c r="Q897">
        <v>1</v>
      </c>
      <c r="R897">
        <v>1</v>
      </c>
      <c r="S897" t="s">
        <v>1056</v>
      </c>
    </row>
    <row r="898" spans="1:19">
      <c r="A898" t="s">
        <v>677</v>
      </c>
      <c r="B898" t="s">
        <v>26</v>
      </c>
      <c r="C898" t="s">
        <v>35</v>
      </c>
      <c r="D898" s="8">
        <v>45934</v>
      </c>
      <c r="E898" s="8">
        <v>45935</v>
      </c>
      <c r="F898" s="8">
        <v>45939</v>
      </c>
      <c r="G898" s="8">
        <v>45945</v>
      </c>
      <c r="H898" t="s">
        <v>22</v>
      </c>
      <c r="J898" s="8">
        <v>45972</v>
      </c>
      <c r="K898">
        <v>1</v>
      </c>
      <c r="L898">
        <v>4</v>
      </c>
      <c r="M898">
        <v>6</v>
      </c>
      <c r="N898">
        <v>1</v>
      </c>
      <c r="O898">
        <v>1</v>
      </c>
      <c r="P898">
        <v>1</v>
      </c>
      <c r="Q898">
        <v>1</v>
      </c>
      <c r="R898">
        <v>1</v>
      </c>
      <c r="S898" t="s">
        <v>1056</v>
      </c>
    </row>
    <row r="899" spans="1:19">
      <c r="A899" t="s">
        <v>679</v>
      </c>
      <c r="B899" t="s">
        <v>26</v>
      </c>
      <c r="C899" t="s">
        <v>35</v>
      </c>
      <c r="D899" s="8">
        <v>45943</v>
      </c>
      <c r="E899" s="8">
        <v>45948</v>
      </c>
      <c r="F899" s="8">
        <v>45953</v>
      </c>
      <c r="G899" s="8">
        <v>45960</v>
      </c>
      <c r="H899" t="s">
        <v>22</v>
      </c>
      <c r="J899" s="8">
        <v>45980</v>
      </c>
      <c r="K899">
        <v>5</v>
      </c>
      <c r="L899">
        <v>5</v>
      </c>
      <c r="M899">
        <v>7</v>
      </c>
      <c r="N899">
        <v>6</v>
      </c>
      <c r="O899">
        <v>1</v>
      </c>
      <c r="P899">
        <v>1</v>
      </c>
      <c r="Q899">
        <v>1</v>
      </c>
      <c r="R899">
        <v>1</v>
      </c>
      <c r="S899" t="s">
        <v>1056</v>
      </c>
    </row>
    <row r="900" spans="1:19">
      <c r="A900" t="s">
        <v>686</v>
      </c>
      <c r="B900" t="s">
        <v>26</v>
      </c>
      <c r="C900" t="s">
        <v>35</v>
      </c>
      <c r="D900" s="8">
        <v>45931</v>
      </c>
      <c r="E900" s="8">
        <v>45934</v>
      </c>
      <c r="F900" s="8">
        <v>45935</v>
      </c>
      <c r="G900" s="8">
        <v>45940</v>
      </c>
      <c r="H900" t="s">
        <v>22</v>
      </c>
      <c r="J900" s="8">
        <v>45957</v>
      </c>
      <c r="K900">
        <v>3</v>
      </c>
      <c r="L900">
        <v>1</v>
      </c>
      <c r="M900">
        <v>5</v>
      </c>
      <c r="N900">
        <v>3</v>
      </c>
      <c r="O900">
        <v>1</v>
      </c>
      <c r="P900">
        <v>1</v>
      </c>
      <c r="Q900">
        <v>1</v>
      </c>
      <c r="R900">
        <v>1</v>
      </c>
      <c r="S900" t="s">
        <v>1056</v>
      </c>
    </row>
    <row r="901" spans="1:19">
      <c r="A901" t="s">
        <v>698</v>
      </c>
      <c r="B901" t="s">
        <v>26</v>
      </c>
      <c r="C901" t="s">
        <v>21</v>
      </c>
      <c r="D901" s="8">
        <v>45960</v>
      </c>
      <c r="E901" s="8">
        <v>45962</v>
      </c>
      <c r="F901" s="8">
        <v>45966</v>
      </c>
      <c r="G901" s="8">
        <v>45968</v>
      </c>
      <c r="H901" t="s">
        <v>22</v>
      </c>
      <c r="J901" s="8">
        <v>45996</v>
      </c>
      <c r="K901">
        <v>2</v>
      </c>
      <c r="L901">
        <v>4</v>
      </c>
      <c r="M901">
        <v>2</v>
      </c>
      <c r="N901">
        <v>2</v>
      </c>
      <c r="O901">
        <v>1</v>
      </c>
      <c r="P901">
        <v>1</v>
      </c>
      <c r="Q901">
        <v>1</v>
      </c>
      <c r="R901">
        <v>1</v>
      </c>
      <c r="S901" t="s">
        <v>1056</v>
      </c>
    </row>
    <row r="902" spans="1:19">
      <c r="A902" t="s">
        <v>724</v>
      </c>
      <c r="B902" t="s">
        <v>26</v>
      </c>
      <c r="C902" t="s">
        <v>21</v>
      </c>
      <c r="D902" s="8">
        <v>45935</v>
      </c>
      <c r="E902" s="8">
        <v>45938</v>
      </c>
      <c r="F902" s="8">
        <v>45941</v>
      </c>
      <c r="G902" s="8">
        <v>45945</v>
      </c>
      <c r="H902" t="s">
        <v>22</v>
      </c>
      <c r="J902" s="8">
        <v>45964</v>
      </c>
      <c r="K902">
        <v>3</v>
      </c>
      <c r="L902">
        <v>3</v>
      </c>
      <c r="M902">
        <v>4</v>
      </c>
      <c r="N902">
        <v>3</v>
      </c>
      <c r="O902">
        <v>1</v>
      </c>
      <c r="P902">
        <v>1</v>
      </c>
      <c r="Q902">
        <v>1</v>
      </c>
      <c r="R902">
        <v>1</v>
      </c>
      <c r="S902" t="s">
        <v>1056</v>
      </c>
    </row>
    <row r="903" spans="1:19">
      <c r="A903" t="s">
        <v>728</v>
      </c>
      <c r="B903" t="s">
        <v>26</v>
      </c>
      <c r="C903" t="s">
        <v>35</v>
      </c>
      <c r="D903" s="8">
        <v>45951</v>
      </c>
      <c r="E903" s="8">
        <v>45953</v>
      </c>
      <c r="F903" s="8">
        <v>45955</v>
      </c>
      <c r="G903" s="8">
        <v>45960</v>
      </c>
      <c r="H903" t="s">
        <v>22</v>
      </c>
      <c r="J903" s="8">
        <v>45974</v>
      </c>
      <c r="K903">
        <v>2</v>
      </c>
      <c r="L903">
        <v>2</v>
      </c>
      <c r="M903">
        <v>5</v>
      </c>
      <c r="N903">
        <v>2</v>
      </c>
      <c r="O903">
        <v>1</v>
      </c>
      <c r="P903">
        <v>1</v>
      </c>
      <c r="Q903">
        <v>1</v>
      </c>
      <c r="R903">
        <v>1</v>
      </c>
      <c r="S903" t="s">
        <v>1056</v>
      </c>
    </row>
    <row r="904" spans="1:19">
      <c r="A904" t="s">
        <v>739</v>
      </c>
      <c r="B904" t="s">
        <v>26</v>
      </c>
      <c r="C904" t="s">
        <v>21</v>
      </c>
      <c r="D904" s="8">
        <v>45933</v>
      </c>
      <c r="E904" s="8">
        <v>45937</v>
      </c>
      <c r="F904" s="8">
        <v>45941</v>
      </c>
      <c r="G904" s="8">
        <v>45944</v>
      </c>
      <c r="H904" t="s">
        <v>22</v>
      </c>
      <c r="J904" s="8">
        <v>45964</v>
      </c>
      <c r="K904">
        <v>4</v>
      </c>
      <c r="L904">
        <v>4</v>
      </c>
      <c r="M904">
        <v>3</v>
      </c>
      <c r="N904">
        <v>6</v>
      </c>
      <c r="O904">
        <v>1</v>
      </c>
      <c r="P904">
        <v>1</v>
      </c>
      <c r="Q904">
        <v>1</v>
      </c>
      <c r="R904">
        <v>1</v>
      </c>
      <c r="S904" t="s">
        <v>1056</v>
      </c>
    </row>
    <row r="905" spans="1:19">
      <c r="A905" t="s">
        <v>744</v>
      </c>
      <c r="B905" t="s">
        <v>26</v>
      </c>
      <c r="C905" t="s">
        <v>21</v>
      </c>
      <c r="D905" s="8">
        <v>45944</v>
      </c>
      <c r="E905" s="8">
        <v>45946</v>
      </c>
      <c r="F905" s="8">
        <v>45947</v>
      </c>
      <c r="G905" s="8">
        <v>45953</v>
      </c>
      <c r="H905" t="s">
        <v>22</v>
      </c>
      <c r="J905" s="8">
        <v>45973</v>
      </c>
      <c r="K905">
        <v>2</v>
      </c>
      <c r="L905">
        <v>1</v>
      </c>
      <c r="M905">
        <v>6</v>
      </c>
      <c r="N905">
        <v>2</v>
      </c>
      <c r="O905">
        <v>1</v>
      </c>
      <c r="P905">
        <v>1</v>
      </c>
      <c r="Q905">
        <v>1</v>
      </c>
      <c r="R905">
        <v>1</v>
      </c>
      <c r="S905" t="s">
        <v>1056</v>
      </c>
    </row>
    <row r="906" spans="1:19">
      <c r="A906" t="s">
        <v>753</v>
      </c>
      <c r="B906" t="s">
        <v>26</v>
      </c>
      <c r="C906" t="s">
        <v>21</v>
      </c>
      <c r="D906" s="8">
        <v>45947</v>
      </c>
      <c r="E906" s="8">
        <v>45950</v>
      </c>
      <c r="F906" s="8">
        <v>45955</v>
      </c>
      <c r="G906" s="8">
        <v>45962</v>
      </c>
      <c r="H906" t="s">
        <v>22</v>
      </c>
      <c r="J906" s="8">
        <v>45978</v>
      </c>
      <c r="K906">
        <v>3</v>
      </c>
      <c r="L906">
        <v>5</v>
      </c>
      <c r="M906">
        <v>7</v>
      </c>
      <c r="N906">
        <v>4</v>
      </c>
      <c r="O906">
        <v>1</v>
      </c>
      <c r="P906">
        <v>1</v>
      </c>
      <c r="Q906">
        <v>1</v>
      </c>
      <c r="R906">
        <v>1</v>
      </c>
      <c r="S906" t="s">
        <v>1056</v>
      </c>
    </row>
    <row r="907" spans="1:19">
      <c r="A907" t="s">
        <v>754</v>
      </c>
      <c r="B907" t="s">
        <v>26</v>
      </c>
      <c r="C907" t="s">
        <v>21</v>
      </c>
      <c r="D907" s="8">
        <v>45960</v>
      </c>
      <c r="E907" s="8">
        <v>45961</v>
      </c>
      <c r="F907" s="8">
        <v>45966</v>
      </c>
      <c r="G907" s="8">
        <v>45973</v>
      </c>
      <c r="H907" t="s">
        <v>22</v>
      </c>
      <c r="J907" s="8">
        <v>45988</v>
      </c>
      <c r="K907">
        <v>1</v>
      </c>
      <c r="L907">
        <v>5</v>
      </c>
      <c r="M907">
        <v>7</v>
      </c>
      <c r="N907">
        <v>6</v>
      </c>
      <c r="O907">
        <v>1</v>
      </c>
      <c r="P907">
        <v>1</v>
      </c>
      <c r="Q907">
        <v>1</v>
      </c>
      <c r="R907">
        <v>1</v>
      </c>
      <c r="S907" t="s">
        <v>1056</v>
      </c>
    </row>
    <row r="908" spans="1:19">
      <c r="A908" t="s">
        <v>761</v>
      </c>
      <c r="B908" t="s">
        <v>26</v>
      </c>
      <c r="C908" t="s">
        <v>21</v>
      </c>
      <c r="D908" s="8">
        <v>45961</v>
      </c>
      <c r="E908" s="8">
        <v>45963</v>
      </c>
      <c r="F908" s="8">
        <v>45967</v>
      </c>
      <c r="G908" s="8">
        <v>45972</v>
      </c>
      <c r="H908" t="s">
        <v>22</v>
      </c>
      <c r="J908" s="8">
        <v>46001</v>
      </c>
      <c r="K908">
        <v>2</v>
      </c>
      <c r="L908">
        <v>4</v>
      </c>
      <c r="M908">
        <v>5</v>
      </c>
      <c r="N908">
        <v>3</v>
      </c>
      <c r="O908">
        <v>1</v>
      </c>
      <c r="P908">
        <v>1</v>
      </c>
      <c r="Q908">
        <v>1</v>
      </c>
      <c r="R908">
        <v>1</v>
      </c>
      <c r="S908" t="s">
        <v>1056</v>
      </c>
    </row>
    <row r="909" spans="1:19">
      <c r="A909" t="s">
        <v>765</v>
      </c>
      <c r="B909" t="s">
        <v>26</v>
      </c>
      <c r="C909" t="s">
        <v>21</v>
      </c>
      <c r="D909" s="8">
        <v>45940</v>
      </c>
      <c r="E909" s="8">
        <v>45941</v>
      </c>
      <c r="F909" s="8">
        <v>45946</v>
      </c>
      <c r="G909" s="8">
        <v>45953</v>
      </c>
      <c r="H909" t="s">
        <v>22</v>
      </c>
      <c r="J909" s="8">
        <v>45975</v>
      </c>
      <c r="K909">
        <v>1</v>
      </c>
      <c r="L909">
        <v>5</v>
      </c>
      <c r="M909">
        <v>7</v>
      </c>
      <c r="N909">
        <v>6</v>
      </c>
      <c r="O909">
        <v>1</v>
      </c>
      <c r="P909">
        <v>1</v>
      </c>
      <c r="Q909">
        <v>1</v>
      </c>
      <c r="R909">
        <v>1</v>
      </c>
      <c r="S909" t="s">
        <v>1056</v>
      </c>
    </row>
    <row r="910" spans="1:19">
      <c r="A910" t="s">
        <v>775</v>
      </c>
      <c r="B910" t="s">
        <v>26</v>
      </c>
      <c r="C910" t="s">
        <v>21</v>
      </c>
      <c r="D910" s="8">
        <v>45955</v>
      </c>
      <c r="E910" s="8">
        <v>45958</v>
      </c>
      <c r="F910" s="8">
        <v>45960</v>
      </c>
      <c r="G910" s="8">
        <v>45965</v>
      </c>
      <c r="H910" t="s">
        <v>22</v>
      </c>
      <c r="J910" s="8">
        <v>45975</v>
      </c>
      <c r="K910">
        <v>3</v>
      </c>
      <c r="L910">
        <v>2</v>
      </c>
      <c r="M910">
        <v>5</v>
      </c>
      <c r="N910">
        <v>2</v>
      </c>
      <c r="O910">
        <v>1</v>
      </c>
      <c r="P910">
        <v>1</v>
      </c>
      <c r="Q910">
        <v>1</v>
      </c>
      <c r="R910">
        <v>1</v>
      </c>
      <c r="S910" t="s">
        <v>1056</v>
      </c>
    </row>
    <row r="911" spans="1:19">
      <c r="A911" t="s">
        <v>784</v>
      </c>
      <c r="B911" t="s">
        <v>26</v>
      </c>
      <c r="C911" t="s">
        <v>35</v>
      </c>
      <c r="D911" s="8">
        <v>45958</v>
      </c>
      <c r="E911" s="8">
        <v>45962</v>
      </c>
      <c r="F911" s="8">
        <v>45965</v>
      </c>
      <c r="G911" s="8">
        <v>45970</v>
      </c>
      <c r="H911" t="s">
        <v>22</v>
      </c>
      <c r="J911" s="8">
        <v>45987</v>
      </c>
      <c r="K911">
        <v>4</v>
      </c>
      <c r="L911">
        <v>3</v>
      </c>
      <c r="M911">
        <v>5</v>
      </c>
      <c r="N911">
        <v>4</v>
      </c>
      <c r="O911">
        <v>1</v>
      </c>
      <c r="P911">
        <v>1</v>
      </c>
      <c r="Q911">
        <v>1</v>
      </c>
      <c r="R911">
        <v>1</v>
      </c>
      <c r="S911" t="s">
        <v>1056</v>
      </c>
    </row>
    <row r="912" spans="1:19">
      <c r="A912" t="s">
        <v>785</v>
      </c>
      <c r="B912" t="s">
        <v>26</v>
      </c>
      <c r="C912" t="s">
        <v>21</v>
      </c>
      <c r="D912" s="8">
        <v>45956</v>
      </c>
      <c r="E912" s="8">
        <v>45960</v>
      </c>
      <c r="F912" s="8">
        <v>45963</v>
      </c>
      <c r="G912" s="8">
        <v>45965</v>
      </c>
      <c r="H912" t="s">
        <v>22</v>
      </c>
      <c r="J912" s="8">
        <v>45982</v>
      </c>
      <c r="K912">
        <v>4</v>
      </c>
      <c r="L912">
        <v>3</v>
      </c>
      <c r="M912">
        <v>2</v>
      </c>
      <c r="N912">
        <v>4</v>
      </c>
      <c r="O912">
        <v>1</v>
      </c>
      <c r="P912">
        <v>1</v>
      </c>
      <c r="Q912">
        <v>1</v>
      </c>
      <c r="R912">
        <v>1</v>
      </c>
      <c r="S912" t="s">
        <v>1056</v>
      </c>
    </row>
    <row r="913" spans="1:19">
      <c r="A913" t="s">
        <v>790</v>
      </c>
      <c r="B913" t="s">
        <v>26</v>
      </c>
      <c r="C913" t="s">
        <v>35</v>
      </c>
      <c r="D913" s="8">
        <v>45943</v>
      </c>
      <c r="E913" s="8">
        <v>45944</v>
      </c>
      <c r="F913" s="8">
        <v>45948</v>
      </c>
      <c r="G913" s="8">
        <v>45955</v>
      </c>
      <c r="H913" t="s">
        <v>22</v>
      </c>
      <c r="J913" s="8">
        <v>45977</v>
      </c>
      <c r="K913">
        <v>1</v>
      </c>
      <c r="L913">
        <v>4</v>
      </c>
      <c r="M913">
        <v>7</v>
      </c>
      <c r="N913">
        <v>6</v>
      </c>
      <c r="O913">
        <v>1</v>
      </c>
      <c r="P913">
        <v>1</v>
      </c>
      <c r="Q913">
        <v>1</v>
      </c>
      <c r="R913">
        <v>1</v>
      </c>
      <c r="S913" t="s">
        <v>1056</v>
      </c>
    </row>
    <row r="914" spans="1:19">
      <c r="A914" t="s">
        <v>793</v>
      </c>
      <c r="B914" t="s">
        <v>26</v>
      </c>
      <c r="C914" t="s">
        <v>35</v>
      </c>
      <c r="D914" s="8">
        <v>45948</v>
      </c>
      <c r="E914" s="8">
        <v>45951</v>
      </c>
      <c r="F914" s="8">
        <v>45954</v>
      </c>
      <c r="G914" s="8">
        <v>45957</v>
      </c>
      <c r="H914" t="s">
        <v>22</v>
      </c>
      <c r="J914" s="8">
        <v>45985</v>
      </c>
      <c r="K914">
        <v>3</v>
      </c>
      <c r="L914">
        <v>3</v>
      </c>
      <c r="M914">
        <v>3</v>
      </c>
      <c r="N914">
        <v>2</v>
      </c>
      <c r="O914">
        <v>1</v>
      </c>
      <c r="P914">
        <v>1</v>
      </c>
      <c r="Q914">
        <v>1</v>
      </c>
      <c r="R914">
        <v>1</v>
      </c>
      <c r="S914" t="s">
        <v>1056</v>
      </c>
    </row>
    <row r="915" spans="1:19">
      <c r="A915" t="s">
        <v>806</v>
      </c>
      <c r="B915" t="s">
        <v>26</v>
      </c>
      <c r="C915" t="s">
        <v>35</v>
      </c>
      <c r="D915" s="8">
        <v>45942</v>
      </c>
      <c r="E915" s="8">
        <v>45947</v>
      </c>
      <c r="F915" s="8">
        <v>45952</v>
      </c>
      <c r="G915" s="8">
        <v>45956</v>
      </c>
      <c r="H915" t="s">
        <v>22</v>
      </c>
      <c r="J915" s="8">
        <v>45980</v>
      </c>
      <c r="K915">
        <v>5</v>
      </c>
      <c r="L915">
        <v>5</v>
      </c>
      <c r="M915">
        <v>4</v>
      </c>
      <c r="N915">
        <v>1</v>
      </c>
      <c r="O915">
        <v>1</v>
      </c>
      <c r="P915">
        <v>1</v>
      </c>
      <c r="Q915">
        <v>1</v>
      </c>
      <c r="R915">
        <v>1</v>
      </c>
      <c r="S915" t="s">
        <v>1056</v>
      </c>
    </row>
    <row r="916" spans="1:19">
      <c r="A916" t="s">
        <v>814</v>
      </c>
      <c r="B916" t="s">
        <v>26</v>
      </c>
      <c r="C916" t="s">
        <v>35</v>
      </c>
      <c r="D916" s="8">
        <v>45961</v>
      </c>
      <c r="E916" s="8">
        <v>45962</v>
      </c>
      <c r="F916" s="8">
        <v>45965</v>
      </c>
      <c r="G916" s="8">
        <v>45968</v>
      </c>
      <c r="H916" t="s">
        <v>22</v>
      </c>
      <c r="J916" s="8">
        <v>45982</v>
      </c>
      <c r="K916">
        <v>1</v>
      </c>
      <c r="L916">
        <v>3</v>
      </c>
      <c r="M916">
        <v>3</v>
      </c>
      <c r="N916">
        <v>4</v>
      </c>
      <c r="O916">
        <v>1</v>
      </c>
      <c r="P916">
        <v>1</v>
      </c>
      <c r="Q916">
        <v>1</v>
      </c>
      <c r="R916">
        <v>1</v>
      </c>
      <c r="S916" t="s">
        <v>1056</v>
      </c>
    </row>
    <row r="917" spans="1:19">
      <c r="A917" t="s">
        <v>820</v>
      </c>
      <c r="B917" t="s">
        <v>26</v>
      </c>
      <c r="C917" t="s">
        <v>21</v>
      </c>
      <c r="D917" s="8">
        <v>45951</v>
      </c>
      <c r="E917" s="8">
        <v>45954</v>
      </c>
      <c r="F917" s="8">
        <v>45959</v>
      </c>
      <c r="G917" s="8">
        <v>45962</v>
      </c>
      <c r="H917" t="s">
        <v>22</v>
      </c>
      <c r="J917" s="8">
        <v>45983</v>
      </c>
      <c r="K917">
        <v>3</v>
      </c>
      <c r="L917">
        <v>5</v>
      </c>
      <c r="M917">
        <v>3</v>
      </c>
      <c r="N917">
        <v>3</v>
      </c>
      <c r="O917">
        <v>1</v>
      </c>
      <c r="P917">
        <v>1</v>
      </c>
      <c r="Q917">
        <v>1</v>
      </c>
      <c r="R917">
        <v>1</v>
      </c>
      <c r="S917" t="s">
        <v>1056</v>
      </c>
    </row>
    <row r="918" spans="1:19">
      <c r="A918" t="s">
        <v>822</v>
      </c>
      <c r="B918" t="s">
        <v>26</v>
      </c>
      <c r="C918" t="s">
        <v>35</v>
      </c>
      <c r="D918" s="8">
        <v>45951</v>
      </c>
      <c r="E918" s="8">
        <v>45953</v>
      </c>
      <c r="F918" s="8">
        <v>45956</v>
      </c>
      <c r="G918" s="8">
        <v>45959</v>
      </c>
      <c r="H918" t="s">
        <v>22</v>
      </c>
      <c r="J918" s="8">
        <v>45974</v>
      </c>
      <c r="K918">
        <v>2</v>
      </c>
      <c r="L918">
        <v>3</v>
      </c>
      <c r="M918">
        <v>3</v>
      </c>
      <c r="N918">
        <v>3</v>
      </c>
      <c r="O918">
        <v>1</v>
      </c>
      <c r="P918">
        <v>1</v>
      </c>
      <c r="Q918">
        <v>1</v>
      </c>
      <c r="R918">
        <v>1</v>
      </c>
      <c r="S918" t="s">
        <v>1056</v>
      </c>
    </row>
    <row r="919" spans="1:19">
      <c r="A919" t="s">
        <v>839</v>
      </c>
      <c r="B919" t="s">
        <v>26</v>
      </c>
      <c r="C919" t="s">
        <v>35</v>
      </c>
      <c r="D919" s="8">
        <v>45938</v>
      </c>
      <c r="E919" s="8">
        <v>45941</v>
      </c>
      <c r="F919" s="8">
        <v>45945</v>
      </c>
      <c r="G919" s="8">
        <v>45949</v>
      </c>
      <c r="H919" t="s">
        <v>22</v>
      </c>
      <c r="J919" s="8">
        <v>45962</v>
      </c>
      <c r="K919">
        <v>3</v>
      </c>
      <c r="L919">
        <v>4</v>
      </c>
      <c r="M919">
        <v>4</v>
      </c>
      <c r="N919">
        <v>3</v>
      </c>
      <c r="O919">
        <v>1</v>
      </c>
      <c r="P919">
        <v>1</v>
      </c>
      <c r="Q919">
        <v>1</v>
      </c>
      <c r="R919">
        <v>1</v>
      </c>
      <c r="S919" t="s">
        <v>1056</v>
      </c>
    </row>
    <row r="920" spans="1:19">
      <c r="A920" t="s">
        <v>841</v>
      </c>
      <c r="B920" t="s">
        <v>26</v>
      </c>
      <c r="C920" t="s">
        <v>35</v>
      </c>
      <c r="D920" s="8">
        <v>45948</v>
      </c>
      <c r="E920" s="8">
        <v>45953</v>
      </c>
      <c r="F920" s="8">
        <v>45955</v>
      </c>
      <c r="G920" s="8">
        <v>45957</v>
      </c>
      <c r="H920" t="s">
        <v>22</v>
      </c>
      <c r="J920" s="8">
        <v>45987</v>
      </c>
      <c r="K920">
        <v>5</v>
      </c>
      <c r="L920">
        <v>2</v>
      </c>
      <c r="M920">
        <v>2</v>
      </c>
      <c r="N920">
        <v>5</v>
      </c>
      <c r="O920">
        <v>1</v>
      </c>
      <c r="P920">
        <v>1</v>
      </c>
      <c r="Q920">
        <v>1</v>
      </c>
      <c r="R920">
        <v>1</v>
      </c>
      <c r="S920" t="s">
        <v>1056</v>
      </c>
    </row>
    <row r="921" spans="1:19">
      <c r="A921" t="s">
        <v>842</v>
      </c>
      <c r="B921" t="s">
        <v>26</v>
      </c>
      <c r="C921" t="s">
        <v>21</v>
      </c>
      <c r="D921" s="8">
        <v>45935</v>
      </c>
      <c r="E921" s="8">
        <v>45936</v>
      </c>
      <c r="F921" s="8">
        <v>45939</v>
      </c>
      <c r="G921" s="8">
        <v>45942</v>
      </c>
      <c r="H921" t="s">
        <v>22</v>
      </c>
      <c r="J921" s="8">
        <v>45953</v>
      </c>
      <c r="K921">
        <v>1</v>
      </c>
      <c r="L921">
        <v>3</v>
      </c>
      <c r="M921">
        <v>3</v>
      </c>
      <c r="N921">
        <v>1</v>
      </c>
      <c r="O921">
        <v>1</v>
      </c>
      <c r="P921">
        <v>1</v>
      </c>
      <c r="Q921">
        <v>1</v>
      </c>
      <c r="R921">
        <v>1</v>
      </c>
      <c r="S921" t="s">
        <v>1056</v>
      </c>
    </row>
    <row r="922" spans="1:19">
      <c r="A922" t="s">
        <v>855</v>
      </c>
      <c r="B922" t="s">
        <v>26</v>
      </c>
      <c r="C922" t="s">
        <v>21</v>
      </c>
      <c r="D922" s="8">
        <v>45954</v>
      </c>
      <c r="E922" s="8">
        <v>45957</v>
      </c>
      <c r="F922" s="8">
        <v>45961</v>
      </c>
      <c r="G922" s="8">
        <v>45964</v>
      </c>
      <c r="H922" t="s">
        <v>22</v>
      </c>
      <c r="J922" s="8">
        <v>45975</v>
      </c>
      <c r="K922">
        <v>3</v>
      </c>
      <c r="L922">
        <v>4</v>
      </c>
      <c r="M922">
        <v>3</v>
      </c>
      <c r="N922">
        <v>3</v>
      </c>
      <c r="O922">
        <v>1</v>
      </c>
      <c r="P922">
        <v>1</v>
      </c>
      <c r="Q922">
        <v>1</v>
      </c>
      <c r="R922">
        <v>1</v>
      </c>
      <c r="S922" t="s">
        <v>1056</v>
      </c>
    </row>
    <row r="923" spans="1:19">
      <c r="A923" t="s">
        <v>892</v>
      </c>
      <c r="B923" t="s">
        <v>26</v>
      </c>
      <c r="C923" t="s">
        <v>35</v>
      </c>
      <c r="D923" s="8">
        <v>45958</v>
      </c>
      <c r="E923" s="8">
        <v>45960</v>
      </c>
      <c r="F923" s="8">
        <v>45962</v>
      </c>
      <c r="G923" s="8">
        <v>45969</v>
      </c>
      <c r="H923" t="s">
        <v>22</v>
      </c>
      <c r="J923" s="8">
        <v>45982</v>
      </c>
      <c r="K923">
        <v>2</v>
      </c>
      <c r="L923">
        <v>2</v>
      </c>
      <c r="M923">
        <v>7</v>
      </c>
      <c r="N923">
        <v>4</v>
      </c>
      <c r="O923">
        <v>1</v>
      </c>
      <c r="P923">
        <v>1</v>
      </c>
      <c r="Q923">
        <v>1</v>
      </c>
      <c r="R923">
        <v>1</v>
      </c>
      <c r="S923" t="s">
        <v>1056</v>
      </c>
    </row>
    <row r="924" spans="1:19">
      <c r="A924" t="s">
        <v>894</v>
      </c>
      <c r="B924" t="s">
        <v>26</v>
      </c>
      <c r="C924" t="s">
        <v>21</v>
      </c>
      <c r="D924" s="8">
        <v>45945</v>
      </c>
      <c r="E924" s="8">
        <v>45948</v>
      </c>
      <c r="F924" s="8">
        <v>45951</v>
      </c>
      <c r="G924" s="8">
        <v>45953</v>
      </c>
      <c r="H924" t="s">
        <v>22</v>
      </c>
      <c r="J924" s="8">
        <v>45982</v>
      </c>
      <c r="K924">
        <v>3</v>
      </c>
      <c r="L924">
        <v>3</v>
      </c>
      <c r="M924">
        <v>2</v>
      </c>
      <c r="N924">
        <v>5</v>
      </c>
      <c r="O924">
        <v>1</v>
      </c>
      <c r="P924">
        <v>1</v>
      </c>
      <c r="Q924">
        <v>1</v>
      </c>
      <c r="R924">
        <v>1</v>
      </c>
      <c r="S924" t="s">
        <v>1056</v>
      </c>
    </row>
    <row r="925" spans="1:19">
      <c r="A925" t="s">
        <v>915</v>
      </c>
      <c r="B925" t="s">
        <v>26</v>
      </c>
      <c r="C925" t="s">
        <v>21</v>
      </c>
      <c r="D925" s="8">
        <v>45949</v>
      </c>
      <c r="E925" s="8">
        <v>45952</v>
      </c>
      <c r="F925" s="8">
        <v>45956</v>
      </c>
      <c r="G925" s="8">
        <v>45962</v>
      </c>
      <c r="H925" t="s">
        <v>22</v>
      </c>
      <c r="J925" s="8">
        <v>45989</v>
      </c>
      <c r="K925">
        <v>3</v>
      </c>
      <c r="L925">
        <v>4</v>
      </c>
      <c r="M925">
        <v>6</v>
      </c>
      <c r="N925">
        <v>4</v>
      </c>
      <c r="O925">
        <v>1</v>
      </c>
      <c r="P925">
        <v>1</v>
      </c>
      <c r="Q925">
        <v>1</v>
      </c>
      <c r="R925">
        <v>1</v>
      </c>
      <c r="S925" t="s">
        <v>1056</v>
      </c>
    </row>
    <row r="926" spans="1:19">
      <c r="A926" t="s">
        <v>940</v>
      </c>
      <c r="B926" t="s">
        <v>26</v>
      </c>
      <c r="C926" t="s">
        <v>35</v>
      </c>
      <c r="D926" s="8">
        <v>45931</v>
      </c>
      <c r="E926" s="8">
        <v>45932</v>
      </c>
      <c r="F926" s="8">
        <v>45937</v>
      </c>
      <c r="G926" s="8">
        <v>45943</v>
      </c>
      <c r="H926" t="s">
        <v>22</v>
      </c>
      <c r="J926" s="8">
        <v>45961</v>
      </c>
      <c r="K926">
        <v>1</v>
      </c>
      <c r="L926">
        <v>5</v>
      </c>
      <c r="M926">
        <v>6</v>
      </c>
      <c r="N926">
        <v>2</v>
      </c>
      <c r="O926">
        <v>1</v>
      </c>
      <c r="P926">
        <v>1</v>
      </c>
      <c r="Q926">
        <v>1</v>
      </c>
      <c r="R926">
        <v>1</v>
      </c>
      <c r="S926" t="s">
        <v>1056</v>
      </c>
    </row>
    <row r="927" spans="1:19">
      <c r="A927" t="s">
        <v>942</v>
      </c>
      <c r="B927" t="s">
        <v>26</v>
      </c>
      <c r="C927" t="s">
        <v>21</v>
      </c>
      <c r="D927" s="8">
        <v>45956</v>
      </c>
      <c r="E927" s="8">
        <v>45961</v>
      </c>
      <c r="F927" s="8">
        <v>45966</v>
      </c>
      <c r="G927" s="8">
        <v>45972</v>
      </c>
      <c r="H927" t="s">
        <v>22</v>
      </c>
      <c r="J927" s="8">
        <v>45989</v>
      </c>
      <c r="K927">
        <v>5</v>
      </c>
      <c r="L927">
        <v>5</v>
      </c>
      <c r="M927">
        <v>6</v>
      </c>
      <c r="N927">
        <v>2</v>
      </c>
      <c r="O927">
        <v>1</v>
      </c>
      <c r="P927">
        <v>1</v>
      </c>
      <c r="Q927">
        <v>1</v>
      </c>
      <c r="R927">
        <v>1</v>
      </c>
      <c r="S927" t="s">
        <v>1056</v>
      </c>
    </row>
    <row r="928" spans="1:19">
      <c r="A928" t="s">
        <v>949</v>
      </c>
      <c r="B928" t="s">
        <v>26</v>
      </c>
      <c r="C928" t="s">
        <v>35</v>
      </c>
      <c r="D928" s="8">
        <v>45939</v>
      </c>
      <c r="E928" s="8">
        <v>45940</v>
      </c>
      <c r="F928" s="8">
        <v>45945</v>
      </c>
      <c r="G928" s="8">
        <v>45950</v>
      </c>
      <c r="H928" t="s">
        <v>22</v>
      </c>
      <c r="J928" s="8">
        <v>45965</v>
      </c>
      <c r="K928">
        <v>1</v>
      </c>
      <c r="L928">
        <v>5</v>
      </c>
      <c r="M928">
        <v>5</v>
      </c>
      <c r="N928">
        <v>6</v>
      </c>
      <c r="O928">
        <v>1</v>
      </c>
      <c r="P928">
        <v>1</v>
      </c>
      <c r="Q928">
        <v>1</v>
      </c>
      <c r="R928">
        <v>1</v>
      </c>
      <c r="S928" t="s">
        <v>1056</v>
      </c>
    </row>
    <row r="929" spans="1:19">
      <c r="A929" t="s">
        <v>951</v>
      </c>
      <c r="B929" t="s">
        <v>26</v>
      </c>
      <c r="C929" t="s">
        <v>35</v>
      </c>
      <c r="D929" s="8">
        <v>45935</v>
      </c>
      <c r="E929" s="8">
        <v>45939</v>
      </c>
      <c r="F929" s="8">
        <v>45940</v>
      </c>
      <c r="G929" s="8">
        <v>45942</v>
      </c>
      <c r="H929" t="s">
        <v>22</v>
      </c>
      <c r="J929" s="8">
        <v>45961</v>
      </c>
      <c r="K929">
        <v>4</v>
      </c>
      <c r="L929">
        <v>1</v>
      </c>
      <c r="M929">
        <v>2</v>
      </c>
      <c r="N929">
        <v>1</v>
      </c>
      <c r="O929">
        <v>1</v>
      </c>
      <c r="P929">
        <v>1</v>
      </c>
      <c r="Q929">
        <v>1</v>
      </c>
      <c r="R929">
        <v>1</v>
      </c>
      <c r="S929" t="s">
        <v>1056</v>
      </c>
    </row>
    <row r="930" spans="1:19">
      <c r="A930" t="s">
        <v>955</v>
      </c>
      <c r="B930" t="s">
        <v>26</v>
      </c>
      <c r="C930" t="s">
        <v>21</v>
      </c>
      <c r="D930" s="8">
        <v>45934</v>
      </c>
      <c r="E930" s="8">
        <v>45937</v>
      </c>
      <c r="F930" s="8">
        <v>45939</v>
      </c>
      <c r="G930" s="8">
        <v>45942</v>
      </c>
      <c r="H930" t="s">
        <v>22</v>
      </c>
      <c r="J930" s="8">
        <v>45965</v>
      </c>
      <c r="K930">
        <v>3</v>
      </c>
      <c r="L930">
        <v>2</v>
      </c>
      <c r="M930">
        <v>3</v>
      </c>
      <c r="N930">
        <v>6</v>
      </c>
      <c r="O930">
        <v>1</v>
      </c>
      <c r="P930">
        <v>1</v>
      </c>
      <c r="Q930">
        <v>1</v>
      </c>
      <c r="R930">
        <v>1</v>
      </c>
      <c r="S930" t="s">
        <v>1056</v>
      </c>
    </row>
    <row r="931" spans="1:19">
      <c r="A931" t="s">
        <v>956</v>
      </c>
      <c r="B931" t="s">
        <v>26</v>
      </c>
      <c r="C931" t="s">
        <v>21</v>
      </c>
      <c r="D931" s="8">
        <v>45954</v>
      </c>
      <c r="E931" s="8">
        <v>45959</v>
      </c>
      <c r="F931" s="8">
        <v>45964</v>
      </c>
      <c r="G931" s="8">
        <v>45969</v>
      </c>
      <c r="H931" t="s">
        <v>22</v>
      </c>
      <c r="J931" s="8">
        <v>45982</v>
      </c>
      <c r="K931">
        <v>5</v>
      </c>
      <c r="L931">
        <v>5</v>
      </c>
      <c r="M931">
        <v>5</v>
      </c>
      <c r="N931">
        <v>6</v>
      </c>
      <c r="O931">
        <v>1</v>
      </c>
      <c r="P931">
        <v>1</v>
      </c>
      <c r="Q931">
        <v>1</v>
      </c>
      <c r="R931">
        <v>1</v>
      </c>
      <c r="S931" t="s">
        <v>1056</v>
      </c>
    </row>
    <row r="932" spans="1:19">
      <c r="A932" t="s">
        <v>958</v>
      </c>
      <c r="B932" t="s">
        <v>26</v>
      </c>
      <c r="C932" t="s">
        <v>35</v>
      </c>
      <c r="D932" s="8">
        <v>45946</v>
      </c>
      <c r="E932" s="8">
        <v>45947</v>
      </c>
      <c r="F932" s="8">
        <v>45952</v>
      </c>
      <c r="G932" s="8">
        <v>45959</v>
      </c>
      <c r="H932" t="s">
        <v>22</v>
      </c>
      <c r="J932" s="8">
        <v>45970</v>
      </c>
      <c r="K932">
        <v>1</v>
      </c>
      <c r="L932">
        <v>5</v>
      </c>
      <c r="M932">
        <v>7</v>
      </c>
      <c r="N932">
        <v>2</v>
      </c>
      <c r="O932">
        <v>1</v>
      </c>
      <c r="P932">
        <v>1</v>
      </c>
      <c r="Q932">
        <v>1</v>
      </c>
      <c r="R932">
        <v>1</v>
      </c>
      <c r="S932" t="s">
        <v>1056</v>
      </c>
    </row>
    <row r="933" spans="1:19">
      <c r="A933" t="s">
        <v>962</v>
      </c>
      <c r="B933" t="s">
        <v>26</v>
      </c>
      <c r="C933" t="s">
        <v>21</v>
      </c>
      <c r="D933" s="8">
        <v>45947</v>
      </c>
      <c r="E933" s="8">
        <v>45950</v>
      </c>
      <c r="F933" s="8">
        <v>45951</v>
      </c>
      <c r="G933" s="8">
        <v>45957</v>
      </c>
      <c r="H933" t="s">
        <v>22</v>
      </c>
      <c r="J933" s="8">
        <v>45987</v>
      </c>
      <c r="K933">
        <v>3</v>
      </c>
      <c r="L933">
        <v>1</v>
      </c>
      <c r="M933">
        <v>6</v>
      </c>
      <c r="N933">
        <v>1</v>
      </c>
      <c r="O933">
        <v>1</v>
      </c>
      <c r="P933">
        <v>1</v>
      </c>
      <c r="Q933">
        <v>1</v>
      </c>
      <c r="R933">
        <v>1</v>
      </c>
      <c r="S933" t="s">
        <v>1056</v>
      </c>
    </row>
    <row r="934" spans="1:19">
      <c r="A934" t="s">
        <v>974</v>
      </c>
      <c r="B934" t="s">
        <v>26</v>
      </c>
      <c r="C934" t="s">
        <v>21</v>
      </c>
      <c r="D934" s="8">
        <v>45958</v>
      </c>
      <c r="E934" s="8">
        <v>45963</v>
      </c>
      <c r="F934" s="8">
        <v>45965</v>
      </c>
      <c r="G934" s="8">
        <v>45971</v>
      </c>
      <c r="H934" t="s">
        <v>22</v>
      </c>
      <c r="J934" s="8">
        <v>45991</v>
      </c>
      <c r="K934">
        <v>5</v>
      </c>
      <c r="L934">
        <v>2</v>
      </c>
      <c r="M934">
        <v>6</v>
      </c>
      <c r="N934">
        <v>5</v>
      </c>
      <c r="O934">
        <v>1</v>
      </c>
      <c r="P934">
        <v>1</v>
      </c>
      <c r="Q934">
        <v>1</v>
      </c>
      <c r="R934">
        <v>1</v>
      </c>
      <c r="S934" t="s">
        <v>1056</v>
      </c>
    </row>
    <row r="935" spans="1:19">
      <c r="A935" t="s">
        <v>976</v>
      </c>
      <c r="B935" t="s">
        <v>26</v>
      </c>
      <c r="C935" t="s">
        <v>21</v>
      </c>
      <c r="D935" s="8">
        <v>45947</v>
      </c>
      <c r="E935" s="8">
        <v>45948</v>
      </c>
      <c r="F935" s="8">
        <v>45951</v>
      </c>
      <c r="G935" s="8">
        <v>45956</v>
      </c>
      <c r="H935" t="s">
        <v>22</v>
      </c>
      <c r="J935" s="8">
        <v>45969</v>
      </c>
      <c r="K935">
        <v>1</v>
      </c>
      <c r="L935">
        <v>3</v>
      </c>
      <c r="M935">
        <v>5</v>
      </c>
      <c r="N935">
        <v>2</v>
      </c>
      <c r="O935">
        <v>1</v>
      </c>
      <c r="P935">
        <v>1</v>
      </c>
      <c r="Q935">
        <v>1</v>
      </c>
      <c r="R935">
        <v>1</v>
      </c>
      <c r="S935" t="s">
        <v>1056</v>
      </c>
    </row>
    <row r="936" spans="1:19">
      <c r="A936" t="s">
        <v>979</v>
      </c>
      <c r="B936" t="s">
        <v>26</v>
      </c>
      <c r="C936" t="s">
        <v>35</v>
      </c>
      <c r="D936" s="8">
        <v>45951</v>
      </c>
      <c r="E936" s="8">
        <v>45955</v>
      </c>
      <c r="F936" s="8">
        <v>45960</v>
      </c>
      <c r="G936" s="8">
        <v>45962</v>
      </c>
      <c r="H936" t="s">
        <v>22</v>
      </c>
      <c r="J936" s="8">
        <v>45986</v>
      </c>
      <c r="K936">
        <v>4</v>
      </c>
      <c r="L936">
        <v>5</v>
      </c>
      <c r="M936">
        <v>2</v>
      </c>
      <c r="N936">
        <v>6</v>
      </c>
      <c r="O936">
        <v>1</v>
      </c>
      <c r="P936">
        <v>1</v>
      </c>
      <c r="Q936">
        <v>1</v>
      </c>
      <c r="R936">
        <v>1</v>
      </c>
      <c r="S936" t="s">
        <v>1056</v>
      </c>
    </row>
    <row r="937" spans="1:19">
      <c r="A937" t="s">
        <v>994</v>
      </c>
      <c r="B937" t="s">
        <v>26</v>
      </c>
      <c r="C937" t="s">
        <v>21</v>
      </c>
      <c r="D937" s="8">
        <v>45959</v>
      </c>
      <c r="E937" s="8">
        <v>45962</v>
      </c>
      <c r="F937" s="8">
        <v>45965</v>
      </c>
      <c r="G937" s="8">
        <v>45968</v>
      </c>
      <c r="H937" t="s">
        <v>22</v>
      </c>
      <c r="J937" s="8">
        <v>45991</v>
      </c>
      <c r="K937">
        <v>3</v>
      </c>
      <c r="L937">
        <v>3</v>
      </c>
      <c r="M937">
        <v>3</v>
      </c>
      <c r="N937">
        <v>6</v>
      </c>
      <c r="O937">
        <v>1</v>
      </c>
      <c r="P937">
        <v>1</v>
      </c>
      <c r="Q937">
        <v>1</v>
      </c>
      <c r="R937">
        <v>1</v>
      </c>
      <c r="S937" t="s">
        <v>1056</v>
      </c>
    </row>
    <row r="938" spans="1:19">
      <c r="A938" t="s">
        <v>999</v>
      </c>
      <c r="B938" t="s">
        <v>26</v>
      </c>
      <c r="C938" t="s">
        <v>21</v>
      </c>
      <c r="D938" s="8">
        <v>45933</v>
      </c>
      <c r="E938" s="8">
        <v>45938</v>
      </c>
      <c r="F938" s="8">
        <v>45940</v>
      </c>
      <c r="G938" s="8">
        <v>45943</v>
      </c>
      <c r="H938" t="s">
        <v>22</v>
      </c>
      <c r="J938" s="8">
        <v>45967</v>
      </c>
      <c r="K938">
        <v>5</v>
      </c>
      <c r="L938">
        <v>2</v>
      </c>
      <c r="M938">
        <v>3</v>
      </c>
      <c r="N938">
        <v>4</v>
      </c>
      <c r="O938">
        <v>1</v>
      </c>
      <c r="P938">
        <v>1</v>
      </c>
      <c r="Q938">
        <v>1</v>
      </c>
      <c r="R938">
        <v>1</v>
      </c>
      <c r="S938" t="s">
        <v>1056</v>
      </c>
    </row>
    <row r="939" spans="1:19">
      <c r="A939" t="s">
        <v>1013</v>
      </c>
      <c r="B939" t="s">
        <v>26</v>
      </c>
      <c r="C939" t="s">
        <v>35</v>
      </c>
      <c r="D939" s="8">
        <v>45947</v>
      </c>
      <c r="E939" s="8">
        <v>45949</v>
      </c>
      <c r="F939" s="8">
        <v>45950</v>
      </c>
      <c r="G939" s="8">
        <v>45953</v>
      </c>
      <c r="H939" t="s">
        <v>22</v>
      </c>
      <c r="J939" s="8">
        <v>45978</v>
      </c>
      <c r="K939">
        <v>2</v>
      </c>
      <c r="L939">
        <v>1</v>
      </c>
      <c r="M939">
        <v>3</v>
      </c>
      <c r="N939">
        <v>0</v>
      </c>
      <c r="O939">
        <v>1</v>
      </c>
      <c r="P939">
        <v>1</v>
      </c>
      <c r="Q939">
        <v>1</v>
      </c>
      <c r="R939">
        <v>1</v>
      </c>
      <c r="S939" t="s">
        <v>1056</v>
      </c>
    </row>
    <row r="940" spans="1:19">
      <c r="A940" t="s">
        <v>1020</v>
      </c>
      <c r="B940" t="s">
        <v>26</v>
      </c>
      <c r="C940" t="s">
        <v>35</v>
      </c>
      <c r="D940" s="8">
        <v>45958</v>
      </c>
      <c r="E940" s="8">
        <v>45963</v>
      </c>
      <c r="F940" s="8">
        <v>45965</v>
      </c>
      <c r="G940" s="8">
        <v>45969</v>
      </c>
      <c r="H940" t="s">
        <v>22</v>
      </c>
      <c r="J940" s="8">
        <v>45981</v>
      </c>
      <c r="K940">
        <v>5</v>
      </c>
      <c r="L940">
        <v>2</v>
      </c>
      <c r="M940">
        <v>4</v>
      </c>
      <c r="N940">
        <v>0</v>
      </c>
      <c r="O940">
        <v>1</v>
      </c>
      <c r="P940">
        <v>1</v>
      </c>
      <c r="Q940">
        <v>1</v>
      </c>
      <c r="R940">
        <v>1</v>
      </c>
      <c r="S940" t="s">
        <v>1056</v>
      </c>
    </row>
    <row r="941" spans="1:19">
      <c r="A941" t="s">
        <v>1027</v>
      </c>
      <c r="B941" t="s">
        <v>26</v>
      </c>
      <c r="C941" t="s">
        <v>35</v>
      </c>
      <c r="D941" s="8">
        <v>45958</v>
      </c>
      <c r="E941" s="8">
        <v>45963</v>
      </c>
      <c r="F941" s="8">
        <v>45966</v>
      </c>
      <c r="G941" s="8">
        <v>45972</v>
      </c>
      <c r="H941" t="s">
        <v>22</v>
      </c>
      <c r="J941" s="8">
        <v>46000</v>
      </c>
      <c r="K941">
        <v>5</v>
      </c>
      <c r="L941">
        <v>3</v>
      </c>
      <c r="M941">
        <v>6</v>
      </c>
      <c r="N941">
        <v>1</v>
      </c>
      <c r="O941">
        <v>1</v>
      </c>
      <c r="P941">
        <v>1</v>
      </c>
      <c r="Q941">
        <v>1</v>
      </c>
      <c r="R941">
        <v>1</v>
      </c>
      <c r="S941" t="s">
        <v>1056</v>
      </c>
    </row>
    <row r="942" spans="1:19">
      <c r="A942" t="s">
        <v>1032</v>
      </c>
      <c r="B942" t="s">
        <v>26</v>
      </c>
      <c r="C942" t="s">
        <v>21</v>
      </c>
      <c r="D942" s="8">
        <v>45938</v>
      </c>
      <c r="E942" s="8">
        <v>45943</v>
      </c>
      <c r="F942" s="8">
        <v>45945</v>
      </c>
      <c r="G942" s="8">
        <v>45948</v>
      </c>
      <c r="H942" t="s">
        <v>22</v>
      </c>
      <c r="J942" s="8">
        <v>45974</v>
      </c>
      <c r="K942">
        <v>5</v>
      </c>
      <c r="L942">
        <v>2</v>
      </c>
      <c r="M942">
        <v>3</v>
      </c>
      <c r="N942">
        <v>4</v>
      </c>
      <c r="O942">
        <v>1</v>
      </c>
      <c r="P942">
        <v>1</v>
      </c>
      <c r="Q942">
        <v>1</v>
      </c>
      <c r="R942">
        <v>1</v>
      </c>
      <c r="S942" t="s">
        <v>1056</v>
      </c>
    </row>
    <row r="943" spans="1:19">
      <c r="A943" t="s">
        <v>74</v>
      </c>
      <c r="B943" t="s">
        <v>26</v>
      </c>
      <c r="C943" t="s">
        <v>21</v>
      </c>
      <c r="D943" s="8">
        <v>45939</v>
      </c>
      <c r="E943" s="8">
        <v>45940</v>
      </c>
      <c r="F943" s="8">
        <v>45944</v>
      </c>
      <c r="G943" s="8">
        <v>45951</v>
      </c>
      <c r="H943" t="s">
        <v>22</v>
      </c>
      <c r="J943" s="8">
        <v>45973</v>
      </c>
      <c r="K943">
        <v>1</v>
      </c>
      <c r="L943">
        <v>4</v>
      </c>
      <c r="M943">
        <v>7</v>
      </c>
      <c r="N943">
        <v>7</v>
      </c>
      <c r="O943">
        <v>1</v>
      </c>
      <c r="P943">
        <v>1</v>
      </c>
      <c r="Q943">
        <v>1</v>
      </c>
      <c r="R943">
        <v>1</v>
      </c>
      <c r="S943" t="s">
        <v>1057</v>
      </c>
    </row>
    <row r="944" spans="1:19">
      <c r="A944" t="s">
        <v>86</v>
      </c>
      <c r="B944" t="s">
        <v>26</v>
      </c>
      <c r="C944" t="s">
        <v>21</v>
      </c>
      <c r="D944" s="8">
        <v>45946</v>
      </c>
      <c r="E944" s="8">
        <v>45949</v>
      </c>
      <c r="F944" s="8">
        <v>45954</v>
      </c>
      <c r="G944" s="8">
        <v>45959</v>
      </c>
      <c r="H944" t="s">
        <v>22</v>
      </c>
      <c r="J944" s="8">
        <v>45984</v>
      </c>
      <c r="K944">
        <v>3</v>
      </c>
      <c r="L944">
        <v>5</v>
      </c>
      <c r="M944">
        <v>5</v>
      </c>
      <c r="N944">
        <v>8</v>
      </c>
      <c r="O944">
        <v>1</v>
      </c>
      <c r="P944">
        <v>1</v>
      </c>
      <c r="Q944">
        <v>1</v>
      </c>
      <c r="R944">
        <v>1</v>
      </c>
      <c r="S944" t="s">
        <v>1057</v>
      </c>
    </row>
    <row r="945" spans="1:19">
      <c r="A945" t="s">
        <v>122</v>
      </c>
      <c r="B945" t="s">
        <v>26</v>
      </c>
      <c r="C945" t="s">
        <v>35</v>
      </c>
      <c r="D945" s="8">
        <v>45956</v>
      </c>
      <c r="E945" s="8">
        <v>45957</v>
      </c>
      <c r="F945" s="8">
        <v>45961</v>
      </c>
      <c r="G945" s="8">
        <v>45966</v>
      </c>
      <c r="H945" t="s">
        <v>22</v>
      </c>
      <c r="J945" s="8">
        <v>45983</v>
      </c>
      <c r="K945">
        <v>1</v>
      </c>
      <c r="L945">
        <v>4</v>
      </c>
      <c r="M945">
        <v>5</v>
      </c>
      <c r="N945">
        <v>8</v>
      </c>
      <c r="O945">
        <v>1</v>
      </c>
      <c r="P945">
        <v>1</v>
      </c>
      <c r="Q945">
        <v>1</v>
      </c>
      <c r="R945">
        <v>1</v>
      </c>
      <c r="S945" t="s">
        <v>1057</v>
      </c>
    </row>
    <row r="946" spans="1:19">
      <c r="A946" t="s">
        <v>190</v>
      </c>
      <c r="B946" t="s">
        <v>26</v>
      </c>
      <c r="C946" t="s">
        <v>35</v>
      </c>
      <c r="D946" s="8">
        <v>45935</v>
      </c>
      <c r="E946" s="8">
        <v>45938</v>
      </c>
      <c r="F946" s="8">
        <v>45942</v>
      </c>
      <c r="G946" s="8">
        <v>45945</v>
      </c>
      <c r="H946" t="s">
        <v>22</v>
      </c>
      <c r="J946" s="8">
        <v>45969</v>
      </c>
      <c r="K946">
        <v>3</v>
      </c>
      <c r="L946">
        <v>4</v>
      </c>
      <c r="M946">
        <v>3</v>
      </c>
      <c r="N946">
        <v>8</v>
      </c>
      <c r="O946">
        <v>1</v>
      </c>
      <c r="P946">
        <v>1</v>
      </c>
      <c r="Q946">
        <v>1</v>
      </c>
      <c r="R946">
        <v>1</v>
      </c>
      <c r="S946" t="s">
        <v>1057</v>
      </c>
    </row>
    <row r="947" spans="1:19">
      <c r="A947" t="s">
        <v>195</v>
      </c>
      <c r="B947" t="s">
        <v>26</v>
      </c>
      <c r="C947" t="s">
        <v>35</v>
      </c>
      <c r="D947" s="8">
        <v>45934</v>
      </c>
      <c r="E947" s="8">
        <v>45937</v>
      </c>
      <c r="F947" s="8">
        <v>45940</v>
      </c>
      <c r="G947" s="8">
        <v>45945</v>
      </c>
      <c r="H947" t="s">
        <v>22</v>
      </c>
      <c r="J947" s="8">
        <v>45955</v>
      </c>
      <c r="K947">
        <v>3</v>
      </c>
      <c r="L947">
        <v>3</v>
      </c>
      <c r="M947">
        <v>5</v>
      </c>
      <c r="N947">
        <v>7</v>
      </c>
      <c r="O947">
        <v>1</v>
      </c>
      <c r="P947">
        <v>1</v>
      </c>
      <c r="Q947">
        <v>1</v>
      </c>
      <c r="R947">
        <v>1</v>
      </c>
      <c r="S947" t="s">
        <v>1057</v>
      </c>
    </row>
    <row r="948" spans="1:19">
      <c r="A948" t="s">
        <v>220</v>
      </c>
      <c r="B948" t="s">
        <v>26</v>
      </c>
      <c r="C948" t="s">
        <v>35</v>
      </c>
      <c r="D948" s="8">
        <v>45932</v>
      </c>
      <c r="E948" s="8">
        <v>45937</v>
      </c>
      <c r="F948" s="8">
        <v>45940</v>
      </c>
      <c r="G948" s="8">
        <v>45945</v>
      </c>
      <c r="H948" t="s">
        <v>22</v>
      </c>
      <c r="J948" s="8">
        <v>45974</v>
      </c>
      <c r="K948">
        <v>5</v>
      </c>
      <c r="L948">
        <v>3</v>
      </c>
      <c r="M948">
        <v>5</v>
      </c>
      <c r="N948">
        <v>7</v>
      </c>
      <c r="O948">
        <v>1</v>
      </c>
      <c r="P948">
        <v>1</v>
      </c>
      <c r="Q948">
        <v>1</v>
      </c>
      <c r="R948">
        <v>1</v>
      </c>
      <c r="S948" t="s">
        <v>1057</v>
      </c>
    </row>
    <row r="949" spans="1:19">
      <c r="A949" t="s">
        <v>264</v>
      </c>
      <c r="B949" t="s">
        <v>26</v>
      </c>
      <c r="C949" t="s">
        <v>21</v>
      </c>
      <c r="D949" s="8">
        <v>45936</v>
      </c>
      <c r="E949" s="8">
        <v>45941</v>
      </c>
      <c r="F949" s="8">
        <v>45942</v>
      </c>
      <c r="G949" s="8">
        <v>45949</v>
      </c>
      <c r="H949" t="s">
        <v>22</v>
      </c>
      <c r="J949" s="8">
        <v>45972</v>
      </c>
      <c r="K949">
        <v>5</v>
      </c>
      <c r="L949">
        <v>1</v>
      </c>
      <c r="M949">
        <v>7</v>
      </c>
      <c r="N949">
        <v>8</v>
      </c>
      <c r="O949">
        <v>1</v>
      </c>
      <c r="P949">
        <v>1</v>
      </c>
      <c r="Q949">
        <v>1</v>
      </c>
      <c r="R949">
        <v>1</v>
      </c>
      <c r="S949" t="s">
        <v>1057</v>
      </c>
    </row>
    <row r="950" spans="1:19">
      <c r="A950" t="s">
        <v>281</v>
      </c>
      <c r="B950" t="s">
        <v>26</v>
      </c>
      <c r="C950" t="s">
        <v>21</v>
      </c>
      <c r="D950" s="8">
        <v>45940</v>
      </c>
      <c r="E950" s="8">
        <v>45942</v>
      </c>
      <c r="F950" s="8">
        <v>45947</v>
      </c>
      <c r="G950" s="8">
        <v>45950</v>
      </c>
      <c r="H950" t="s">
        <v>22</v>
      </c>
      <c r="J950" s="8">
        <v>45969</v>
      </c>
      <c r="K950">
        <v>2</v>
      </c>
      <c r="L950">
        <v>5</v>
      </c>
      <c r="M950">
        <v>3</v>
      </c>
      <c r="N950">
        <v>7</v>
      </c>
      <c r="O950">
        <v>1</v>
      </c>
      <c r="P950">
        <v>1</v>
      </c>
      <c r="Q950">
        <v>1</v>
      </c>
      <c r="R950">
        <v>1</v>
      </c>
      <c r="S950" t="s">
        <v>1057</v>
      </c>
    </row>
    <row r="951" spans="1:19">
      <c r="A951" t="s">
        <v>369</v>
      </c>
      <c r="B951" t="s">
        <v>26</v>
      </c>
      <c r="C951" t="s">
        <v>35</v>
      </c>
      <c r="D951" s="8">
        <v>45944</v>
      </c>
      <c r="E951" s="8">
        <v>45945</v>
      </c>
      <c r="F951" s="8">
        <v>45947</v>
      </c>
      <c r="G951" s="8">
        <v>45951</v>
      </c>
      <c r="H951" t="s">
        <v>22</v>
      </c>
      <c r="J951" s="8">
        <v>45962</v>
      </c>
      <c r="K951">
        <v>1</v>
      </c>
      <c r="L951">
        <v>2</v>
      </c>
      <c r="M951">
        <v>4</v>
      </c>
      <c r="N951">
        <v>7</v>
      </c>
      <c r="O951">
        <v>1</v>
      </c>
      <c r="P951">
        <v>1</v>
      </c>
      <c r="Q951">
        <v>1</v>
      </c>
      <c r="R951">
        <v>1</v>
      </c>
      <c r="S951" t="s">
        <v>1057</v>
      </c>
    </row>
    <row r="952" spans="1:19">
      <c r="A952" t="s">
        <v>393</v>
      </c>
      <c r="B952" t="s">
        <v>26</v>
      </c>
      <c r="C952" t="s">
        <v>21</v>
      </c>
      <c r="D952" s="8">
        <v>45948</v>
      </c>
      <c r="E952" s="8">
        <v>45953</v>
      </c>
      <c r="F952" s="8">
        <v>45957</v>
      </c>
      <c r="G952" s="8">
        <v>45964</v>
      </c>
      <c r="H952" t="s">
        <v>22</v>
      </c>
      <c r="J952" s="8">
        <v>45990</v>
      </c>
      <c r="K952">
        <v>5</v>
      </c>
      <c r="L952">
        <v>4</v>
      </c>
      <c r="M952">
        <v>7</v>
      </c>
      <c r="N952">
        <v>8</v>
      </c>
      <c r="O952">
        <v>1</v>
      </c>
      <c r="P952">
        <v>1</v>
      </c>
      <c r="Q952">
        <v>1</v>
      </c>
      <c r="R952">
        <v>1</v>
      </c>
      <c r="S952" t="s">
        <v>1057</v>
      </c>
    </row>
    <row r="953" spans="1:19">
      <c r="A953" t="s">
        <v>439</v>
      </c>
      <c r="B953" t="s">
        <v>26</v>
      </c>
      <c r="C953" t="s">
        <v>35</v>
      </c>
      <c r="D953" s="8">
        <v>45953</v>
      </c>
      <c r="E953" s="8">
        <v>45957</v>
      </c>
      <c r="F953" s="8">
        <v>45959</v>
      </c>
      <c r="G953" s="8">
        <v>45961</v>
      </c>
      <c r="H953" t="s">
        <v>22</v>
      </c>
      <c r="J953" s="8">
        <v>45972</v>
      </c>
      <c r="K953">
        <v>4</v>
      </c>
      <c r="L953">
        <v>2</v>
      </c>
      <c r="M953">
        <v>2</v>
      </c>
      <c r="N953">
        <v>7</v>
      </c>
      <c r="O953">
        <v>1</v>
      </c>
      <c r="P953">
        <v>1</v>
      </c>
      <c r="Q953">
        <v>1</v>
      </c>
      <c r="R953">
        <v>1</v>
      </c>
      <c r="S953" t="s">
        <v>1057</v>
      </c>
    </row>
    <row r="954" spans="1:19">
      <c r="A954" t="s">
        <v>445</v>
      </c>
      <c r="B954" t="s">
        <v>26</v>
      </c>
      <c r="C954" t="s">
        <v>35</v>
      </c>
      <c r="D954" s="8">
        <v>45944</v>
      </c>
      <c r="E954" s="8">
        <v>45949</v>
      </c>
      <c r="F954" s="8">
        <v>45954</v>
      </c>
      <c r="G954" s="8">
        <v>45958</v>
      </c>
      <c r="H954" t="s">
        <v>22</v>
      </c>
      <c r="J954" s="8">
        <v>45969</v>
      </c>
      <c r="K954">
        <v>5</v>
      </c>
      <c r="L954">
        <v>5</v>
      </c>
      <c r="M954">
        <v>4</v>
      </c>
      <c r="N954">
        <v>7</v>
      </c>
      <c r="O954">
        <v>1</v>
      </c>
      <c r="P954">
        <v>1</v>
      </c>
      <c r="Q954">
        <v>1</v>
      </c>
      <c r="R954">
        <v>1</v>
      </c>
      <c r="S954" t="s">
        <v>1057</v>
      </c>
    </row>
    <row r="955" spans="1:19">
      <c r="A955" t="s">
        <v>461</v>
      </c>
      <c r="B955" t="s">
        <v>26</v>
      </c>
      <c r="C955" t="s">
        <v>21</v>
      </c>
      <c r="D955" s="8">
        <v>45947</v>
      </c>
      <c r="E955" s="8">
        <v>45949</v>
      </c>
      <c r="F955" s="8">
        <v>45954</v>
      </c>
      <c r="G955" s="8">
        <v>45960</v>
      </c>
      <c r="H955" t="s">
        <v>22</v>
      </c>
      <c r="J955" s="8">
        <v>45984</v>
      </c>
      <c r="K955">
        <v>2</v>
      </c>
      <c r="L955">
        <v>5</v>
      </c>
      <c r="M955">
        <v>6</v>
      </c>
      <c r="N955">
        <v>8</v>
      </c>
      <c r="O955">
        <v>1</v>
      </c>
      <c r="P955">
        <v>1</v>
      </c>
      <c r="Q955">
        <v>1</v>
      </c>
      <c r="R955">
        <v>1</v>
      </c>
      <c r="S955" t="s">
        <v>1057</v>
      </c>
    </row>
    <row r="956" spans="1:19">
      <c r="A956" t="s">
        <v>506</v>
      </c>
      <c r="B956" t="s">
        <v>26</v>
      </c>
      <c r="C956" t="s">
        <v>21</v>
      </c>
      <c r="D956" s="8">
        <v>45946</v>
      </c>
      <c r="E956" s="8">
        <v>45949</v>
      </c>
      <c r="F956" s="8">
        <v>45953</v>
      </c>
      <c r="G956" s="8">
        <v>45956</v>
      </c>
      <c r="H956" t="s">
        <v>22</v>
      </c>
      <c r="J956" s="8">
        <v>45973</v>
      </c>
      <c r="K956">
        <v>3</v>
      </c>
      <c r="L956">
        <v>4</v>
      </c>
      <c r="M956">
        <v>3</v>
      </c>
      <c r="N956">
        <v>8</v>
      </c>
      <c r="O956">
        <v>1</v>
      </c>
      <c r="P956">
        <v>1</v>
      </c>
      <c r="Q956">
        <v>1</v>
      </c>
      <c r="R956">
        <v>1</v>
      </c>
      <c r="S956" t="s">
        <v>1057</v>
      </c>
    </row>
    <row r="957" spans="1:19">
      <c r="A957" t="s">
        <v>514</v>
      </c>
      <c r="B957" t="s">
        <v>26</v>
      </c>
      <c r="C957" t="s">
        <v>21</v>
      </c>
      <c r="D957" s="8">
        <v>45960</v>
      </c>
      <c r="E957" s="8">
        <v>45962</v>
      </c>
      <c r="F957" s="8">
        <v>45965</v>
      </c>
      <c r="G957" s="8">
        <v>45971</v>
      </c>
      <c r="H957" t="s">
        <v>22</v>
      </c>
      <c r="J957" s="8">
        <v>45992</v>
      </c>
      <c r="K957">
        <v>2</v>
      </c>
      <c r="L957">
        <v>3</v>
      </c>
      <c r="M957">
        <v>6</v>
      </c>
      <c r="N957">
        <v>8</v>
      </c>
      <c r="O957">
        <v>1</v>
      </c>
      <c r="P957">
        <v>1</v>
      </c>
      <c r="Q957">
        <v>1</v>
      </c>
      <c r="R957">
        <v>1</v>
      </c>
      <c r="S957" t="s">
        <v>1057</v>
      </c>
    </row>
    <row r="958" spans="1:19">
      <c r="A958" t="s">
        <v>532</v>
      </c>
      <c r="B958" t="s">
        <v>26</v>
      </c>
      <c r="C958" t="s">
        <v>35</v>
      </c>
      <c r="D958" s="8">
        <v>45956</v>
      </c>
      <c r="E958" s="8">
        <v>45961</v>
      </c>
      <c r="F958" s="8">
        <v>45962</v>
      </c>
      <c r="G958" s="8">
        <v>45967</v>
      </c>
      <c r="H958" t="s">
        <v>22</v>
      </c>
      <c r="J958" s="8">
        <v>45992</v>
      </c>
      <c r="K958">
        <v>5</v>
      </c>
      <c r="L958">
        <v>1</v>
      </c>
      <c r="M958">
        <v>5</v>
      </c>
      <c r="N958">
        <v>7</v>
      </c>
      <c r="O958">
        <v>1</v>
      </c>
      <c r="P958">
        <v>1</v>
      </c>
      <c r="Q958">
        <v>1</v>
      </c>
      <c r="R958">
        <v>1</v>
      </c>
      <c r="S958" t="s">
        <v>1057</v>
      </c>
    </row>
    <row r="959" spans="1:19">
      <c r="A959" t="s">
        <v>672</v>
      </c>
      <c r="B959" t="s">
        <v>26</v>
      </c>
      <c r="C959" t="s">
        <v>21</v>
      </c>
      <c r="D959" s="8">
        <v>45940</v>
      </c>
      <c r="E959" s="8">
        <v>45942</v>
      </c>
      <c r="F959" s="8">
        <v>45945</v>
      </c>
      <c r="G959" s="8">
        <v>45950</v>
      </c>
      <c r="H959" t="s">
        <v>22</v>
      </c>
      <c r="J959" s="8">
        <v>45963</v>
      </c>
      <c r="K959">
        <v>2</v>
      </c>
      <c r="L959">
        <v>3</v>
      </c>
      <c r="M959">
        <v>5</v>
      </c>
      <c r="N959">
        <v>8</v>
      </c>
      <c r="O959">
        <v>1</v>
      </c>
      <c r="P959">
        <v>1</v>
      </c>
      <c r="Q959">
        <v>1</v>
      </c>
      <c r="R959">
        <v>1</v>
      </c>
      <c r="S959" t="s">
        <v>1057</v>
      </c>
    </row>
    <row r="960" spans="1:19">
      <c r="A960" t="s">
        <v>699</v>
      </c>
      <c r="B960" t="s">
        <v>26</v>
      </c>
      <c r="C960" t="s">
        <v>21</v>
      </c>
      <c r="D960" s="8">
        <v>45950</v>
      </c>
      <c r="E960" s="8">
        <v>45953</v>
      </c>
      <c r="F960" s="8">
        <v>45957</v>
      </c>
      <c r="G960" s="8">
        <v>45960</v>
      </c>
      <c r="H960" t="s">
        <v>22</v>
      </c>
      <c r="J960" s="8">
        <v>45979</v>
      </c>
      <c r="K960">
        <v>3</v>
      </c>
      <c r="L960">
        <v>4</v>
      </c>
      <c r="M960">
        <v>3</v>
      </c>
      <c r="N960">
        <v>7</v>
      </c>
      <c r="O960">
        <v>1</v>
      </c>
      <c r="P960">
        <v>1</v>
      </c>
      <c r="Q960">
        <v>1</v>
      </c>
      <c r="R960">
        <v>1</v>
      </c>
      <c r="S960" t="s">
        <v>1057</v>
      </c>
    </row>
    <row r="961" spans="1:19">
      <c r="A961" t="s">
        <v>715</v>
      </c>
      <c r="B961" t="s">
        <v>26</v>
      </c>
      <c r="C961" t="s">
        <v>35</v>
      </c>
      <c r="D961" s="8">
        <v>45950</v>
      </c>
      <c r="E961" s="8">
        <v>45952</v>
      </c>
      <c r="F961" s="8">
        <v>45955</v>
      </c>
      <c r="G961" s="8">
        <v>45957</v>
      </c>
      <c r="H961" t="s">
        <v>22</v>
      </c>
      <c r="J961" s="8">
        <v>45973</v>
      </c>
      <c r="K961">
        <v>2</v>
      </c>
      <c r="L961">
        <v>3</v>
      </c>
      <c r="M961">
        <v>2</v>
      </c>
      <c r="N961">
        <v>8</v>
      </c>
      <c r="O961">
        <v>1</v>
      </c>
      <c r="P961">
        <v>1</v>
      </c>
      <c r="Q961">
        <v>1</v>
      </c>
      <c r="R961">
        <v>1</v>
      </c>
      <c r="S961" t="s">
        <v>1057</v>
      </c>
    </row>
    <row r="962" spans="1:19">
      <c r="A962" t="s">
        <v>725</v>
      </c>
      <c r="B962" t="s">
        <v>26</v>
      </c>
      <c r="C962" t="s">
        <v>35</v>
      </c>
      <c r="D962" s="8">
        <v>45951</v>
      </c>
      <c r="E962" s="8">
        <v>45953</v>
      </c>
      <c r="F962" s="8">
        <v>45954</v>
      </c>
      <c r="G962" s="8">
        <v>45961</v>
      </c>
      <c r="H962" t="s">
        <v>22</v>
      </c>
      <c r="J962" s="8">
        <v>45984</v>
      </c>
      <c r="K962">
        <v>2</v>
      </c>
      <c r="L962">
        <v>1</v>
      </c>
      <c r="M962">
        <v>7</v>
      </c>
      <c r="N962">
        <v>8</v>
      </c>
      <c r="O962">
        <v>1</v>
      </c>
      <c r="P962">
        <v>1</v>
      </c>
      <c r="Q962">
        <v>1</v>
      </c>
      <c r="R962">
        <v>1</v>
      </c>
      <c r="S962" t="s">
        <v>1057</v>
      </c>
    </row>
    <row r="963" spans="1:19">
      <c r="A963" t="s">
        <v>726</v>
      </c>
      <c r="B963" t="s">
        <v>26</v>
      </c>
      <c r="C963" t="s">
        <v>35</v>
      </c>
      <c r="D963" s="8">
        <v>45934</v>
      </c>
      <c r="E963" s="8">
        <v>45935</v>
      </c>
      <c r="F963" s="8">
        <v>45937</v>
      </c>
      <c r="G963" s="8">
        <v>45943</v>
      </c>
      <c r="H963" t="s">
        <v>22</v>
      </c>
      <c r="J963" s="8">
        <v>45954</v>
      </c>
      <c r="K963">
        <v>1</v>
      </c>
      <c r="L963">
        <v>2</v>
      </c>
      <c r="M963">
        <v>6</v>
      </c>
      <c r="N963">
        <v>7</v>
      </c>
      <c r="O963">
        <v>1</v>
      </c>
      <c r="P963">
        <v>1</v>
      </c>
      <c r="Q963">
        <v>1</v>
      </c>
      <c r="R963">
        <v>1</v>
      </c>
      <c r="S963" t="s">
        <v>1057</v>
      </c>
    </row>
    <row r="964" spans="1:19">
      <c r="A964" t="s">
        <v>743</v>
      </c>
      <c r="B964" t="s">
        <v>26</v>
      </c>
      <c r="C964" t="s">
        <v>21</v>
      </c>
      <c r="D964" s="8">
        <v>45954</v>
      </c>
      <c r="E964" s="8">
        <v>45958</v>
      </c>
      <c r="F964" s="8">
        <v>45960</v>
      </c>
      <c r="G964" s="8">
        <v>45963</v>
      </c>
      <c r="H964" t="s">
        <v>22</v>
      </c>
      <c r="J964" s="8">
        <v>45988</v>
      </c>
      <c r="K964">
        <v>4</v>
      </c>
      <c r="L964">
        <v>2</v>
      </c>
      <c r="M964">
        <v>3</v>
      </c>
      <c r="N964">
        <v>8</v>
      </c>
      <c r="O964">
        <v>1</v>
      </c>
      <c r="P964">
        <v>1</v>
      </c>
      <c r="Q964">
        <v>1</v>
      </c>
      <c r="R964">
        <v>1</v>
      </c>
      <c r="S964" t="s">
        <v>1057</v>
      </c>
    </row>
    <row r="965" spans="1:19">
      <c r="A965" t="s">
        <v>771</v>
      </c>
      <c r="B965" t="s">
        <v>26</v>
      </c>
      <c r="C965" t="s">
        <v>35</v>
      </c>
      <c r="D965" s="8">
        <v>45945</v>
      </c>
      <c r="E965" s="8">
        <v>45946</v>
      </c>
      <c r="F965" s="8">
        <v>45950</v>
      </c>
      <c r="G965" s="8">
        <v>45956</v>
      </c>
      <c r="H965" t="s">
        <v>22</v>
      </c>
      <c r="J965" s="8">
        <v>45967</v>
      </c>
      <c r="K965">
        <v>1</v>
      </c>
      <c r="L965">
        <v>4</v>
      </c>
      <c r="M965">
        <v>6</v>
      </c>
      <c r="N965">
        <v>7</v>
      </c>
      <c r="O965">
        <v>1</v>
      </c>
      <c r="P965">
        <v>1</v>
      </c>
      <c r="Q965">
        <v>1</v>
      </c>
      <c r="R965">
        <v>1</v>
      </c>
      <c r="S965" t="s">
        <v>1057</v>
      </c>
    </row>
    <row r="966" spans="1:19">
      <c r="A966" t="s">
        <v>781</v>
      </c>
      <c r="B966" t="s">
        <v>26</v>
      </c>
      <c r="C966" t="s">
        <v>21</v>
      </c>
      <c r="D966" s="8">
        <v>45952</v>
      </c>
      <c r="E966" s="8">
        <v>45953</v>
      </c>
      <c r="F966" s="8">
        <v>45957</v>
      </c>
      <c r="G966" s="8">
        <v>45963</v>
      </c>
      <c r="H966" t="s">
        <v>22</v>
      </c>
      <c r="J966" s="8">
        <v>45973</v>
      </c>
      <c r="K966">
        <v>1</v>
      </c>
      <c r="L966">
        <v>4</v>
      </c>
      <c r="M966">
        <v>6</v>
      </c>
      <c r="N966">
        <v>7</v>
      </c>
      <c r="O966">
        <v>1</v>
      </c>
      <c r="P966">
        <v>1</v>
      </c>
      <c r="Q966">
        <v>1</v>
      </c>
      <c r="R966">
        <v>1</v>
      </c>
      <c r="S966" t="s">
        <v>1057</v>
      </c>
    </row>
    <row r="967" spans="1:19">
      <c r="A967" t="s">
        <v>783</v>
      </c>
      <c r="B967" t="s">
        <v>26</v>
      </c>
      <c r="C967" t="s">
        <v>35</v>
      </c>
      <c r="D967" s="8">
        <v>45961</v>
      </c>
      <c r="E967" s="8">
        <v>45964</v>
      </c>
      <c r="F967" s="8">
        <v>45968</v>
      </c>
      <c r="G967" s="8">
        <v>45975</v>
      </c>
      <c r="H967" t="s">
        <v>22</v>
      </c>
      <c r="J967" s="8">
        <v>46005</v>
      </c>
      <c r="K967">
        <v>3</v>
      </c>
      <c r="L967">
        <v>4</v>
      </c>
      <c r="M967">
        <v>7</v>
      </c>
      <c r="N967">
        <v>7</v>
      </c>
      <c r="O967">
        <v>1</v>
      </c>
      <c r="P967">
        <v>1</v>
      </c>
      <c r="Q967">
        <v>1</v>
      </c>
      <c r="R967">
        <v>1</v>
      </c>
      <c r="S967" t="s">
        <v>1057</v>
      </c>
    </row>
    <row r="968" spans="1:19">
      <c r="A968" t="s">
        <v>818</v>
      </c>
      <c r="B968" t="s">
        <v>26</v>
      </c>
      <c r="C968" t="s">
        <v>35</v>
      </c>
      <c r="D968" s="8">
        <v>45950</v>
      </c>
      <c r="E968" s="8">
        <v>45952</v>
      </c>
      <c r="F968" s="8">
        <v>45953</v>
      </c>
      <c r="G968" s="8">
        <v>45955</v>
      </c>
      <c r="H968" t="s">
        <v>22</v>
      </c>
      <c r="J968" s="8">
        <v>45980</v>
      </c>
      <c r="K968">
        <v>2</v>
      </c>
      <c r="L968">
        <v>1</v>
      </c>
      <c r="M968">
        <v>2</v>
      </c>
      <c r="N968">
        <v>7</v>
      </c>
      <c r="O968">
        <v>1</v>
      </c>
      <c r="P968">
        <v>1</v>
      </c>
      <c r="Q968">
        <v>1</v>
      </c>
      <c r="R968">
        <v>1</v>
      </c>
      <c r="S968" t="s">
        <v>1057</v>
      </c>
    </row>
    <row r="969" spans="1:19">
      <c r="A969" t="s">
        <v>824</v>
      </c>
      <c r="B969" t="s">
        <v>26</v>
      </c>
      <c r="C969" t="s">
        <v>21</v>
      </c>
      <c r="D969" s="8">
        <v>45945</v>
      </c>
      <c r="E969" s="8">
        <v>45947</v>
      </c>
      <c r="F969" s="8">
        <v>45948</v>
      </c>
      <c r="G969" s="8">
        <v>45953</v>
      </c>
      <c r="H969" t="s">
        <v>22</v>
      </c>
      <c r="J969" s="8">
        <v>45963</v>
      </c>
      <c r="K969">
        <v>2</v>
      </c>
      <c r="L969">
        <v>1</v>
      </c>
      <c r="M969">
        <v>5</v>
      </c>
      <c r="N969">
        <v>8</v>
      </c>
      <c r="O969">
        <v>1</v>
      </c>
      <c r="P969">
        <v>1</v>
      </c>
      <c r="Q969">
        <v>1</v>
      </c>
      <c r="R969">
        <v>1</v>
      </c>
      <c r="S969" t="s">
        <v>1057</v>
      </c>
    </row>
    <row r="970" spans="1:19">
      <c r="A970" t="s">
        <v>867</v>
      </c>
      <c r="B970" t="s">
        <v>26</v>
      </c>
      <c r="C970" t="s">
        <v>35</v>
      </c>
      <c r="D970" s="8">
        <v>45939</v>
      </c>
      <c r="E970" s="8">
        <v>45944</v>
      </c>
      <c r="F970" s="8">
        <v>45948</v>
      </c>
      <c r="G970" s="8">
        <v>45951</v>
      </c>
      <c r="H970" t="s">
        <v>22</v>
      </c>
      <c r="J970" s="8">
        <v>45973</v>
      </c>
      <c r="K970">
        <v>5</v>
      </c>
      <c r="L970">
        <v>4</v>
      </c>
      <c r="M970">
        <v>3</v>
      </c>
      <c r="N970">
        <v>8</v>
      </c>
      <c r="O970">
        <v>1</v>
      </c>
      <c r="P970">
        <v>1</v>
      </c>
      <c r="Q970">
        <v>1</v>
      </c>
      <c r="R970">
        <v>1</v>
      </c>
      <c r="S970" t="s">
        <v>1057</v>
      </c>
    </row>
    <row r="971" spans="1:19">
      <c r="A971" t="s">
        <v>917</v>
      </c>
      <c r="B971" t="s">
        <v>26</v>
      </c>
      <c r="C971" t="s">
        <v>35</v>
      </c>
      <c r="D971" s="8">
        <v>45957</v>
      </c>
      <c r="E971" s="8">
        <v>45961</v>
      </c>
      <c r="F971" s="8">
        <v>45963</v>
      </c>
      <c r="G971" s="8">
        <v>45968</v>
      </c>
      <c r="H971" t="s">
        <v>22</v>
      </c>
      <c r="J971" s="8">
        <v>45993</v>
      </c>
      <c r="K971">
        <v>4</v>
      </c>
      <c r="L971">
        <v>2</v>
      </c>
      <c r="M971">
        <v>5</v>
      </c>
      <c r="N971">
        <v>7</v>
      </c>
      <c r="O971">
        <v>1</v>
      </c>
      <c r="P971">
        <v>1</v>
      </c>
      <c r="Q971">
        <v>1</v>
      </c>
      <c r="R971">
        <v>1</v>
      </c>
      <c r="S971" t="s">
        <v>1057</v>
      </c>
    </row>
    <row r="972" spans="1:19">
      <c r="A972" t="s">
        <v>926</v>
      </c>
      <c r="B972" t="s">
        <v>26</v>
      </c>
      <c r="C972" t="s">
        <v>21</v>
      </c>
      <c r="D972" s="8">
        <v>45931</v>
      </c>
      <c r="E972" s="8">
        <v>45934</v>
      </c>
      <c r="F972" s="8">
        <v>45937</v>
      </c>
      <c r="G972" s="8">
        <v>45942</v>
      </c>
      <c r="H972" t="s">
        <v>22</v>
      </c>
      <c r="J972" s="8">
        <v>45954</v>
      </c>
      <c r="K972">
        <v>3</v>
      </c>
      <c r="L972">
        <v>3</v>
      </c>
      <c r="M972">
        <v>5</v>
      </c>
      <c r="N972">
        <v>7</v>
      </c>
      <c r="O972">
        <v>1</v>
      </c>
      <c r="P972">
        <v>1</v>
      </c>
      <c r="Q972">
        <v>1</v>
      </c>
      <c r="R972">
        <v>1</v>
      </c>
      <c r="S972" t="s">
        <v>1057</v>
      </c>
    </row>
    <row r="973" spans="1:19">
      <c r="A973" t="s">
        <v>945</v>
      </c>
      <c r="B973" t="s">
        <v>26</v>
      </c>
      <c r="C973" t="s">
        <v>35</v>
      </c>
      <c r="D973" s="8">
        <v>45949</v>
      </c>
      <c r="E973" s="8">
        <v>45951</v>
      </c>
      <c r="F973" s="8">
        <v>45956</v>
      </c>
      <c r="G973" s="8">
        <v>45960</v>
      </c>
      <c r="H973" t="s">
        <v>22</v>
      </c>
      <c r="J973" s="8">
        <v>45978</v>
      </c>
      <c r="K973">
        <v>2</v>
      </c>
      <c r="L973">
        <v>5</v>
      </c>
      <c r="M973">
        <v>4</v>
      </c>
      <c r="N973">
        <v>8</v>
      </c>
      <c r="O973">
        <v>1</v>
      </c>
      <c r="P973">
        <v>1</v>
      </c>
      <c r="Q973">
        <v>1</v>
      </c>
      <c r="R973">
        <v>1</v>
      </c>
      <c r="S973" t="s">
        <v>1057</v>
      </c>
    </row>
    <row r="974" spans="1:19">
      <c r="A974" t="s">
        <v>961</v>
      </c>
      <c r="B974" t="s">
        <v>26</v>
      </c>
      <c r="C974" t="s">
        <v>21</v>
      </c>
      <c r="D974" s="8">
        <v>45942</v>
      </c>
      <c r="E974" s="8">
        <v>45945</v>
      </c>
      <c r="F974" s="8">
        <v>45949</v>
      </c>
      <c r="G974" s="8">
        <v>45956</v>
      </c>
      <c r="H974" t="s">
        <v>22</v>
      </c>
      <c r="J974" s="8">
        <v>45970</v>
      </c>
      <c r="K974">
        <v>3</v>
      </c>
      <c r="L974">
        <v>4</v>
      </c>
      <c r="M974">
        <v>7</v>
      </c>
      <c r="N974">
        <v>8</v>
      </c>
      <c r="O974">
        <v>1</v>
      </c>
      <c r="P974">
        <v>1</v>
      </c>
      <c r="Q974">
        <v>1</v>
      </c>
      <c r="R974">
        <v>1</v>
      </c>
      <c r="S974" t="s">
        <v>1057</v>
      </c>
    </row>
    <row r="975" spans="1:19">
      <c r="A975" t="s">
        <v>971</v>
      </c>
      <c r="B975" t="s">
        <v>26</v>
      </c>
      <c r="C975" t="s">
        <v>35</v>
      </c>
      <c r="D975" s="8">
        <v>45954</v>
      </c>
      <c r="E975" s="8">
        <v>45956</v>
      </c>
      <c r="F975" s="8">
        <v>45961</v>
      </c>
      <c r="G975" s="8">
        <v>45965</v>
      </c>
      <c r="H975" t="s">
        <v>22</v>
      </c>
      <c r="J975" s="8">
        <v>45977</v>
      </c>
      <c r="K975">
        <v>2</v>
      </c>
      <c r="L975">
        <v>5</v>
      </c>
      <c r="M975">
        <v>4</v>
      </c>
      <c r="N975">
        <v>7</v>
      </c>
      <c r="O975">
        <v>1</v>
      </c>
      <c r="P975">
        <v>1</v>
      </c>
      <c r="Q975">
        <v>1</v>
      </c>
      <c r="R975">
        <v>1</v>
      </c>
      <c r="S975" t="s">
        <v>1057</v>
      </c>
    </row>
    <row r="976" spans="1:19">
      <c r="A976" t="s">
        <v>973</v>
      </c>
      <c r="B976" t="s">
        <v>26</v>
      </c>
      <c r="C976" t="s">
        <v>21</v>
      </c>
      <c r="D976" s="8">
        <v>45960</v>
      </c>
      <c r="E976" s="8">
        <v>45963</v>
      </c>
      <c r="F976" s="8">
        <v>45968</v>
      </c>
      <c r="G976" s="8">
        <v>45974</v>
      </c>
      <c r="H976" t="s">
        <v>22</v>
      </c>
      <c r="J976" s="8">
        <v>45995</v>
      </c>
      <c r="K976">
        <v>3</v>
      </c>
      <c r="L976">
        <v>5</v>
      </c>
      <c r="M976">
        <v>6</v>
      </c>
      <c r="N976">
        <v>8</v>
      </c>
      <c r="O976">
        <v>1</v>
      </c>
      <c r="P976">
        <v>1</v>
      </c>
      <c r="Q976">
        <v>1</v>
      </c>
      <c r="R976">
        <v>1</v>
      </c>
      <c r="S976" t="s">
        <v>1057</v>
      </c>
    </row>
    <row r="977" spans="1:19">
      <c r="A977" t="s">
        <v>981</v>
      </c>
      <c r="B977" t="s">
        <v>26</v>
      </c>
      <c r="C977" t="s">
        <v>21</v>
      </c>
      <c r="D977" s="8">
        <v>45931</v>
      </c>
      <c r="E977" s="8">
        <v>45936</v>
      </c>
      <c r="F977" s="8">
        <v>45941</v>
      </c>
      <c r="G977" s="8">
        <v>45945</v>
      </c>
      <c r="H977" t="s">
        <v>22</v>
      </c>
      <c r="J977" s="8">
        <v>45963</v>
      </c>
      <c r="K977">
        <v>5</v>
      </c>
      <c r="L977">
        <v>5</v>
      </c>
      <c r="M977">
        <v>4</v>
      </c>
      <c r="N977">
        <v>8</v>
      </c>
      <c r="O977">
        <v>1</v>
      </c>
      <c r="P977">
        <v>1</v>
      </c>
      <c r="Q977">
        <v>1</v>
      </c>
      <c r="R977">
        <v>1</v>
      </c>
      <c r="S977" t="s">
        <v>1057</v>
      </c>
    </row>
    <row r="978" spans="1:19">
      <c r="A978" t="s">
        <v>998</v>
      </c>
      <c r="B978" t="s">
        <v>26</v>
      </c>
      <c r="C978" t="s">
        <v>21</v>
      </c>
      <c r="D978" s="8">
        <v>45935</v>
      </c>
      <c r="E978" s="8">
        <v>45940</v>
      </c>
      <c r="F978" s="8">
        <v>45944</v>
      </c>
      <c r="G978" s="8">
        <v>45951</v>
      </c>
      <c r="H978" t="s">
        <v>22</v>
      </c>
      <c r="J978" s="8">
        <v>45979</v>
      </c>
      <c r="K978">
        <v>5</v>
      </c>
      <c r="L978">
        <v>4</v>
      </c>
      <c r="M978">
        <v>7</v>
      </c>
      <c r="N978">
        <v>7</v>
      </c>
      <c r="O978">
        <v>1</v>
      </c>
      <c r="P978">
        <v>1</v>
      </c>
      <c r="Q978">
        <v>1</v>
      </c>
      <c r="R978">
        <v>1</v>
      </c>
      <c r="S978" t="s">
        <v>1057</v>
      </c>
    </row>
    <row r="979" spans="1:19">
      <c r="A979" t="s">
        <v>1000</v>
      </c>
      <c r="B979" t="s">
        <v>26</v>
      </c>
      <c r="C979" t="s">
        <v>21</v>
      </c>
      <c r="D979" s="8">
        <v>45935</v>
      </c>
      <c r="E979" s="8">
        <v>45939</v>
      </c>
      <c r="F979" s="8">
        <v>45944</v>
      </c>
      <c r="G979" s="8">
        <v>45948</v>
      </c>
      <c r="H979" t="s">
        <v>22</v>
      </c>
      <c r="J979" s="8">
        <v>45963</v>
      </c>
      <c r="K979">
        <v>4</v>
      </c>
      <c r="L979">
        <v>5</v>
      </c>
      <c r="M979">
        <v>4</v>
      </c>
      <c r="N979">
        <v>7</v>
      </c>
      <c r="O979">
        <v>1</v>
      </c>
      <c r="P979">
        <v>1</v>
      </c>
      <c r="Q979">
        <v>1</v>
      </c>
      <c r="R979">
        <v>1</v>
      </c>
      <c r="S979" t="s">
        <v>1057</v>
      </c>
    </row>
    <row r="980" spans="1:19">
      <c r="A980" t="s">
        <v>1029</v>
      </c>
      <c r="B980" t="s">
        <v>26</v>
      </c>
      <c r="C980" t="s">
        <v>35</v>
      </c>
      <c r="D980" s="8">
        <v>45944</v>
      </c>
      <c r="E980" s="8">
        <v>45949</v>
      </c>
      <c r="F980" s="8">
        <v>45953</v>
      </c>
      <c r="G980" s="8">
        <v>45956</v>
      </c>
      <c r="H980" t="s">
        <v>22</v>
      </c>
      <c r="J980" s="8">
        <v>45973</v>
      </c>
      <c r="K980">
        <v>5</v>
      </c>
      <c r="L980">
        <v>4</v>
      </c>
      <c r="M980">
        <v>3</v>
      </c>
      <c r="N980">
        <v>7</v>
      </c>
      <c r="O980">
        <v>1</v>
      </c>
      <c r="P980">
        <v>1</v>
      </c>
      <c r="Q980">
        <v>1</v>
      </c>
      <c r="R980">
        <v>1</v>
      </c>
      <c r="S980" t="s">
        <v>1057</v>
      </c>
    </row>
    <row r="981" spans="1:19">
      <c r="A981" t="s">
        <v>34</v>
      </c>
      <c r="B981" t="s">
        <v>26</v>
      </c>
      <c r="C981" t="s">
        <v>35</v>
      </c>
      <c r="D981" s="8">
        <v>45946</v>
      </c>
      <c r="E981" s="8">
        <v>45950</v>
      </c>
      <c r="F981" s="8">
        <v>45951</v>
      </c>
      <c r="G981" s="8">
        <v>45958</v>
      </c>
      <c r="H981" t="s">
        <v>22</v>
      </c>
      <c r="J981" s="8">
        <v>45983</v>
      </c>
      <c r="K981">
        <v>4</v>
      </c>
      <c r="L981">
        <v>1</v>
      </c>
      <c r="M981">
        <v>7</v>
      </c>
      <c r="N981">
        <v>10</v>
      </c>
      <c r="O981">
        <v>1</v>
      </c>
      <c r="P981">
        <v>1</v>
      </c>
      <c r="Q981">
        <v>1</v>
      </c>
      <c r="R981">
        <v>1</v>
      </c>
      <c r="S981" t="s">
        <v>1058</v>
      </c>
    </row>
    <row r="982" spans="1:19">
      <c r="A982" t="s">
        <v>66</v>
      </c>
      <c r="B982" t="s">
        <v>26</v>
      </c>
      <c r="C982" t="s">
        <v>21</v>
      </c>
      <c r="D982" s="8">
        <v>45939</v>
      </c>
      <c r="E982" s="8">
        <v>45943</v>
      </c>
      <c r="F982" s="8">
        <v>45945</v>
      </c>
      <c r="G982" s="8">
        <v>45950</v>
      </c>
      <c r="H982" t="s">
        <v>22</v>
      </c>
      <c r="J982" s="8">
        <v>45976</v>
      </c>
      <c r="K982">
        <v>4</v>
      </c>
      <c r="L982">
        <v>2</v>
      </c>
      <c r="M982">
        <v>5</v>
      </c>
      <c r="N982">
        <v>9</v>
      </c>
      <c r="O982">
        <v>1</v>
      </c>
      <c r="P982">
        <v>1</v>
      </c>
      <c r="Q982">
        <v>1</v>
      </c>
      <c r="R982">
        <v>1</v>
      </c>
      <c r="S982" t="s">
        <v>1058</v>
      </c>
    </row>
    <row r="983" spans="1:19">
      <c r="A983" t="s">
        <v>266</v>
      </c>
      <c r="B983" t="s">
        <v>26</v>
      </c>
      <c r="C983" t="s">
        <v>35</v>
      </c>
      <c r="D983" s="8">
        <v>45936</v>
      </c>
      <c r="E983" s="8">
        <v>45941</v>
      </c>
      <c r="F983" s="8">
        <v>45943</v>
      </c>
      <c r="G983" s="8">
        <v>45947</v>
      </c>
      <c r="H983" t="s">
        <v>22</v>
      </c>
      <c r="J983" s="8">
        <v>45959</v>
      </c>
      <c r="K983">
        <v>5</v>
      </c>
      <c r="L983">
        <v>2</v>
      </c>
      <c r="M983">
        <v>4</v>
      </c>
      <c r="N983">
        <v>9</v>
      </c>
      <c r="O983">
        <v>1</v>
      </c>
      <c r="P983">
        <v>1</v>
      </c>
      <c r="Q983">
        <v>1</v>
      </c>
      <c r="R983">
        <v>1</v>
      </c>
      <c r="S983" t="s">
        <v>1058</v>
      </c>
    </row>
    <row r="984" spans="1:19">
      <c r="A984" t="s">
        <v>285</v>
      </c>
      <c r="B984" t="s">
        <v>26</v>
      </c>
      <c r="C984" t="s">
        <v>35</v>
      </c>
      <c r="D984" s="8">
        <v>45933</v>
      </c>
      <c r="E984" s="8">
        <v>45937</v>
      </c>
      <c r="F984" s="8">
        <v>45939</v>
      </c>
      <c r="G984" s="8">
        <v>45943</v>
      </c>
      <c r="H984" t="s">
        <v>22</v>
      </c>
      <c r="J984" s="8">
        <v>45962</v>
      </c>
      <c r="K984">
        <v>4</v>
      </c>
      <c r="L984">
        <v>2</v>
      </c>
      <c r="M984">
        <v>4</v>
      </c>
      <c r="N984">
        <v>10</v>
      </c>
      <c r="O984">
        <v>1</v>
      </c>
      <c r="P984">
        <v>1</v>
      </c>
      <c r="Q984">
        <v>1</v>
      </c>
      <c r="R984">
        <v>1</v>
      </c>
      <c r="S984" t="s">
        <v>1058</v>
      </c>
    </row>
    <row r="985" spans="1:19">
      <c r="A985" t="s">
        <v>294</v>
      </c>
      <c r="B985" t="s">
        <v>26</v>
      </c>
      <c r="C985" t="s">
        <v>21</v>
      </c>
      <c r="D985" s="8">
        <v>45952</v>
      </c>
      <c r="E985" s="8">
        <v>45954</v>
      </c>
      <c r="F985" s="8">
        <v>45957</v>
      </c>
      <c r="G985" s="8">
        <v>45961</v>
      </c>
      <c r="H985" t="s">
        <v>22</v>
      </c>
      <c r="J985" s="8">
        <v>45991</v>
      </c>
      <c r="K985">
        <v>2</v>
      </c>
      <c r="L985">
        <v>3</v>
      </c>
      <c r="M985">
        <v>4</v>
      </c>
      <c r="N985">
        <v>9</v>
      </c>
      <c r="O985">
        <v>1</v>
      </c>
      <c r="P985">
        <v>1</v>
      </c>
      <c r="Q985">
        <v>1</v>
      </c>
      <c r="R985">
        <v>1</v>
      </c>
      <c r="S985" t="s">
        <v>1058</v>
      </c>
    </row>
    <row r="986" spans="1:19">
      <c r="A986" t="s">
        <v>318</v>
      </c>
      <c r="B986" t="s">
        <v>26</v>
      </c>
      <c r="C986" t="s">
        <v>21</v>
      </c>
      <c r="D986" s="8">
        <v>45940</v>
      </c>
      <c r="E986" s="8">
        <v>45943</v>
      </c>
      <c r="F986" s="8">
        <v>45945</v>
      </c>
      <c r="G986" s="8">
        <v>45947</v>
      </c>
      <c r="H986" t="s">
        <v>22</v>
      </c>
      <c r="J986" s="8">
        <v>45975</v>
      </c>
      <c r="K986">
        <v>3</v>
      </c>
      <c r="L986">
        <v>2</v>
      </c>
      <c r="M986">
        <v>2</v>
      </c>
      <c r="N986">
        <v>9</v>
      </c>
      <c r="O986">
        <v>1</v>
      </c>
      <c r="P986">
        <v>1</v>
      </c>
      <c r="Q986">
        <v>1</v>
      </c>
      <c r="R986">
        <v>1</v>
      </c>
      <c r="S986" t="s">
        <v>1058</v>
      </c>
    </row>
    <row r="987" spans="1:19">
      <c r="A987" t="s">
        <v>358</v>
      </c>
      <c r="B987" t="s">
        <v>26</v>
      </c>
      <c r="C987" t="s">
        <v>35</v>
      </c>
      <c r="D987" s="8">
        <v>45955</v>
      </c>
      <c r="E987" s="8">
        <v>45957</v>
      </c>
      <c r="F987" s="8">
        <v>45961</v>
      </c>
      <c r="G987" s="8">
        <v>45963</v>
      </c>
      <c r="H987" t="s">
        <v>22</v>
      </c>
      <c r="J987" s="8">
        <v>45991</v>
      </c>
      <c r="K987">
        <v>2</v>
      </c>
      <c r="L987">
        <v>4</v>
      </c>
      <c r="M987">
        <v>2</v>
      </c>
      <c r="N987">
        <v>10</v>
      </c>
      <c r="O987">
        <v>1</v>
      </c>
      <c r="P987">
        <v>1</v>
      </c>
      <c r="Q987">
        <v>1</v>
      </c>
      <c r="R987">
        <v>1</v>
      </c>
      <c r="S987" t="s">
        <v>1058</v>
      </c>
    </row>
    <row r="988" spans="1:19">
      <c r="A988" t="s">
        <v>410</v>
      </c>
      <c r="B988" t="s">
        <v>26</v>
      </c>
      <c r="C988" t="s">
        <v>21</v>
      </c>
      <c r="D988" s="8">
        <v>45945</v>
      </c>
      <c r="E988" s="8">
        <v>45947</v>
      </c>
      <c r="F988" s="8">
        <v>45952</v>
      </c>
      <c r="G988" s="8">
        <v>45956</v>
      </c>
      <c r="H988" t="s">
        <v>22</v>
      </c>
      <c r="J988" s="8">
        <v>45969</v>
      </c>
      <c r="K988">
        <v>2</v>
      </c>
      <c r="L988">
        <v>5</v>
      </c>
      <c r="M988">
        <v>4</v>
      </c>
      <c r="N988">
        <v>9</v>
      </c>
      <c r="O988">
        <v>1</v>
      </c>
      <c r="P988">
        <v>1</v>
      </c>
      <c r="Q988">
        <v>1</v>
      </c>
      <c r="R988">
        <v>1</v>
      </c>
      <c r="S988" t="s">
        <v>1058</v>
      </c>
    </row>
    <row r="989" spans="1:19">
      <c r="A989" t="s">
        <v>444</v>
      </c>
      <c r="B989" t="s">
        <v>26</v>
      </c>
      <c r="C989" t="s">
        <v>21</v>
      </c>
      <c r="D989" s="8">
        <v>45948</v>
      </c>
      <c r="E989" s="8">
        <v>45950</v>
      </c>
      <c r="F989" s="8">
        <v>45952</v>
      </c>
      <c r="G989" s="8">
        <v>45957</v>
      </c>
      <c r="H989" t="s">
        <v>22</v>
      </c>
      <c r="J989" s="8">
        <v>45974</v>
      </c>
      <c r="K989">
        <v>2</v>
      </c>
      <c r="L989">
        <v>2</v>
      </c>
      <c r="M989">
        <v>5</v>
      </c>
      <c r="N989">
        <v>10</v>
      </c>
      <c r="O989">
        <v>1</v>
      </c>
      <c r="P989">
        <v>1</v>
      </c>
      <c r="Q989">
        <v>1</v>
      </c>
      <c r="R989">
        <v>1</v>
      </c>
      <c r="S989" t="s">
        <v>1058</v>
      </c>
    </row>
    <row r="990" spans="1:19">
      <c r="A990" t="s">
        <v>451</v>
      </c>
      <c r="B990" t="s">
        <v>26</v>
      </c>
      <c r="C990" t="s">
        <v>21</v>
      </c>
      <c r="D990" s="8">
        <v>45945</v>
      </c>
      <c r="E990" s="8">
        <v>45950</v>
      </c>
      <c r="F990" s="8">
        <v>45952</v>
      </c>
      <c r="G990" s="8">
        <v>45957</v>
      </c>
      <c r="H990" t="s">
        <v>22</v>
      </c>
      <c r="J990" s="8">
        <v>45977</v>
      </c>
      <c r="K990">
        <v>5</v>
      </c>
      <c r="L990">
        <v>2</v>
      </c>
      <c r="M990">
        <v>5</v>
      </c>
      <c r="N990">
        <v>9</v>
      </c>
      <c r="O990">
        <v>1</v>
      </c>
      <c r="P990">
        <v>1</v>
      </c>
      <c r="Q990">
        <v>1</v>
      </c>
      <c r="R990">
        <v>1</v>
      </c>
      <c r="S990" t="s">
        <v>1058</v>
      </c>
    </row>
    <row r="991" spans="1:19">
      <c r="A991" t="s">
        <v>533</v>
      </c>
      <c r="B991" t="s">
        <v>26</v>
      </c>
      <c r="C991" t="s">
        <v>21</v>
      </c>
      <c r="D991" s="8">
        <v>45943</v>
      </c>
      <c r="E991" s="8">
        <v>45948</v>
      </c>
      <c r="F991" s="8">
        <v>45949</v>
      </c>
      <c r="G991" s="8">
        <v>45951</v>
      </c>
      <c r="H991" t="s">
        <v>22</v>
      </c>
      <c r="J991" s="8">
        <v>45980</v>
      </c>
      <c r="K991">
        <v>5</v>
      </c>
      <c r="L991">
        <v>1</v>
      </c>
      <c r="M991">
        <v>2</v>
      </c>
      <c r="N991">
        <v>9</v>
      </c>
      <c r="O991">
        <v>1</v>
      </c>
      <c r="P991">
        <v>1</v>
      </c>
      <c r="Q991">
        <v>1</v>
      </c>
      <c r="R991">
        <v>1</v>
      </c>
      <c r="S991" t="s">
        <v>1058</v>
      </c>
    </row>
    <row r="992" spans="1:19">
      <c r="A992" t="s">
        <v>538</v>
      </c>
      <c r="B992" t="s">
        <v>26</v>
      </c>
      <c r="C992" t="s">
        <v>21</v>
      </c>
      <c r="D992" s="8">
        <v>45951</v>
      </c>
      <c r="E992" s="8">
        <v>45953</v>
      </c>
      <c r="F992" s="8">
        <v>45957</v>
      </c>
      <c r="G992" s="8">
        <v>45961</v>
      </c>
      <c r="H992" t="s">
        <v>22</v>
      </c>
      <c r="J992" s="8">
        <v>45988</v>
      </c>
      <c r="K992">
        <v>2</v>
      </c>
      <c r="L992">
        <v>4</v>
      </c>
      <c r="M992">
        <v>4</v>
      </c>
      <c r="N992">
        <v>10</v>
      </c>
      <c r="O992">
        <v>1</v>
      </c>
      <c r="P992">
        <v>1</v>
      </c>
      <c r="Q992">
        <v>1</v>
      </c>
      <c r="R992">
        <v>1</v>
      </c>
      <c r="S992" t="s">
        <v>1058</v>
      </c>
    </row>
    <row r="993" spans="1:19">
      <c r="A993" t="s">
        <v>601</v>
      </c>
      <c r="B993" t="s">
        <v>26</v>
      </c>
      <c r="C993" t="s">
        <v>21</v>
      </c>
      <c r="D993" s="8">
        <v>45944</v>
      </c>
      <c r="E993" s="8">
        <v>45947</v>
      </c>
      <c r="F993" s="8">
        <v>45952</v>
      </c>
      <c r="G993" s="8">
        <v>45956</v>
      </c>
      <c r="H993" t="s">
        <v>22</v>
      </c>
      <c r="J993" s="8">
        <v>45969</v>
      </c>
      <c r="K993">
        <v>3</v>
      </c>
      <c r="L993">
        <v>5</v>
      </c>
      <c r="M993">
        <v>4</v>
      </c>
      <c r="N993">
        <v>9</v>
      </c>
      <c r="O993">
        <v>1</v>
      </c>
      <c r="P993">
        <v>1</v>
      </c>
      <c r="Q993">
        <v>1</v>
      </c>
      <c r="R993">
        <v>1</v>
      </c>
      <c r="S993" t="s">
        <v>1058</v>
      </c>
    </row>
    <row r="994" spans="1:19">
      <c r="A994" t="s">
        <v>637</v>
      </c>
      <c r="B994" t="s">
        <v>26</v>
      </c>
      <c r="C994" t="s">
        <v>35</v>
      </c>
      <c r="D994" s="8">
        <v>45952</v>
      </c>
      <c r="E994" s="8">
        <v>45953</v>
      </c>
      <c r="F994" s="8">
        <v>45954</v>
      </c>
      <c r="G994" s="8">
        <v>45961</v>
      </c>
      <c r="H994" t="s">
        <v>22</v>
      </c>
      <c r="J994" s="8">
        <v>45981</v>
      </c>
      <c r="K994">
        <v>1</v>
      </c>
      <c r="L994">
        <v>1</v>
      </c>
      <c r="M994">
        <v>7</v>
      </c>
      <c r="N994">
        <v>9</v>
      </c>
      <c r="O994">
        <v>1</v>
      </c>
      <c r="P994">
        <v>1</v>
      </c>
      <c r="Q994">
        <v>1</v>
      </c>
      <c r="R994">
        <v>1</v>
      </c>
      <c r="S994" t="s">
        <v>1058</v>
      </c>
    </row>
    <row r="995" spans="1:19">
      <c r="A995" t="s">
        <v>655</v>
      </c>
      <c r="B995" t="s">
        <v>26</v>
      </c>
      <c r="C995" t="s">
        <v>21</v>
      </c>
      <c r="D995" s="8">
        <v>45940</v>
      </c>
      <c r="E995" s="8">
        <v>45944</v>
      </c>
      <c r="F995" s="8">
        <v>45945</v>
      </c>
      <c r="G995" s="8">
        <v>45951</v>
      </c>
      <c r="H995" t="s">
        <v>22</v>
      </c>
      <c r="J995" s="8">
        <v>45971</v>
      </c>
      <c r="K995">
        <v>4</v>
      </c>
      <c r="L995">
        <v>1</v>
      </c>
      <c r="M995">
        <v>6</v>
      </c>
      <c r="N995">
        <v>9</v>
      </c>
      <c r="O995">
        <v>1</v>
      </c>
      <c r="P995">
        <v>1</v>
      </c>
      <c r="Q995">
        <v>1</v>
      </c>
      <c r="R995">
        <v>1</v>
      </c>
      <c r="S995" t="s">
        <v>1058</v>
      </c>
    </row>
    <row r="996" spans="1:19">
      <c r="A996" t="s">
        <v>706</v>
      </c>
      <c r="B996" t="s">
        <v>26</v>
      </c>
      <c r="C996" t="s">
        <v>35</v>
      </c>
      <c r="D996" s="8">
        <v>45955</v>
      </c>
      <c r="E996" s="8">
        <v>45957</v>
      </c>
      <c r="F996" s="8">
        <v>45959</v>
      </c>
      <c r="G996" s="8">
        <v>45964</v>
      </c>
      <c r="H996" t="s">
        <v>22</v>
      </c>
      <c r="J996" s="8">
        <v>45994</v>
      </c>
      <c r="K996">
        <v>2</v>
      </c>
      <c r="L996">
        <v>2</v>
      </c>
      <c r="M996">
        <v>5</v>
      </c>
      <c r="N996">
        <v>10</v>
      </c>
      <c r="O996">
        <v>1</v>
      </c>
      <c r="P996">
        <v>1</v>
      </c>
      <c r="Q996">
        <v>1</v>
      </c>
      <c r="R996">
        <v>1</v>
      </c>
      <c r="S996" t="s">
        <v>1058</v>
      </c>
    </row>
    <row r="997" spans="1:19">
      <c r="A997" t="s">
        <v>759</v>
      </c>
      <c r="B997" t="s">
        <v>26</v>
      </c>
      <c r="C997" t="s">
        <v>21</v>
      </c>
      <c r="D997" s="8">
        <v>45960</v>
      </c>
      <c r="E997" s="8">
        <v>45962</v>
      </c>
      <c r="F997" s="8">
        <v>45965</v>
      </c>
      <c r="G997" s="8">
        <v>45968</v>
      </c>
      <c r="H997" t="s">
        <v>22</v>
      </c>
      <c r="J997" s="8">
        <v>45982</v>
      </c>
      <c r="K997">
        <v>2</v>
      </c>
      <c r="L997">
        <v>3</v>
      </c>
      <c r="M997">
        <v>3</v>
      </c>
      <c r="N997">
        <v>10</v>
      </c>
      <c r="O997">
        <v>1</v>
      </c>
      <c r="P997">
        <v>1</v>
      </c>
      <c r="Q997">
        <v>1</v>
      </c>
      <c r="R997">
        <v>1</v>
      </c>
      <c r="S997" t="s">
        <v>1058</v>
      </c>
    </row>
    <row r="998" spans="1:19">
      <c r="A998" t="s">
        <v>827</v>
      </c>
      <c r="B998" t="s">
        <v>26</v>
      </c>
      <c r="C998" t="s">
        <v>35</v>
      </c>
      <c r="D998" s="8">
        <v>45940</v>
      </c>
      <c r="E998" s="8">
        <v>45945</v>
      </c>
      <c r="F998" s="8">
        <v>45949</v>
      </c>
      <c r="G998" s="8">
        <v>45954</v>
      </c>
      <c r="H998" t="s">
        <v>22</v>
      </c>
      <c r="J998" s="8">
        <v>45971</v>
      </c>
      <c r="K998">
        <v>5</v>
      </c>
      <c r="L998">
        <v>4</v>
      </c>
      <c r="M998">
        <v>5</v>
      </c>
      <c r="N998">
        <v>10</v>
      </c>
      <c r="O998">
        <v>1</v>
      </c>
      <c r="P998">
        <v>1</v>
      </c>
      <c r="Q998">
        <v>1</v>
      </c>
      <c r="R998">
        <v>1</v>
      </c>
      <c r="S998" t="s">
        <v>1058</v>
      </c>
    </row>
    <row r="999" spans="1:19">
      <c r="A999" t="s">
        <v>837</v>
      </c>
      <c r="B999" t="s">
        <v>26</v>
      </c>
      <c r="C999" t="s">
        <v>21</v>
      </c>
      <c r="D999" s="8">
        <v>45934</v>
      </c>
      <c r="E999" s="8">
        <v>45936</v>
      </c>
      <c r="F999" s="8">
        <v>45938</v>
      </c>
      <c r="G999" s="8">
        <v>45943</v>
      </c>
      <c r="H999" t="s">
        <v>22</v>
      </c>
      <c r="J999" s="8">
        <v>45958</v>
      </c>
      <c r="K999">
        <v>2</v>
      </c>
      <c r="L999">
        <v>2</v>
      </c>
      <c r="M999">
        <v>5</v>
      </c>
      <c r="N999">
        <v>9</v>
      </c>
      <c r="O999">
        <v>1</v>
      </c>
      <c r="P999">
        <v>1</v>
      </c>
      <c r="Q999">
        <v>1</v>
      </c>
      <c r="R999">
        <v>1</v>
      </c>
      <c r="S999" t="s">
        <v>1058</v>
      </c>
    </row>
    <row r="1000" spans="1:19">
      <c r="A1000" t="s">
        <v>865</v>
      </c>
      <c r="B1000" t="s">
        <v>26</v>
      </c>
      <c r="C1000" t="s">
        <v>35</v>
      </c>
      <c r="D1000" s="8">
        <v>45961</v>
      </c>
      <c r="E1000" s="8">
        <v>45966</v>
      </c>
      <c r="F1000" s="8">
        <v>45971</v>
      </c>
      <c r="G1000" s="8">
        <v>45975</v>
      </c>
      <c r="H1000" t="s">
        <v>22</v>
      </c>
      <c r="J1000" s="8">
        <v>45998</v>
      </c>
      <c r="K1000">
        <v>5</v>
      </c>
      <c r="L1000">
        <v>5</v>
      </c>
      <c r="M1000">
        <v>4</v>
      </c>
      <c r="N1000">
        <v>9</v>
      </c>
      <c r="O1000">
        <v>1</v>
      </c>
      <c r="P1000">
        <v>1</v>
      </c>
      <c r="Q1000">
        <v>1</v>
      </c>
      <c r="R1000">
        <v>1</v>
      </c>
      <c r="S1000" t="s">
        <v>1058</v>
      </c>
    </row>
    <row r="1001" spans="1:19">
      <c r="A1001" t="s">
        <v>872</v>
      </c>
      <c r="B1001" t="s">
        <v>26</v>
      </c>
      <c r="C1001" t="s">
        <v>35</v>
      </c>
      <c r="D1001" s="8">
        <v>45945</v>
      </c>
      <c r="E1001" s="8">
        <v>45948</v>
      </c>
      <c r="F1001" s="8">
        <v>45952</v>
      </c>
      <c r="G1001" s="8">
        <v>45959</v>
      </c>
      <c r="H1001" t="s">
        <v>22</v>
      </c>
      <c r="J1001" s="8">
        <v>45984</v>
      </c>
      <c r="K1001">
        <v>3</v>
      </c>
      <c r="L1001">
        <v>4</v>
      </c>
      <c r="M1001">
        <v>7</v>
      </c>
      <c r="N1001">
        <v>9</v>
      </c>
      <c r="O1001">
        <v>1</v>
      </c>
      <c r="P1001">
        <v>1</v>
      </c>
      <c r="Q1001">
        <v>1</v>
      </c>
      <c r="R1001">
        <v>1</v>
      </c>
      <c r="S1001" t="s">
        <v>1058</v>
      </c>
    </row>
    <row r="1002" spans="1:19">
      <c r="A1002" t="s">
        <v>884</v>
      </c>
      <c r="B1002" t="s">
        <v>26</v>
      </c>
      <c r="C1002" t="s">
        <v>35</v>
      </c>
      <c r="D1002" s="8">
        <v>45942</v>
      </c>
      <c r="E1002" s="8">
        <v>45946</v>
      </c>
      <c r="F1002" s="8">
        <v>45948</v>
      </c>
      <c r="G1002" s="8">
        <v>45950</v>
      </c>
      <c r="H1002" t="s">
        <v>22</v>
      </c>
      <c r="J1002" s="8">
        <v>45976</v>
      </c>
      <c r="K1002">
        <v>4</v>
      </c>
      <c r="L1002">
        <v>2</v>
      </c>
      <c r="M1002">
        <v>2</v>
      </c>
      <c r="N1002">
        <v>9</v>
      </c>
      <c r="O1002">
        <v>1</v>
      </c>
      <c r="P1002">
        <v>1</v>
      </c>
      <c r="Q1002">
        <v>1</v>
      </c>
      <c r="R1002">
        <v>1</v>
      </c>
      <c r="S1002" t="s">
        <v>1058</v>
      </c>
    </row>
    <row r="1003" spans="1:19">
      <c r="A1003" t="s">
        <v>1005</v>
      </c>
      <c r="B1003" t="s">
        <v>26</v>
      </c>
      <c r="C1003" t="s">
        <v>35</v>
      </c>
      <c r="D1003" s="8">
        <v>45948</v>
      </c>
      <c r="E1003" s="8">
        <v>45949</v>
      </c>
      <c r="F1003" s="8">
        <v>45953</v>
      </c>
      <c r="G1003" s="8">
        <v>45955</v>
      </c>
      <c r="H1003" t="s">
        <v>22</v>
      </c>
      <c r="J1003" s="8">
        <v>45976</v>
      </c>
      <c r="K1003">
        <v>1</v>
      </c>
      <c r="L1003">
        <v>4</v>
      </c>
      <c r="M1003">
        <v>2</v>
      </c>
      <c r="N1003">
        <v>10</v>
      </c>
      <c r="O1003">
        <v>1</v>
      </c>
      <c r="P1003">
        <v>1</v>
      </c>
      <c r="Q1003">
        <v>1</v>
      </c>
      <c r="R1003">
        <v>1</v>
      </c>
      <c r="S1003" t="s">
        <v>1058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3B9-D1A2-49E0-A463-614BEA3B0B6E}">
  <dimension ref="A1:H13"/>
  <sheetViews>
    <sheetView workbookViewId="0">
      <selection activeCell="C5" sqref="C5"/>
    </sheetView>
  </sheetViews>
  <sheetFormatPr baseColWidth="10" defaultColWidth="8.83203125" defaultRowHeight="15"/>
  <cols>
    <col min="1" max="1" width="20.83203125" bestFit="1" customWidth="1"/>
    <col min="2" max="4" width="13.83203125" bestFit="1" customWidth="1"/>
    <col min="5" max="6" width="10" bestFit="1" customWidth="1"/>
    <col min="8" max="8" width="12.5" customWidth="1"/>
  </cols>
  <sheetData>
    <row r="1" spans="1:8" ht="24">
      <c r="A1" s="14" t="s">
        <v>1059</v>
      </c>
    </row>
    <row r="3" spans="1:8">
      <c r="A3" s="5" t="s">
        <v>1060</v>
      </c>
      <c r="B3" s="5" t="s">
        <v>18</v>
      </c>
    </row>
    <row r="4" spans="1:8" ht="17">
      <c r="A4" s="5" t="s">
        <v>1</v>
      </c>
      <c r="B4" t="s">
        <v>1056</v>
      </c>
      <c r="C4" t="s">
        <v>1057</v>
      </c>
      <c r="D4" t="s">
        <v>1058</v>
      </c>
      <c r="E4" t="s">
        <v>1041</v>
      </c>
      <c r="H4" s="22" t="s">
        <v>1061</v>
      </c>
    </row>
    <row r="5" spans="1:8">
      <c r="A5" t="s">
        <v>20</v>
      </c>
      <c r="B5">
        <v>134</v>
      </c>
      <c r="C5">
        <v>34</v>
      </c>
      <c r="D5">
        <v>23</v>
      </c>
      <c r="E5">
        <v>191</v>
      </c>
      <c r="H5" s="19">
        <f>(D5/E5)-(B5/E5)</f>
        <v>-0.58115183246073299</v>
      </c>
    </row>
    <row r="6" spans="1:8">
      <c r="A6" t="s">
        <v>37</v>
      </c>
      <c r="B6">
        <v>99</v>
      </c>
      <c r="C6">
        <v>26</v>
      </c>
      <c r="D6">
        <v>28</v>
      </c>
      <c r="E6">
        <v>153</v>
      </c>
      <c r="H6" s="19">
        <f t="shared" ref="H6:H9" si="0">(D6/E6)-(B6/E6)</f>
        <v>-0.46405228758169936</v>
      </c>
    </row>
    <row r="7" spans="1:8">
      <c r="A7" t="s">
        <v>24</v>
      </c>
      <c r="B7">
        <v>123</v>
      </c>
      <c r="C7">
        <v>33</v>
      </c>
      <c r="D7">
        <v>30</v>
      </c>
      <c r="E7">
        <v>186</v>
      </c>
      <c r="H7" s="19">
        <f t="shared" si="0"/>
        <v>-0.5</v>
      </c>
    </row>
    <row r="8" spans="1:8">
      <c r="A8" t="s">
        <v>26</v>
      </c>
      <c r="B8">
        <v>138</v>
      </c>
      <c r="C8">
        <v>38</v>
      </c>
      <c r="D8">
        <v>23</v>
      </c>
      <c r="E8">
        <v>199</v>
      </c>
      <c r="H8" s="19">
        <f t="shared" si="0"/>
        <v>-0.57788944723618085</v>
      </c>
    </row>
    <row r="9" spans="1:8">
      <c r="A9" t="s">
        <v>1041</v>
      </c>
      <c r="B9">
        <v>494</v>
      </c>
      <c r="C9">
        <v>131</v>
      </c>
      <c r="D9">
        <v>104</v>
      </c>
      <c r="E9">
        <v>729</v>
      </c>
      <c r="H9" s="19">
        <f t="shared" si="0"/>
        <v>-0.53497942386831276</v>
      </c>
    </row>
    <row r="11" spans="1:8" ht="80">
      <c r="A11" s="31" t="s">
        <v>1062</v>
      </c>
    </row>
    <row r="12" spans="1:8">
      <c r="A12" s="16"/>
    </row>
    <row r="13" spans="1:8">
      <c r="A13" s="16" t="s">
        <v>1063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04C99-72E3-4258-A511-9BD6B8650D0E}">
  <dimension ref="A1:M280"/>
  <sheetViews>
    <sheetView workbookViewId="0">
      <selection activeCell="G1" sqref="G1"/>
    </sheetView>
  </sheetViews>
  <sheetFormatPr baseColWidth="10" defaultColWidth="8.83203125" defaultRowHeight="15"/>
  <cols>
    <col min="1" max="1" width="12.5" customWidth="1"/>
    <col min="2" max="2" width="14.6640625" customWidth="1"/>
    <col min="3" max="3" width="11.5" customWidth="1"/>
    <col min="4" max="4" width="13.6640625" customWidth="1"/>
    <col min="5" max="5" width="18.5" customWidth="1"/>
    <col min="6" max="6" width="18" customWidth="1"/>
    <col min="7" max="7" width="18.5" customWidth="1"/>
    <col min="8" max="8" width="18.6640625" customWidth="1"/>
    <col min="9" max="9" width="25" customWidth="1"/>
    <col min="10" max="10" width="28" customWidth="1"/>
    <col min="11" max="11" width="27.83203125" customWidth="1"/>
    <col min="12" max="12" width="19.33203125" customWidth="1"/>
    <col min="13" max="13" width="15.5" customWidth="1"/>
  </cols>
  <sheetData>
    <row r="1" spans="1:13" ht="24">
      <c r="A1" s="18" t="s">
        <v>1064</v>
      </c>
    </row>
    <row r="3" spans="1:13" ht="16">
      <c r="A3" s="27" t="s">
        <v>0</v>
      </c>
      <c r="B3" s="17" t="s">
        <v>1</v>
      </c>
      <c r="C3" s="1" t="s">
        <v>2</v>
      </c>
      <c r="D3" s="1" t="s">
        <v>3</v>
      </c>
      <c r="E3" s="1" t="s">
        <v>4</v>
      </c>
      <c r="F3" s="1" t="s">
        <v>5</v>
      </c>
      <c r="G3" s="1" t="s">
        <v>6</v>
      </c>
      <c r="H3" s="1" t="s">
        <v>7</v>
      </c>
      <c r="I3" s="1" t="s">
        <v>9</v>
      </c>
      <c r="J3" s="1" t="s">
        <v>10</v>
      </c>
      <c r="K3" s="7" t="s">
        <v>11</v>
      </c>
      <c r="L3" s="13" t="s">
        <v>12</v>
      </c>
      <c r="M3" s="28" t="s">
        <v>13</v>
      </c>
    </row>
    <row r="4" spans="1:13">
      <c r="A4" s="29" t="s">
        <v>34</v>
      </c>
      <c r="B4" s="29" t="s">
        <v>26</v>
      </c>
      <c r="C4" s="29" t="s">
        <v>35</v>
      </c>
      <c r="D4" s="30">
        <v>45946</v>
      </c>
      <c r="E4" s="30">
        <v>45950</v>
      </c>
      <c r="F4" s="30">
        <v>45951</v>
      </c>
      <c r="G4" s="30">
        <v>45958</v>
      </c>
      <c r="H4" s="29" t="s">
        <v>22</v>
      </c>
      <c r="I4" s="30">
        <v>45983</v>
      </c>
      <c r="J4" s="29">
        <v>4</v>
      </c>
      <c r="K4" s="29">
        <v>1</v>
      </c>
      <c r="L4" s="29">
        <v>7</v>
      </c>
      <c r="M4" s="29">
        <v>10</v>
      </c>
    </row>
    <row r="5" spans="1:13">
      <c r="A5" s="29" t="s">
        <v>39</v>
      </c>
      <c r="B5" s="29" t="s">
        <v>20</v>
      </c>
      <c r="C5" s="29" t="s">
        <v>35</v>
      </c>
      <c r="D5" s="30">
        <v>45944</v>
      </c>
      <c r="E5" s="30">
        <v>45947</v>
      </c>
      <c r="F5" s="30">
        <v>45950</v>
      </c>
      <c r="G5" s="30">
        <v>45955</v>
      </c>
      <c r="H5" s="29" t="s">
        <v>22</v>
      </c>
      <c r="I5" s="30">
        <v>45966</v>
      </c>
      <c r="J5" s="29">
        <v>3</v>
      </c>
      <c r="K5" s="29">
        <v>3</v>
      </c>
      <c r="L5" s="29">
        <v>5</v>
      </c>
      <c r="M5" s="29">
        <v>8</v>
      </c>
    </row>
    <row r="6" spans="1:13">
      <c r="A6" s="29" t="s">
        <v>47</v>
      </c>
      <c r="B6" s="29" t="s">
        <v>26</v>
      </c>
      <c r="C6" s="29" t="s">
        <v>35</v>
      </c>
      <c r="D6" s="30">
        <v>45935</v>
      </c>
      <c r="E6" s="30">
        <v>45936</v>
      </c>
      <c r="F6" s="30">
        <v>45940</v>
      </c>
      <c r="G6" s="30">
        <v>45946</v>
      </c>
      <c r="H6" s="29" t="s">
        <v>22</v>
      </c>
      <c r="I6" s="30">
        <v>45956</v>
      </c>
      <c r="J6" s="29">
        <v>1</v>
      </c>
      <c r="K6" s="29">
        <v>4</v>
      </c>
      <c r="L6" s="29">
        <v>6</v>
      </c>
      <c r="M6" s="29">
        <v>2</v>
      </c>
    </row>
    <row r="7" spans="1:13">
      <c r="A7" s="29" t="s">
        <v>48</v>
      </c>
      <c r="B7" s="29" t="s">
        <v>20</v>
      </c>
      <c r="C7" s="29" t="s">
        <v>35</v>
      </c>
      <c r="D7" s="30">
        <v>45944</v>
      </c>
      <c r="E7" s="30">
        <v>45945</v>
      </c>
      <c r="F7" s="30">
        <v>45948</v>
      </c>
      <c r="G7" s="30">
        <v>45953</v>
      </c>
      <c r="H7" s="29" t="s">
        <v>22</v>
      </c>
      <c r="I7" s="30">
        <v>45979</v>
      </c>
      <c r="J7" s="29">
        <v>1</v>
      </c>
      <c r="K7" s="29">
        <v>3</v>
      </c>
      <c r="L7" s="29">
        <v>5</v>
      </c>
      <c r="M7" s="29">
        <v>0</v>
      </c>
    </row>
    <row r="8" spans="1:13">
      <c r="A8" s="29" t="s">
        <v>52</v>
      </c>
      <c r="B8" s="29" t="s">
        <v>20</v>
      </c>
      <c r="C8" s="29" t="s">
        <v>35</v>
      </c>
      <c r="D8" s="30">
        <v>45961</v>
      </c>
      <c r="E8" s="30">
        <v>45962</v>
      </c>
      <c r="F8" s="30">
        <v>45963</v>
      </c>
      <c r="G8" s="30">
        <v>45966</v>
      </c>
      <c r="H8" s="29" t="s">
        <v>22</v>
      </c>
      <c r="I8" s="30">
        <v>45995</v>
      </c>
      <c r="J8" s="29">
        <v>1</v>
      </c>
      <c r="K8" s="29">
        <v>1</v>
      </c>
      <c r="L8" s="29">
        <v>3</v>
      </c>
      <c r="M8" s="29">
        <v>3</v>
      </c>
    </row>
    <row r="9" spans="1:13">
      <c r="A9" s="29" t="s">
        <v>76</v>
      </c>
      <c r="B9" s="29" t="s">
        <v>20</v>
      </c>
      <c r="C9" s="29" t="s">
        <v>35</v>
      </c>
      <c r="D9" s="30">
        <v>45945</v>
      </c>
      <c r="E9" s="30">
        <v>45950</v>
      </c>
      <c r="F9" s="30">
        <v>45952</v>
      </c>
      <c r="G9" s="30">
        <v>45956</v>
      </c>
      <c r="H9" s="29" t="s">
        <v>22</v>
      </c>
      <c r="I9" s="30">
        <v>45984</v>
      </c>
      <c r="J9" s="29">
        <v>5</v>
      </c>
      <c r="K9" s="29">
        <v>2</v>
      </c>
      <c r="L9" s="29">
        <v>4</v>
      </c>
      <c r="M9" s="29">
        <v>8</v>
      </c>
    </row>
    <row r="10" spans="1:13">
      <c r="A10" s="29" t="s">
        <v>77</v>
      </c>
      <c r="B10" s="29" t="s">
        <v>37</v>
      </c>
      <c r="C10" s="29" t="s">
        <v>35</v>
      </c>
      <c r="D10" s="30">
        <v>45938</v>
      </c>
      <c r="E10" s="30">
        <v>45943</v>
      </c>
      <c r="F10" s="30">
        <v>45947</v>
      </c>
      <c r="G10" s="30">
        <v>45953</v>
      </c>
      <c r="H10" s="29" t="s">
        <v>22</v>
      </c>
      <c r="I10" s="30">
        <v>45966</v>
      </c>
      <c r="J10" s="29">
        <v>5</v>
      </c>
      <c r="K10" s="29">
        <v>4</v>
      </c>
      <c r="L10" s="29">
        <v>6</v>
      </c>
      <c r="M10" s="29">
        <v>3</v>
      </c>
    </row>
    <row r="11" spans="1:13">
      <c r="A11" s="29" t="s">
        <v>80</v>
      </c>
      <c r="B11" s="29" t="s">
        <v>37</v>
      </c>
      <c r="C11" s="29" t="s">
        <v>35</v>
      </c>
      <c r="D11" s="30">
        <v>45949</v>
      </c>
      <c r="E11" s="30">
        <v>45951</v>
      </c>
      <c r="F11" s="30">
        <v>45956</v>
      </c>
      <c r="G11" s="30">
        <v>45962</v>
      </c>
      <c r="H11" s="29" t="s">
        <v>22</v>
      </c>
      <c r="I11" s="30">
        <v>45981</v>
      </c>
      <c r="J11" s="29">
        <v>2</v>
      </c>
      <c r="K11" s="29">
        <v>5</v>
      </c>
      <c r="L11" s="29">
        <v>6</v>
      </c>
      <c r="M11" s="29">
        <v>0</v>
      </c>
    </row>
    <row r="12" spans="1:13">
      <c r="A12" s="29" t="s">
        <v>81</v>
      </c>
      <c r="B12" s="29" t="s">
        <v>20</v>
      </c>
      <c r="C12" s="29" t="s">
        <v>35</v>
      </c>
      <c r="D12" s="30">
        <v>45950</v>
      </c>
      <c r="E12" s="30">
        <v>45954</v>
      </c>
      <c r="F12" s="30">
        <v>45958</v>
      </c>
      <c r="G12" s="30">
        <v>45963</v>
      </c>
      <c r="H12" s="29" t="s">
        <v>22</v>
      </c>
      <c r="I12" s="30">
        <v>45983</v>
      </c>
      <c r="J12" s="29">
        <v>4</v>
      </c>
      <c r="K12" s="29">
        <v>4</v>
      </c>
      <c r="L12" s="29">
        <v>5</v>
      </c>
      <c r="M12" s="29">
        <v>6</v>
      </c>
    </row>
    <row r="13" spans="1:13">
      <c r="A13" s="29" t="s">
        <v>82</v>
      </c>
      <c r="B13" s="29" t="s">
        <v>20</v>
      </c>
      <c r="C13" s="29" t="s">
        <v>35</v>
      </c>
      <c r="D13" s="30">
        <v>45952</v>
      </c>
      <c r="E13" s="30">
        <v>45954</v>
      </c>
      <c r="F13" s="30">
        <v>45955</v>
      </c>
      <c r="G13" s="30">
        <v>45961</v>
      </c>
      <c r="H13" s="29" t="s">
        <v>22</v>
      </c>
      <c r="I13" s="30">
        <v>45975</v>
      </c>
      <c r="J13" s="29">
        <v>2</v>
      </c>
      <c r="K13" s="29">
        <v>1</v>
      </c>
      <c r="L13" s="29">
        <v>6</v>
      </c>
      <c r="M13" s="29">
        <v>6</v>
      </c>
    </row>
    <row r="14" spans="1:13">
      <c r="A14" s="29" t="s">
        <v>83</v>
      </c>
      <c r="B14" s="29" t="s">
        <v>26</v>
      </c>
      <c r="C14" s="29" t="s">
        <v>35</v>
      </c>
      <c r="D14" s="30">
        <v>45943</v>
      </c>
      <c r="E14" s="30">
        <v>45944</v>
      </c>
      <c r="F14" s="30">
        <v>45946</v>
      </c>
      <c r="G14" s="30">
        <v>45948</v>
      </c>
      <c r="H14" s="29" t="s">
        <v>22</v>
      </c>
      <c r="I14" s="30">
        <v>45963</v>
      </c>
      <c r="J14" s="29">
        <v>1</v>
      </c>
      <c r="K14" s="29">
        <v>2</v>
      </c>
      <c r="L14" s="29">
        <v>2</v>
      </c>
      <c r="M14" s="29">
        <v>6</v>
      </c>
    </row>
    <row r="15" spans="1:13">
      <c r="A15" s="29" t="s">
        <v>84</v>
      </c>
      <c r="B15" s="29" t="s">
        <v>20</v>
      </c>
      <c r="C15" s="29" t="s">
        <v>35</v>
      </c>
      <c r="D15" s="30">
        <v>45941</v>
      </c>
      <c r="E15" s="30">
        <v>45944</v>
      </c>
      <c r="F15" s="30">
        <v>45949</v>
      </c>
      <c r="G15" s="30">
        <v>45953</v>
      </c>
      <c r="H15" s="29" t="s">
        <v>22</v>
      </c>
      <c r="I15" s="30">
        <v>45976</v>
      </c>
      <c r="J15" s="29">
        <v>3</v>
      </c>
      <c r="K15" s="29">
        <v>5</v>
      </c>
      <c r="L15" s="29">
        <v>4</v>
      </c>
      <c r="M15" s="29">
        <v>4</v>
      </c>
    </row>
    <row r="16" spans="1:13">
      <c r="A16" s="29" t="s">
        <v>87</v>
      </c>
      <c r="B16" s="29" t="s">
        <v>20</v>
      </c>
      <c r="C16" s="29" t="s">
        <v>35</v>
      </c>
      <c r="D16" s="30">
        <v>45958</v>
      </c>
      <c r="E16" s="30">
        <v>45959</v>
      </c>
      <c r="F16" s="30">
        <v>45962</v>
      </c>
      <c r="G16" s="30">
        <v>45968</v>
      </c>
      <c r="H16" s="29" t="s">
        <v>22</v>
      </c>
      <c r="I16" s="30">
        <v>45998</v>
      </c>
      <c r="J16" s="29">
        <v>1</v>
      </c>
      <c r="K16" s="29">
        <v>3</v>
      </c>
      <c r="L16" s="29">
        <v>6</v>
      </c>
      <c r="M16" s="29">
        <v>3</v>
      </c>
    </row>
    <row r="17" spans="1:13">
      <c r="A17" s="29" t="s">
        <v>89</v>
      </c>
      <c r="B17" s="29" t="s">
        <v>20</v>
      </c>
      <c r="C17" s="29" t="s">
        <v>35</v>
      </c>
      <c r="D17" s="30">
        <v>45936</v>
      </c>
      <c r="E17" s="30">
        <v>45941</v>
      </c>
      <c r="F17" s="30">
        <v>45946</v>
      </c>
      <c r="G17" s="30">
        <v>45953</v>
      </c>
      <c r="H17" s="29" t="s">
        <v>22</v>
      </c>
      <c r="I17" s="30">
        <v>45968</v>
      </c>
      <c r="J17" s="29">
        <v>5</v>
      </c>
      <c r="K17" s="29">
        <v>5</v>
      </c>
      <c r="L17" s="29">
        <v>7</v>
      </c>
      <c r="M17" s="29">
        <v>1</v>
      </c>
    </row>
    <row r="18" spans="1:13">
      <c r="A18" s="29" t="s">
        <v>93</v>
      </c>
      <c r="B18" s="29" t="s">
        <v>24</v>
      </c>
      <c r="C18" s="29" t="s">
        <v>35</v>
      </c>
      <c r="D18" s="30">
        <v>45956</v>
      </c>
      <c r="E18" s="30">
        <v>45961</v>
      </c>
      <c r="F18" s="30">
        <v>45965</v>
      </c>
      <c r="G18" s="30">
        <v>45971</v>
      </c>
      <c r="H18" s="29" t="s">
        <v>22</v>
      </c>
      <c r="I18" s="30">
        <v>45992</v>
      </c>
      <c r="J18" s="29">
        <v>5</v>
      </c>
      <c r="K18" s="29">
        <v>4</v>
      </c>
      <c r="L18" s="29">
        <v>6</v>
      </c>
      <c r="M18" s="29">
        <v>9</v>
      </c>
    </row>
    <row r="19" spans="1:13">
      <c r="A19" s="29" t="s">
        <v>95</v>
      </c>
      <c r="B19" s="29" t="s">
        <v>20</v>
      </c>
      <c r="C19" s="29" t="s">
        <v>35</v>
      </c>
      <c r="D19" s="30">
        <v>45941</v>
      </c>
      <c r="E19" s="30">
        <v>45946</v>
      </c>
      <c r="F19" s="30">
        <v>45949</v>
      </c>
      <c r="G19" s="30">
        <v>45956</v>
      </c>
      <c r="H19" s="29" t="s">
        <v>22</v>
      </c>
      <c r="I19" s="30">
        <v>45984</v>
      </c>
      <c r="J19" s="29">
        <v>5</v>
      </c>
      <c r="K19" s="29">
        <v>3</v>
      </c>
      <c r="L19" s="29">
        <v>7</v>
      </c>
      <c r="M19" s="29">
        <v>3</v>
      </c>
    </row>
    <row r="20" spans="1:13">
      <c r="A20" s="29" t="s">
        <v>99</v>
      </c>
      <c r="B20" s="29" t="s">
        <v>24</v>
      </c>
      <c r="C20" s="29" t="s">
        <v>35</v>
      </c>
      <c r="D20" s="30">
        <v>45953</v>
      </c>
      <c r="E20" s="30">
        <v>45956</v>
      </c>
      <c r="F20" s="30">
        <v>45959</v>
      </c>
      <c r="G20" s="30">
        <v>45961</v>
      </c>
      <c r="H20" s="29" t="s">
        <v>22</v>
      </c>
      <c r="I20" s="30">
        <v>45980</v>
      </c>
      <c r="J20" s="29">
        <v>3</v>
      </c>
      <c r="K20" s="29">
        <v>3</v>
      </c>
      <c r="L20" s="29">
        <v>2</v>
      </c>
      <c r="M20" s="29">
        <v>5</v>
      </c>
    </row>
    <row r="21" spans="1:13">
      <c r="A21" s="29" t="s">
        <v>101</v>
      </c>
      <c r="B21" s="29" t="s">
        <v>26</v>
      </c>
      <c r="C21" s="29" t="s">
        <v>35</v>
      </c>
      <c r="D21" s="30">
        <v>45939</v>
      </c>
      <c r="E21" s="30">
        <v>45940</v>
      </c>
      <c r="F21" s="30">
        <v>45945</v>
      </c>
      <c r="G21" s="30">
        <v>45948</v>
      </c>
      <c r="H21" s="29" t="s">
        <v>22</v>
      </c>
      <c r="I21" s="30">
        <v>45967</v>
      </c>
      <c r="J21" s="29">
        <v>1</v>
      </c>
      <c r="K21" s="29">
        <v>5</v>
      </c>
      <c r="L21" s="29">
        <v>3</v>
      </c>
      <c r="M21" s="29">
        <v>1</v>
      </c>
    </row>
    <row r="22" spans="1:13">
      <c r="A22" s="29" t="s">
        <v>102</v>
      </c>
      <c r="B22" s="29" t="s">
        <v>20</v>
      </c>
      <c r="C22" s="29" t="s">
        <v>35</v>
      </c>
      <c r="D22" s="30">
        <v>45948</v>
      </c>
      <c r="E22" s="30">
        <v>45950</v>
      </c>
      <c r="F22" s="30">
        <v>45954</v>
      </c>
      <c r="G22" s="30">
        <v>45958</v>
      </c>
      <c r="H22" s="29" t="s">
        <v>22</v>
      </c>
      <c r="I22" s="30">
        <v>45972</v>
      </c>
      <c r="J22" s="29">
        <v>2</v>
      </c>
      <c r="K22" s="29">
        <v>4</v>
      </c>
      <c r="L22" s="29">
        <v>4</v>
      </c>
      <c r="M22" s="29">
        <v>10</v>
      </c>
    </row>
    <row r="23" spans="1:13">
      <c r="A23" s="29" t="s">
        <v>104</v>
      </c>
      <c r="B23" s="29" t="s">
        <v>37</v>
      </c>
      <c r="C23" s="29" t="s">
        <v>35</v>
      </c>
      <c r="D23" s="30">
        <v>45947</v>
      </c>
      <c r="E23" s="30">
        <v>45950</v>
      </c>
      <c r="F23" s="30">
        <v>45952</v>
      </c>
      <c r="G23" s="30">
        <v>45955</v>
      </c>
      <c r="H23" s="29" t="s">
        <v>22</v>
      </c>
      <c r="I23" s="30">
        <v>45965</v>
      </c>
      <c r="J23" s="29">
        <v>3</v>
      </c>
      <c r="K23" s="29">
        <v>2</v>
      </c>
      <c r="L23" s="29">
        <v>3</v>
      </c>
      <c r="M23" s="29">
        <v>6</v>
      </c>
    </row>
    <row r="24" spans="1:13">
      <c r="A24" s="29" t="s">
        <v>108</v>
      </c>
      <c r="B24" s="29" t="s">
        <v>20</v>
      </c>
      <c r="C24" s="29" t="s">
        <v>35</v>
      </c>
      <c r="D24" s="30">
        <v>45933</v>
      </c>
      <c r="E24" s="30">
        <v>45936</v>
      </c>
      <c r="F24" s="30">
        <v>45941</v>
      </c>
      <c r="G24" s="30">
        <v>45948</v>
      </c>
      <c r="H24" s="29" t="s">
        <v>22</v>
      </c>
      <c r="I24" s="30">
        <v>45970</v>
      </c>
      <c r="J24" s="29">
        <v>3</v>
      </c>
      <c r="K24" s="29">
        <v>5</v>
      </c>
      <c r="L24" s="29">
        <v>7</v>
      </c>
      <c r="M24" s="29">
        <v>1</v>
      </c>
    </row>
    <row r="25" spans="1:13">
      <c r="A25" s="29" t="s">
        <v>116</v>
      </c>
      <c r="B25" s="29" t="s">
        <v>24</v>
      </c>
      <c r="C25" s="29" t="s">
        <v>35</v>
      </c>
      <c r="D25" s="30">
        <v>45953</v>
      </c>
      <c r="E25" s="30">
        <v>45958</v>
      </c>
      <c r="F25" s="30">
        <v>45961</v>
      </c>
      <c r="G25" s="30">
        <v>45966</v>
      </c>
      <c r="H25" s="29" t="s">
        <v>22</v>
      </c>
      <c r="I25" s="30">
        <v>45981</v>
      </c>
      <c r="J25" s="29">
        <v>5</v>
      </c>
      <c r="K25" s="29">
        <v>3</v>
      </c>
      <c r="L25" s="29">
        <v>5</v>
      </c>
      <c r="M25" s="29">
        <v>5</v>
      </c>
    </row>
    <row r="26" spans="1:13">
      <c r="A26" s="29" t="s">
        <v>119</v>
      </c>
      <c r="B26" s="29" t="s">
        <v>24</v>
      </c>
      <c r="C26" s="29" t="s">
        <v>35</v>
      </c>
      <c r="D26" s="30">
        <v>45953</v>
      </c>
      <c r="E26" s="30">
        <v>45954</v>
      </c>
      <c r="F26" s="30">
        <v>45958</v>
      </c>
      <c r="G26" s="30">
        <v>45961</v>
      </c>
      <c r="H26" s="29" t="s">
        <v>22</v>
      </c>
      <c r="I26" s="30">
        <v>45981</v>
      </c>
      <c r="J26" s="29">
        <v>1</v>
      </c>
      <c r="K26" s="29">
        <v>4</v>
      </c>
      <c r="L26" s="29">
        <v>3</v>
      </c>
      <c r="M26" s="29">
        <v>7</v>
      </c>
    </row>
    <row r="27" spans="1:13">
      <c r="A27" s="29" t="s">
        <v>121</v>
      </c>
      <c r="B27" s="29" t="s">
        <v>26</v>
      </c>
      <c r="C27" s="29" t="s">
        <v>35</v>
      </c>
      <c r="D27" s="30">
        <v>45945</v>
      </c>
      <c r="E27" s="30">
        <v>45947</v>
      </c>
      <c r="F27" s="30">
        <v>45950</v>
      </c>
      <c r="G27" s="30">
        <v>45956</v>
      </c>
      <c r="H27" s="29" t="s">
        <v>22</v>
      </c>
      <c r="I27" s="30">
        <v>45985</v>
      </c>
      <c r="J27" s="29">
        <v>2</v>
      </c>
      <c r="K27" s="29">
        <v>3</v>
      </c>
      <c r="L27" s="29">
        <v>6</v>
      </c>
      <c r="M27" s="29">
        <v>5</v>
      </c>
    </row>
    <row r="28" spans="1:13">
      <c r="A28" s="29" t="s">
        <v>122</v>
      </c>
      <c r="B28" s="29" t="s">
        <v>26</v>
      </c>
      <c r="C28" s="29" t="s">
        <v>35</v>
      </c>
      <c r="D28" s="30">
        <v>45956</v>
      </c>
      <c r="E28" s="30">
        <v>45957</v>
      </c>
      <c r="F28" s="30">
        <v>45961</v>
      </c>
      <c r="G28" s="30">
        <v>45966</v>
      </c>
      <c r="H28" s="29" t="s">
        <v>22</v>
      </c>
      <c r="I28" s="30">
        <v>45983</v>
      </c>
      <c r="J28" s="29">
        <v>1</v>
      </c>
      <c r="K28" s="29">
        <v>4</v>
      </c>
      <c r="L28" s="29">
        <v>5</v>
      </c>
      <c r="M28" s="29">
        <v>8</v>
      </c>
    </row>
    <row r="29" spans="1:13">
      <c r="A29" s="29" t="s">
        <v>124</v>
      </c>
      <c r="B29" s="29" t="s">
        <v>37</v>
      </c>
      <c r="C29" s="29" t="s">
        <v>35</v>
      </c>
      <c r="D29" s="30">
        <v>45933</v>
      </c>
      <c r="E29" s="30">
        <v>45938</v>
      </c>
      <c r="F29" s="30">
        <v>45943</v>
      </c>
      <c r="G29" s="30">
        <v>45946</v>
      </c>
      <c r="H29" s="29" t="s">
        <v>22</v>
      </c>
      <c r="I29" s="30">
        <v>45974</v>
      </c>
      <c r="J29" s="29">
        <v>5</v>
      </c>
      <c r="K29" s="29">
        <v>5</v>
      </c>
      <c r="L29" s="29">
        <v>3</v>
      </c>
      <c r="M29" s="29">
        <v>9</v>
      </c>
    </row>
    <row r="30" spans="1:13">
      <c r="A30" s="29" t="s">
        <v>133</v>
      </c>
      <c r="B30" s="29" t="s">
        <v>20</v>
      </c>
      <c r="C30" s="29" t="s">
        <v>35</v>
      </c>
      <c r="D30" s="30">
        <v>45942</v>
      </c>
      <c r="E30" s="30">
        <v>45944</v>
      </c>
      <c r="F30" s="30">
        <v>45948</v>
      </c>
      <c r="G30" s="30">
        <v>45951</v>
      </c>
      <c r="H30" s="29" t="s">
        <v>22</v>
      </c>
      <c r="I30" s="30">
        <v>45963</v>
      </c>
      <c r="J30" s="29">
        <v>2</v>
      </c>
      <c r="K30" s="29">
        <v>4</v>
      </c>
      <c r="L30" s="29">
        <v>3</v>
      </c>
      <c r="M30" s="29">
        <v>1</v>
      </c>
    </row>
    <row r="31" spans="1:13">
      <c r="A31" s="29" t="s">
        <v>141</v>
      </c>
      <c r="B31" s="29" t="s">
        <v>24</v>
      </c>
      <c r="C31" s="29" t="s">
        <v>35</v>
      </c>
      <c r="D31" s="30">
        <v>45941</v>
      </c>
      <c r="E31" s="30">
        <v>45942</v>
      </c>
      <c r="F31" s="30">
        <v>45945</v>
      </c>
      <c r="G31" s="30">
        <v>45948</v>
      </c>
      <c r="H31" s="29" t="s">
        <v>22</v>
      </c>
      <c r="I31" s="30">
        <v>45978</v>
      </c>
      <c r="J31" s="29">
        <v>1</v>
      </c>
      <c r="K31" s="29">
        <v>3</v>
      </c>
      <c r="L31" s="29">
        <v>3</v>
      </c>
      <c r="M31" s="29">
        <v>4</v>
      </c>
    </row>
    <row r="32" spans="1:13">
      <c r="A32" s="29" t="s">
        <v>146</v>
      </c>
      <c r="B32" s="29" t="s">
        <v>24</v>
      </c>
      <c r="C32" s="29" t="s">
        <v>35</v>
      </c>
      <c r="D32" s="30">
        <v>45940</v>
      </c>
      <c r="E32" s="30">
        <v>45942</v>
      </c>
      <c r="F32" s="30">
        <v>45946</v>
      </c>
      <c r="G32" s="30">
        <v>45952</v>
      </c>
      <c r="H32" s="29" t="s">
        <v>22</v>
      </c>
      <c r="I32" s="30">
        <v>45982</v>
      </c>
      <c r="J32" s="29">
        <v>2</v>
      </c>
      <c r="K32" s="29">
        <v>4</v>
      </c>
      <c r="L32" s="29">
        <v>6</v>
      </c>
      <c r="M32" s="29">
        <v>6</v>
      </c>
    </row>
    <row r="33" spans="1:13">
      <c r="A33" s="29" t="s">
        <v>148</v>
      </c>
      <c r="B33" s="29" t="s">
        <v>37</v>
      </c>
      <c r="C33" s="29" t="s">
        <v>35</v>
      </c>
      <c r="D33" s="30">
        <v>45938</v>
      </c>
      <c r="E33" s="30">
        <v>45939</v>
      </c>
      <c r="F33" s="30">
        <v>45943</v>
      </c>
      <c r="G33" s="30">
        <v>45947</v>
      </c>
      <c r="H33" s="29" t="s">
        <v>22</v>
      </c>
      <c r="I33" s="30">
        <v>45971</v>
      </c>
      <c r="J33" s="29">
        <v>1</v>
      </c>
      <c r="K33" s="29">
        <v>4</v>
      </c>
      <c r="L33" s="29">
        <v>4</v>
      </c>
      <c r="M33" s="29">
        <v>8</v>
      </c>
    </row>
    <row r="34" spans="1:13">
      <c r="A34" s="29" t="s">
        <v>150</v>
      </c>
      <c r="B34" s="29" t="s">
        <v>24</v>
      </c>
      <c r="C34" s="29" t="s">
        <v>35</v>
      </c>
      <c r="D34" s="30">
        <v>45954</v>
      </c>
      <c r="E34" s="30">
        <v>45955</v>
      </c>
      <c r="F34" s="30">
        <v>45957</v>
      </c>
      <c r="G34" s="30">
        <v>45959</v>
      </c>
      <c r="H34" s="29" t="s">
        <v>22</v>
      </c>
      <c r="I34" s="30">
        <v>45969</v>
      </c>
      <c r="J34" s="29">
        <v>1</v>
      </c>
      <c r="K34" s="29">
        <v>2</v>
      </c>
      <c r="L34" s="29">
        <v>2</v>
      </c>
      <c r="M34" s="29">
        <v>1</v>
      </c>
    </row>
    <row r="35" spans="1:13">
      <c r="A35" s="29" t="s">
        <v>154</v>
      </c>
      <c r="B35" s="29" t="s">
        <v>24</v>
      </c>
      <c r="C35" s="29" t="s">
        <v>35</v>
      </c>
      <c r="D35" s="30">
        <v>45954</v>
      </c>
      <c r="E35" s="30">
        <v>45958</v>
      </c>
      <c r="F35" s="30">
        <v>45961</v>
      </c>
      <c r="G35" s="30">
        <v>45964</v>
      </c>
      <c r="H35" s="29" t="s">
        <v>22</v>
      </c>
      <c r="I35" s="30">
        <v>45981</v>
      </c>
      <c r="J35" s="29">
        <v>4</v>
      </c>
      <c r="K35" s="29">
        <v>3</v>
      </c>
      <c r="L35" s="29">
        <v>3</v>
      </c>
      <c r="M35" s="29">
        <v>2</v>
      </c>
    </row>
    <row r="36" spans="1:13">
      <c r="A36" s="29" t="s">
        <v>155</v>
      </c>
      <c r="B36" s="29" t="s">
        <v>26</v>
      </c>
      <c r="C36" s="29" t="s">
        <v>35</v>
      </c>
      <c r="D36" s="30">
        <v>45948</v>
      </c>
      <c r="E36" s="30">
        <v>45952</v>
      </c>
      <c r="F36" s="30">
        <v>45957</v>
      </c>
      <c r="G36" s="30">
        <v>45962</v>
      </c>
      <c r="H36" s="29" t="s">
        <v>22</v>
      </c>
      <c r="I36" s="30">
        <v>45974</v>
      </c>
      <c r="J36" s="29">
        <v>4</v>
      </c>
      <c r="K36" s="29">
        <v>5</v>
      </c>
      <c r="L36" s="29">
        <v>5</v>
      </c>
      <c r="M36" s="29">
        <v>6</v>
      </c>
    </row>
    <row r="37" spans="1:13">
      <c r="A37" s="29" t="s">
        <v>156</v>
      </c>
      <c r="B37" s="29" t="s">
        <v>26</v>
      </c>
      <c r="C37" s="29" t="s">
        <v>35</v>
      </c>
      <c r="D37" s="30">
        <v>45961</v>
      </c>
      <c r="E37" s="30">
        <v>45966</v>
      </c>
      <c r="F37" s="30">
        <v>45969</v>
      </c>
      <c r="G37" s="30">
        <v>45975</v>
      </c>
      <c r="H37" s="29" t="s">
        <v>22</v>
      </c>
      <c r="I37" s="30">
        <v>45996</v>
      </c>
      <c r="J37" s="29">
        <v>5</v>
      </c>
      <c r="K37" s="29">
        <v>3</v>
      </c>
      <c r="L37" s="29">
        <v>6</v>
      </c>
      <c r="M37" s="29">
        <v>5</v>
      </c>
    </row>
    <row r="38" spans="1:13">
      <c r="A38" s="29" t="s">
        <v>158</v>
      </c>
      <c r="B38" s="29" t="s">
        <v>26</v>
      </c>
      <c r="C38" s="29" t="s">
        <v>35</v>
      </c>
      <c r="D38" s="30">
        <v>45953</v>
      </c>
      <c r="E38" s="30">
        <v>45957</v>
      </c>
      <c r="F38" s="30">
        <v>45958</v>
      </c>
      <c r="G38" s="30">
        <v>45965</v>
      </c>
      <c r="H38" s="29" t="s">
        <v>22</v>
      </c>
      <c r="I38" s="30">
        <v>45978</v>
      </c>
      <c r="J38" s="29">
        <v>4</v>
      </c>
      <c r="K38" s="29">
        <v>1</v>
      </c>
      <c r="L38" s="29">
        <v>7</v>
      </c>
      <c r="M38" s="29">
        <v>0</v>
      </c>
    </row>
    <row r="39" spans="1:13">
      <c r="A39" s="29" t="s">
        <v>161</v>
      </c>
      <c r="B39" s="29" t="s">
        <v>20</v>
      </c>
      <c r="C39" s="29" t="s">
        <v>35</v>
      </c>
      <c r="D39" s="30">
        <v>45937</v>
      </c>
      <c r="E39" s="30">
        <v>45939</v>
      </c>
      <c r="F39" s="30">
        <v>45944</v>
      </c>
      <c r="G39" s="30">
        <v>45949</v>
      </c>
      <c r="H39" s="29" t="s">
        <v>22</v>
      </c>
      <c r="I39" s="30">
        <v>45960</v>
      </c>
      <c r="J39" s="29">
        <v>2</v>
      </c>
      <c r="K39" s="29">
        <v>5</v>
      </c>
      <c r="L39" s="29">
        <v>5</v>
      </c>
      <c r="M39" s="29">
        <v>4</v>
      </c>
    </row>
    <row r="40" spans="1:13">
      <c r="A40" s="29" t="s">
        <v>164</v>
      </c>
      <c r="B40" s="29" t="s">
        <v>37</v>
      </c>
      <c r="C40" s="29" t="s">
        <v>35</v>
      </c>
      <c r="D40" s="30">
        <v>45939</v>
      </c>
      <c r="E40" s="30">
        <v>45944</v>
      </c>
      <c r="F40" s="30">
        <v>45946</v>
      </c>
      <c r="G40" s="30">
        <v>45953</v>
      </c>
      <c r="H40" s="29" t="s">
        <v>22</v>
      </c>
      <c r="I40" s="30">
        <v>45975</v>
      </c>
      <c r="J40" s="29">
        <v>5</v>
      </c>
      <c r="K40" s="29">
        <v>2</v>
      </c>
      <c r="L40" s="29">
        <v>7</v>
      </c>
      <c r="M40" s="29">
        <v>4</v>
      </c>
    </row>
    <row r="41" spans="1:13">
      <c r="A41" s="29" t="s">
        <v>175</v>
      </c>
      <c r="B41" s="29" t="s">
        <v>24</v>
      </c>
      <c r="C41" s="29" t="s">
        <v>35</v>
      </c>
      <c r="D41" s="30">
        <v>45938</v>
      </c>
      <c r="E41" s="30">
        <v>45942</v>
      </c>
      <c r="F41" s="30">
        <v>45943</v>
      </c>
      <c r="G41" s="30">
        <v>45945</v>
      </c>
      <c r="H41" s="29" t="s">
        <v>22</v>
      </c>
      <c r="I41" s="30">
        <v>45967</v>
      </c>
      <c r="J41" s="29">
        <v>4</v>
      </c>
      <c r="K41" s="29">
        <v>1</v>
      </c>
      <c r="L41" s="29">
        <v>2</v>
      </c>
      <c r="M41" s="29">
        <v>4</v>
      </c>
    </row>
    <row r="42" spans="1:13">
      <c r="A42" s="29" t="s">
        <v>176</v>
      </c>
      <c r="B42" s="29" t="s">
        <v>37</v>
      </c>
      <c r="C42" s="29" t="s">
        <v>35</v>
      </c>
      <c r="D42" s="30">
        <v>45942</v>
      </c>
      <c r="E42" s="30">
        <v>45947</v>
      </c>
      <c r="F42" s="30">
        <v>45951</v>
      </c>
      <c r="G42" s="30">
        <v>45957</v>
      </c>
      <c r="H42" s="29" t="s">
        <v>22</v>
      </c>
      <c r="I42" s="30">
        <v>45978</v>
      </c>
      <c r="J42" s="29">
        <v>5</v>
      </c>
      <c r="K42" s="29">
        <v>4</v>
      </c>
      <c r="L42" s="29">
        <v>6</v>
      </c>
      <c r="M42" s="29">
        <v>1</v>
      </c>
    </row>
    <row r="43" spans="1:13">
      <c r="A43" s="29" t="s">
        <v>177</v>
      </c>
      <c r="B43" s="29" t="s">
        <v>20</v>
      </c>
      <c r="C43" s="29" t="s">
        <v>35</v>
      </c>
      <c r="D43" s="30">
        <v>45936</v>
      </c>
      <c r="E43" s="30">
        <v>45939</v>
      </c>
      <c r="F43" s="30">
        <v>45942</v>
      </c>
      <c r="G43" s="30">
        <v>45944</v>
      </c>
      <c r="H43" s="29" t="s">
        <v>22</v>
      </c>
      <c r="I43" s="30">
        <v>45971</v>
      </c>
      <c r="J43" s="29">
        <v>3</v>
      </c>
      <c r="K43" s="29">
        <v>3</v>
      </c>
      <c r="L43" s="29">
        <v>2</v>
      </c>
      <c r="M43" s="29">
        <v>6</v>
      </c>
    </row>
    <row r="44" spans="1:13">
      <c r="A44" s="29" t="s">
        <v>179</v>
      </c>
      <c r="B44" s="29" t="s">
        <v>20</v>
      </c>
      <c r="C44" s="29" t="s">
        <v>35</v>
      </c>
      <c r="D44" s="30">
        <v>45931</v>
      </c>
      <c r="E44" s="30">
        <v>45933</v>
      </c>
      <c r="F44" s="30">
        <v>45934</v>
      </c>
      <c r="G44" s="30">
        <v>45938</v>
      </c>
      <c r="H44" s="29" t="s">
        <v>22</v>
      </c>
      <c r="I44" s="30">
        <v>45951</v>
      </c>
      <c r="J44" s="29">
        <v>2</v>
      </c>
      <c r="K44" s="29">
        <v>1</v>
      </c>
      <c r="L44" s="29">
        <v>4</v>
      </c>
      <c r="M44" s="29">
        <v>6</v>
      </c>
    </row>
    <row r="45" spans="1:13">
      <c r="A45" s="29" t="s">
        <v>181</v>
      </c>
      <c r="B45" s="29" t="s">
        <v>37</v>
      </c>
      <c r="C45" s="29" t="s">
        <v>35</v>
      </c>
      <c r="D45" s="30">
        <v>45948</v>
      </c>
      <c r="E45" s="30">
        <v>45952</v>
      </c>
      <c r="F45" s="30">
        <v>45954</v>
      </c>
      <c r="G45" s="30">
        <v>45956</v>
      </c>
      <c r="H45" s="29" t="s">
        <v>22</v>
      </c>
      <c r="I45" s="30">
        <v>45981</v>
      </c>
      <c r="J45" s="29">
        <v>4</v>
      </c>
      <c r="K45" s="29">
        <v>2</v>
      </c>
      <c r="L45" s="29">
        <v>2</v>
      </c>
      <c r="M45" s="29">
        <v>5</v>
      </c>
    </row>
    <row r="46" spans="1:13">
      <c r="A46" s="29" t="s">
        <v>183</v>
      </c>
      <c r="B46" s="29" t="s">
        <v>20</v>
      </c>
      <c r="C46" s="29" t="s">
        <v>35</v>
      </c>
      <c r="D46" s="30">
        <v>45939</v>
      </c>
      <c r="E46" s="30">
        <v>45940</v>
      </c>
      <c r="F46" s="30">
        <v>45945</v>
      </c>
      <c r="G46" s="30">
        <v>45948</v>
      </c>
      <c r="H46" s="29" t="s">
        <v>22</v>
      </c>
      <c r="I46" s="30">
        <v>45978</v>
      </c>
      <c r="J46" s="29">
        <v>1</v>
      </c>
      <c r="K46" s="29">
        <v>5</v>
      </c>
      <c r="L46" s="29">
        <v>3</v>
      </c>
      <c r="M46" s="29">
        <v>2</v>
      </c>
    </row>
    <row r="47" spans="1:13">
      <c r="A47" s="29" t="s">
        <v>188</v>
      </c>
      <c r="B47" s="29" t="s">
        <v>20</v>
      </c>
      <c r="C47" s="29" t="s">
        <v>35</v>
      </c>
      <c r="D47" s="30">
        <v>45953</v>
      </c>
      <c r="E47" s="30">
        <v>45955</v>
      </c>
      <c r="F47" s="30">
        <v>45959</v>
      </c>
      <c r="G47" s="30">
        <v>45963</v>
      </c>
      <c r="H47" s="29" t="s">
        <v>22</v>
      </c>
      <c r="I47" s="30">
        <v>45978</v>
      </c>
      <c r="J47" s="29">
        <v>2</v>
      </c>
      <c r="K47" s="29">
        <v>4</v>
      </c>
      <c r="L47" s="29">
        <v>4</v>
      </c>
      <c r="M47" s="29">
        <v>4</v>
      </c>
    </row>
    <row r="48" spans="1:13">
      <c r="A48" s="29" t="s">
        <v>190</v>
      </c>
      <c r="B48" s="29" t="s">
        <v>26</v>
      </c>
      <c r="C48" s="29" t="s">
        <v>35</v>
      </c>
      <c r="D48" s="30">
        <v>45935</v>
      </c>
      <c r="E48" s="30">
        <v>45938</v>
      </c>
      <c r="F48" s="30">
        <v>45942</v>
      </c>
      <c r="G48" s="30">
        <v>45945</v>
      </c>
      <c r="H48" s="29" t="s">
        <v>22</v>
      </c>
      <c r="I48" s="30">
        <v>45969</v>
      </c>
      <c r="J48" s="29">
        <v>3</v>
      </c>
      <c r="K48" s="29">
        <v>4</v>
      </c>
      <c r="L48" s="29">
        <v>3</v>
      </c>
      <c r="M48" s="29">
        <v>8</v>
      </c>
    </row>
    <row r="49" spans="1:13">
      <c r="A49" s="29" t="s">
        <v>192</v>
      </c>
      <c r="B49" s="29" t="s">
        <v>37</v>
      </c>
      <c r="C49" s="29" t="s">
        <v>35</v>
      </c>
      <c r="D49" s="30">
        <v>45958</v>
      </c>
      <c r="E49" s="30">
        <v>45960</v>
      </c>
      <c r="F49" s="30">
        <v>45964</v>
      </c>
      <c r="G49" s="30">
        <v>45969</v>
      </c>
      <c r="H49" s="29" t="s">
        <v>22</v>
      </c>
      <c r="I49" s="30">
        <v>45981</v>
      </c>
      <c r="J49" s="29">
        <v>2</v>
      </c>
      <c r="K49" s="29">
        <v>4</v>
      </c>
      <c r="L49" s="29">
        <v>5</v>
      </c>
      <c r="M49" s="29">
        <v>5</v>
      </c>
    </row>
    <row r="50" spans="1:13">
      <c r="A50" s="29" t="s">
        <v>195</v>
      </c>
      <c r="B50" s="29" t="s">
        <v>26</v>
      </c>
      <c r="C50" s="29" t="s">
        <v>35</v>
      </c>
      <c r="D50" s="30">
        <v>45934</v>
      </c>
      <c r="E50" s="30">
        <v>45937</v>
      </c>
      <c r="F50" s="30">
        <v>45940</v>
      </c>
      <c r="G50" s="30">
        <v>45945</v>
      </c>
      <c r="H50" s="29" t="s">
        <v>22</v>
      </c>
      <c r="I50" s="30">
        <v>45955</v>
      </c>
      <c r="J50" s="29">
        <v>3</v>
      </c>
      <c r="K50" s="29">
        <v>3</v>
      </c>
      <c r="L50" s="29">
        <v>5</v>
      </c>
      <c r="M50" s="29">
        <v>7</v>
      </c>
    </row>
    <row r="51" spans="1:13">
      <c r="A51" s="29" t="s">
        <v>196</v>
      </c>
      <c r="B51" s="29" t="s">
        <v>20</v>
      </c>
      <c r="C51" s="29" t="s">
        <v>35</v>
      </c>
      <c r="D51" s="30">
        <v>45958</v>
      </c>
      <c r="E51" s="30">
        <v>45961</v>
      </c>
      <c r="F51" s="30">
        <v>45964</v>
      </c>
      <c r="G51" s="30">
        <v>45970</v>
      </c>
      <c r="H51" s="29" t="s">
        <v>22</v>
      </c>
      <c r="I51" s="30">
        <v>45990</v>
      </c>
      <c r="J51" s="29">
        <v>3</v>
      </c>
      <c r="K51" s="29">
        <v>3</v>
      </c>
      <c r="L51" s="29">
        <v>6</v>
      </c>
      <c r="M51" s="29">
        <v>5</v>
      </c>
    </row>
    <row r="52" spans="1:13">
      <c r="A52" s="29" t="s">
        <v>197</v>
      </c>
      <c r="B52" s="29" t="s">
        <v>26</v>
      </c>
      <c r="C52" s="29" t="s">
        <v>35</v>
      </c>
      <c r="D52" s="30">
        <v>45931</v>
      </c>
      <c r="E52" s="30">
        <v>45932</v>
      </c>
      <c r="F52" s="30">
        <v>45933</v>
      </c>
      <c r="G52" s="30">
        <v>45939</v>
      </c>
      <c r="H52" s="29" t="s">
        <v>22</v>
      </c>
      <c r="I52" s="30">
        <v>45957</v>
      </c>
      <c r="J52" s="29">
        <v>1</v>
      </c>
      <c r="K52" s="29">
        <v>1</v>
      </c>
      <c r="L52" s="29">
        <v>6</v>
      </c>
      <c r="M52" s="29">
        <v>6</v>
      </c>
    </row>
    <row r="53" spans="1:13">
      <c r="A53" s="29" t="s">
        <v>202</v>
      </c>
      <c r="B53" s="29" t="s">
        <v>24</v>
      </c>
      <c r="C53" s="29" t="s">
        <v>35</v>
      </c>
      <c r="D53" s="30">
        <v>45945</v>
      </c>
      <c r="E53" s="30">
        <v>45947</v>
      </c>
      <c r="F53" s="30">
        <v>45948</v>
      </c>
      <c r="G53" s="30">
        <v>45954</v>
      </c>
      <c r="H53" s="29" t="s">
        <v>22</v>
      </c>
      <c r="I53" s="30">
        <v>45974</v>
      </c>
      <c r="J53" s="29">
        <v>2</v>
      </c>
      <c r="K53" s="29">
        <v>1</v>
      </c>
      <c r="L53" s="29">
        <v>6</v>
      </c>
      <c r="M53" s="29">
        <v>2</v>
      </c>
    </row>
    <row r="54" spans="1:13">
      <c r="A54" s="29" t="s">
        <v>204</v>
      </c>
      <c r="B54" s="29" t="s">
        <v>37</v>
      </c>
      <c r="C54" s="29" t="s">
        <v>35</v>
      </c>
      <c r="D54" s="30">
        <v>45936</v>
      </c>
      <c r="E54" s="30">
        <v>45940</v>
      </c>
      <c r="F54" s="30">
        <v>45942</v>
      </c>
      <c r="G54" s="30">
        <v>45946</v>
      </c>
      <c r="H54" s="29" t="s">
        <v>22</v>
      </c>
      <c r="I54" s="30">
        <v>45961</v>
      </c>
      <c r="J54" s="29">
        <v>4</v>
      </c>
      <c r="K54" s="29">
        <v>2</v>
      </c>
      <c r="L54" s="29">
        <v>4</v>
      </c>
      <c r="M54" s="29">
        <v>1</v>
      </c>
    </row>
    <row r="55" spans="1:13">
      <c r="A55" s="29" t="s">
        <v>205</v>
      </c>
      <c r="B55" s="29" t="s">
        <v>37</v>
      </c>
      <c r="C55" s="29" t="s">
        <v>35</v>
      </c>
      <c r="D55" s="30">
        <v>45961</v>
      </c>
      <c r="E55" s="30">
        <v>45966</v>
      </c>
      <c r="F55" s="30">
        <v>45970</v>
      </c>
      <c r="G55" s="30">
        <v>45976</v>
      </c>
      <c r="H55" s="29" t="s">
        <v>22</v>
      </c>
      <c r="I55" s="30">
        <v>45998</v>
      </c>
      <c r="J55" s="29">
        <v>5</v>
      </c>
      <c r="K55" s="29">
        <v>4</v>
      </c>
      <c r="L55" s="29">
        <v>6</v>
      </c>
      <c r="M55" s="29">
        <v>8</v>
      </c>
    </row>
    <row r="56" spans="1:13">
      <c r="A56" s="29" t="s">
        <v>206</v>
      </c>
      <c r="B56" s="29" t="s">
        <v>37</v>
      </c>
      <c r="C56" s="29" t="s">
        <v>35</v>
      </c>
      <c r="D56" s="30">
        <v>45932</v>
      </c>
      <c r="E56" s="30">
        <v>45934</v>
      </c>
      <c r="F56" s="30">
        <v>45936</v>
      </c>
      <c r="G56" s="30">
        <v>45938</v>
      </c>
      <c r="H56" s="29" t="s">
        <v>22</v>
      </c>
      <c r="I56" s="30">
        <v>45953</v>
      </c>
      <c r="J56" s="29">
        <v>2</v>
      </c>
      <c r="K56" s="29">
        <v>2</v>
      </c>
      <c r="L56" s="29">
        <v>2</v>
      </c>
      <c r="M56" s="29">
        <v>6</v>
      </c>
    </row>
    <row r="57" spans="1:13">
      <c r="A57" s="29" t="s">
        <v>210</v>
      </c>
      <c r="B57" s="29" t="s">
        <v>26</v>
      </c>
      <c r="C57" s="29" t="s">
        <v>35</v>
      </c>
      <c r="D57" s="30">
        <v>45946</v>
      </c>
      <c r="E57" s="30">
        <v>45949</v>
      </c>
      <c r="F57" s="30">
        <v>45953</v>
      </c>
      <c r="G57" s="30">
        <v>45959</v>
      </c>
      <c r="H57" s="29" t="s">
        <v>22</v>
      </c>
      <c r="I57" s="30">
        <v>45971</v>
      </c>
      <c r="J57" s="29">
        <v>3</v>
      </c>
      <c r="K57" s="29">
        <v>4</v>
      </c>
      <c r="L57" s="29">
        <v>6</v>
      </c>
      <c r="M57" s="29">
        <v>5</v>
      </c>
    </row>
    <row r="58" spans="1:13">
      <c r="A58" s="29" t="s">
        <v>213</v>
      </c>
      <c r="B58" s="29" t="s">
        <v>26</v>
      </c>
      <c r="C58" s="29" t="s">
        <v>35</v>
      </c>
      <c r="D58" s="30">
        <v>45933</v>
      </c>
      <c r="E58" s="30">
        <v>45934</v>
      </c>
      <c r="F58" s="30">
        <v>45935</v>
      </c>
      <c r="G58" s="30">
        <v>45937</v>
      </c>
      <c r="H58" s="29" t="s">
        <v>22</v>
      </c>
      <c r="I58" s="30">
        <v>45966</v>
      </c>
      <c r="J58" s="29">
        <v>1</v>
      </c>
      <c r="K58" s="29">
        <v>1</v>
      </c>
      <c r="L58" s="29">
        <v>2</v>
      </c>
      <c r="M58" s="29">
        <v>1</v>
      </c>
    </row>
    <row r="59" spans="1:13">
      <c r="A59" s="29" t="s">
        <v>216</v>
      </c>
      <c r="B59" s="29" t="s">
        <v>24</v>
      </c>
      <c r="C59" s="29" t="s">
        <v>35</v>
      </c>
      <c r="D59" s="30">
        <v>45933</v>
      </c>
      <c r="E59" s="30">
        <v>45934</v>
      </c>
      <c r="F59" s="30">
        <v>45937</v>
      </c>
      <c r="G59" s="30">
        <v>45944</v>
      </c>
      <c r="H59" s="29" t="s">
        <v>22</v>
      </c>
      <c r="I59" s="30">
        <v>45954</v>
      </c>
      <c r="J59" s="29">
        <v>1</v>
      </c>
      <c r="K59" s="29">
        <v>3</v>
      </c>
      <c r="L59" s="29">
        <v>7</v>
      </c>
      <c r="M59" s="29">
        <v>6</v>
      </c>
    </row>
    <row r="60" spans="1:13">
      <c r="A60" s="29" t="s">
        <v>220</v>
      </c>
      <c r="B60" s="29" t="s">
        <v>26</v>
      </c>
      <c r="C60" s="29" t="s">
        <v>35</v>
      </c>
      <c r="D60" s="30">
        <v>45932</v>
      </c>
      <c r="E60" s="30">
        <v>45937</v>
      </c>
      <c r="F60" s="30">
        <v>45940</v>
      </c>
      <c r="G60" s="30">
        <v>45945</v>
      </c>
      <c r="H60" s="29" t="s">
        <v>22</v>
      </c>
      <c r="I60" s="30">
        <v>45974</v>
      </c>
      <c r="J60" s="29">
        <v>5</v>
      </c>
      <c r="K60" s="29">
        <v>3</v>
      </c>
      <c r="L60" s="29">
        <v>5</v>
      </c>
      <c r="M60" s="29">
        <v>7</v>
      </c>
    </row>
    <row r="61" spans="1:13">
      <c r="A61" s="29" t="s">
        <v>221</v>
      </c>
      <c r="B61" s="29" t="s">
        <v>20</v>
      </c>
      <c r="C61" s="29" t="s">
        <v>35</v>
      </c>
      <c r="D61" s="30">
        <v>45935</v>
      </c>
      <c r="E61" s="30">
        <v>45939</v>
      </c>
      <c r="F61" s="30">
        <v>45942</v>
      </c>
      <c r="G61" s="30">
        <v>45946</v>
      </c>
      <c r="H61" s="29" t="s">
        <v>22</v>
      </c>
      <c r="I61" s="30">
        <v>45969</v>
      </c>
      <c r="J61" s="29">
        <v>4</v>
      </c>
      <c r="K61" s="29">
        <v>3</v>
      </c>
      <c r="L61" s="29">
        <v>4</v>
      </c>
      <c r="M61" s="29">
        <v>9</v>
      </c>
    </row>
    <row r="62" spans="1:13">
      <c r="A62" s="29" t="s">
        <v>229</v>
      </c>
      <c r="B62" s="29" t="s">
        <v>24</v>
      </c>
      <c r="C62" s="29" t="s">
        <v>35</v>
      </c>
      <c r="D62" s="30">
        <v>45934</v>
      </c>
      <c r="E62" s="30">
        <v>45938</v>
      </c>
      <c r="F62" s="30">
        <v>45943</v>
      </c>
      <c r="G62" s="30">
        <v>45946</v>
      </c>
      <c r="H62" s="29" t="s">
        <v>22</v>
      </c>
      <c r="I62" s="30">
        <v>45962</v>
      </c>
      <c r="J62" s="29">
        <v>4</v>
      </c>
      <c r="K62" s="29">
        <v>5</v>
      </c>
      <c r="L62" s="29">
        <v>3</v>
      </c>
      <c r="M62" s="29">
        <v>10</v>
      </c>
    </row>
    <row r="63" spans="1:13">
      <c r="A63" s="29" t="s">
        <v>233</v>
      </c>
      <c r="B63" s="29" t="s">
        <v>37</v>
      </c>
      <c r="C63" s="29" t="s">
        <v>35</v>
      </c>
      <c r="D63" s="30">
        <v>45950</v>
      </c>
      <c r="E63" s="30">
        <v>45953</v>
      </c>
      <c r="F63" s="30">
        <v>45956</v>
      </c>
      <c r="G63" s="30">
        <v>45962</v>
      </c>
      <c r="H63" s="29" t="s">
        <v>22</v>
      </c>
      <c r="I63" s="30">
        <v>45985</v>
      </c>
      <c r="J63" s="29">
        <v>3</v>
      </c>
      <c r="K63" s="29">
        <v>3</v>
      </c>
      <c r="L63" s="29">
        <v>6</v>
      </c>
      <c r="M63" s="29">
        <v>6</v>
      </c>
    </row>
    <row r="64" spans="1:13">
      <c r="A64" s="29" t="s">
        <v>234</v>
      </c>
      <c r="B64" s="29" t="s">
        <v>24</v>
      </c>
      <c r="C64" s="29" t="s">
        <v>35</v>
      </c>
      <c r="D64" s="30">
        <v>45950</v>
      </c>
      <c r="E64" s="30">
        <v>45952</v>
      </c>
      <c r="F64" s="30">
        <v>45954</v>
      </c>
      <c r="G64" s="30">
        <v>45961</v>
      </c>
      <c r="H64" s="29" t="s">
        <v>22</v>
      </c>
      <c r="I64" s="30">
        <v>45988</v>
      </c>
      <c r="J64" s="29">
        <v>2</v>
      </c>
      <c r="K64" s="29">
        <v>2</v>
      </c>
      <c r="L64" s="29">
        <v>7</v>
      </c>
      <c r="M64" s="29">
        <v>2</v>
      </c>
    </row>
    <row r="65" spans="1:13">
      <c r="A65" s="29" t="s">
        <v>235</v>
      </c>
      <c r="B65" s="29" t="s">
        <v>24</v>
      </c>
      <c r="C65" s="29" t="s">
        <v>35</v>
      </c>
      <c r="D65" s="30">
        <v>45956</v>
      </c>
      <c r="E65" s="30">
        <v>45961</v>
      </c>
      <c r="F65" s="30">
        <v>45962</v>
      </c>
      <c r="G65" s="30">
        <v>45966</v>
      </c>
      <c r="H65" s="29" t="s">
        <v>22</v>
      </c>
      <c r="I65" s="30">
        <v>45993</v>
      </c>
      <c r="J65" s="29">
        <v>5</v>
      </c>
      <c r="K65" s="29">
        <v>1</v>
      </c>
      <c r="L65" s="29">
        <v>4</v>
      </c>
      <c r="M65" s="29">
        <v>2</v>
      </c>
    </row>
    <row r="66" spans="1:13">
      <c r="A66" s="29" t="s">
        <v>238</v>
      </c>
      <c r="B66" s="29" t="s">
        <v>24</v>
      </c>
      <c r="C66" s="29" t="s">
        <v>35</v>
      </c>
      <c r="D66" s="30">
        <v>45955</v>
      </c>
      <c r="E66" s="30">
        <v>45958</v>
      </c>
      <c r="F66" s="30">
        <v>45960</v>
      </c>
      <c r="G66" s="30">
        <v>45966</v>
      </c>
      <c r="H66" s="29" t="s">
        <v>22</v>
      </c>
      <c r="I66" s="30">
        <v>45985</v>
      </c>
      <c r="J66" s="29">
        <v>3</v>
      </c>
      <c r="K66" s="29">
        <v>2</v>
      </c>
      <c r="L66" s="29">
        <v>6</v>
      </c>
      <c r="M66" s="29">
        <v>2</v>
      </c>
    </row>
    <row r="67" spans="1:13">
      <c r="A67" s="29" t="s">
        <v>242</v>
      </c>
      <c r="B67" s="29" t="s">
        <v>20</v>
      </c>
      <c r="C67" s="29" t="s">
        <v>35</v>
      </c>
      <c r="D67" s="30">
        <v>45960</v>
      </c>
      <c r="E67" s="30">
        <v>45964</v>
      </c>
      <c r="F67" s="30">
        <v>45967</v>
      </c>
      <c r="G67" s="30">
        <v>45972</v>
      </c>
      <c r="H67" s="29" t="s">
        <v>22</v>
      </c>
      <c r="I67" s="30">
        <v>45989</v>
      </c>
      <c r="J67" s="29">
        <v>4</v>
      </c>
      <c r="K67" s="29">
        <v>3</v>
      </c>
      <c r="L67" s="29">
        <v>5</v>
      </c>
      <c r="M67" s="29">
        <v>9</v>
      </c>
    </row>
    <row r="68" spans="1:13">
      <c r="A68" s="29" t="s">
        <v>245</v>
      </c>
      <c r="B68" s="29" t="s">
        <v>26</v>
      </c>
      <c r="C68" s="29" t="s">
        <v>35</v>
      </c>
      <c r="D68" s="30">
        <v>45958</v>
      </c>
      <c r="E68" s="30">
        <v>45960</v>
      </c>
      <c r="F68" s="30">
        <v>45961</v>
      </c>
      <c r="G68" s="30">
        <v>45967</v>
      </c>
      <c r="H68" s="29" t="s">
        <v>22</v>
      </c>
      <c r="I68" s="30">
        <v>45980</v>
      </c>
      <c r="J68" s="29">
        <v>2</v>
      </c>
      <c r="K68" s="29">
        <v>1</v>
      </c>
      <c r="L68" s="29">
        <v>6</v>
      </c>
      <c r="M68" s="29">
        <v>4</v>
      </c>
    </row>
    <row r="69" spans="1:13">
      <c r="A69" s="29" t="s">
        <v>246</v>
      </c>
      <c r="B69" s="29" t="s">
        <v>20</v>
      </c>
      <c r="C69" s="29" t="s">
        <v>35</v>
      </c>
      <c r="D69" s="30">
        <v>45949</v>
      </c>
      <c r="E69" s="30">
        <v>45953</v>
      </c>
      <c r="F69" s="30">
        <v>45956</v>
      </c>
      <c r="G69" s="30">
        <v>45959</v>
      </c>
      <c r="H69" s="29" t="s">
        <v>22</v>
      </c>
      <c r="I69" s="30">
        <v>45970</v>
      </c>
      <c r="J69" s="29">
        <v>4</v>
      </c>
      <c r="K69" s="29">
        <v>3</v>
      </c>
      <c r="L69" s="29">
        <v>3</v>
      </c>
      <c r="M69" s="29">
        <v>2</v>
      </c>
    </row>
    <row r="70" spans="1:13">
      <c r="A70" s="29" t="s">
        <v>249</v>
      </c>
      <c r="B70" s="29" t="s">
        <v>37</v>
      </c>
      <c r="C70" s="29" t="s">
        <v>35</v>
      </c>
      <c r="D70" s="30">
        <v>45949</v>
      </c>
      <c r="E70" s="30">
        <v>45954</v>
      </c>
      <c r="F70" s="30">
        <v>45957</v>
      </c>
      <c r="G70" s="30">
        <v>45960</v>
      </c>
      <c r="H70" s="29" t="s">
        <v>22</v>
      </c>
      <c r="I70" s="30">
        <v>45982</v>
      </c>
      <c r="J70" s="29">
        <v>5</v>
      </c>
      <c r="K70" s="29">
        <v>3</v>
      </c>
      <c r="L70" s="29">
        <v>3</v>
      </c>
      <c r="M70" s="29">
        <v>0</v>
      </c>
    </row>
    <row r="71" spans="1:13">
      <c r="A71" s="29" t="s">
        <v>260</v>
      </c>
      <c r="B71" s="29" t="s">
        <v>20</v>
      </c>
      <c r="C71" s="29" t="s">
        <v>35</v>
      </c>
      <c r="D71" s="30">
        <v>45937</v>
      </c>
      <c r="E71" s="30">
        <v>45940</v>
      </c>
      <c r="F71" s="30">
        <v>45943</v>
      </c>
      <c r="G71" s="30">
        <v>45949</v>
      </c>
      <c r="H71" s="29" t="s">
        <v>22</v>
      </c>
      <c r="I71" s="30">
        <v>45960</v>
      </c>
      <c r="J71" s="29">
        <v>3</v>
      </c>
      <c r="K71" s="29">
        <v>3</v>
      </c>
      <c r="L71" s="29">
        <v>6</v>
      </c>
      <c r="M71" s="29">
        <v>4</v>
      </c>
    </row>
    <row r="72" spans="1:13">
      <c r="A72" s="29" t="s">
        <v>266</v>
      </c>
      <c r="B72" s="29" t="s">
        <v>26</v>
      </c>
      <c r="C72" s="29" t="s">
        <v>35</v>
      </c>
      <c r="D72" s="30">
        <v>45936</v>
      </c>
      <c r="E72" s="30">
        <v>45941</v>
      </c>
      <c r="F72" s="30">
        <v>45943</v>
      </c>
      <c r="G72" s="30">
        <v>45947</v>
      </c>
      <c r="H72" s="29" t="s">
        <v>22</v>
      </c>
      <c r="I72" s="30">
        <v>45959</v>
      </c>
      <c r="J72" s="29">
        <v>5</v>
      </c>
      <c r="K72" s="29">
        <v>2</v>
      </c>
      <c r="L72" s="29">
        <v>4</v>
      </c>
      <c r="M72" s="29">
        <v>9</v>
      </c>
    </row>
    <row r="73" spans="1:13">
      <c r="A73" s="29" t="s">
        <v>267</v>
      </c>
      <c r="B73" s="29" t="s">
        <v>37</v>
      </c>
      <c r="C73" s="29" t="s">
        <v>35</v>
      </c>
      <c r="D73" s="30">
        <v>45948</v>
      </c>
      <c r="E73" s="30">
        <v>45953</v>
      </c>
      <c r="F73" s="30">
        <v>45957</v>
      </c>
      <c r="G73" s="30">
        <v>45963</v>
      </c>
      <c r="H73" s="29" t="s">
        <v>22</v>
      </c>
      <c r="I73" s="30">
        <v>45982</v>
      </c>
      <c r="J73" s="29">
        <v>5</v>
      </c>
      <c r="K73" s="29">
        <v>4</v>
      </c>
      <c r="L73" s="29">
        <v>6</v>
      </c>
      <c r="M73" s="29">
        <v>4</v>
      </c>
    </row>
    <row r="74" spans="1:13">
      <c r="A74" s="29" t="s">
        <v>268</v>
      </c>
      <c r="B74" s="29" t="s">
        <v>24</v>
      </c>
      <c r="C74" s="29" t="s">
        <v>35</v>
      </c>
      <c r="D74" s="30">
        <v>45933</v>
      </c>
      <c r="E74" s="30">
        <v>45935</v>
      </c>
      <c r="F74" s="30">
        <v>45938</v>
      </c>
      <c r="G74" s="30">
        <v>45942</v>
      </c>
      <c r="H74" s="29" t="s">
        <v>22</v>
      </c>
      <c r="I74" s="30">
        <v>45972</v>
      </c>
      <c r="J74" s="29">
        <v>2</v>
      </c>
      <c r="K74" s="29">
        <v>3</v>
      </c>
      <c r="L74" s="29">
        <v>4</v>
      </c>
      <c r="M74" s="29">
        <v>7</v>
      </c>
    </row>
    <row r="75" spans="1:13">
      <c r="A75" s="29" t="s">
        <v>269</v>
      </c>
      <c r="B75" s="29" t="s">
        <v>24</v>
      </c>
      <c r="C75" s="29" t="s">
        <v>35</v>
      </c>
      <c r="D75" s="30">
        <v>45936</v>
      </c>
      <c r="E75" s="30">
        <v>45939</v>
      </c>
      <c r="F75" s="30">
        <v>45941</v>
      </c>
      <c r="G75" s="30">
        <v>45947</v>
      </c>
      <c r="H75" s="29" t="s">
        <v>22</v>
      </c>
      <c r="I75" s="30">
        <v>45976</v>
      </c>
      <c r="J75" s="29">
        <v>3</v>
      </c>
      <c r="K75" s="29">
        <v>2</v>
      </c>
      <c r="L75" s="29">
        <v>6</v>
      </c>
      <c r="M75" s="29">
        <v>7</v>
      </c>
    </row>
    <row r="76" spans="1:13">
      <c r="A76" s="29" t="s">
        <v>274</v>
      </c>
      <c r="B76" s="29" t="s">
        <v>37</v>
      </c>
      <c r="C76" s="29" t="s">
        <v>35</v>
      </c>
      <c r="D76" s="30">
        <v>45950</v>
      </c>
      <c r="E76" s="30">
        <v>45952</v>
      </c>
      <c r="F76" s="30">
        <v>45956</v>
      </c>
      <c r="G76" s="30">
        <v>45958</v>
      </c>
      <c r="H76" s="29" t="s">
        <v>22</v>
      </c>
      <c r="I76" s="30">
        <v>45968</v>
      </c>
      <c r="J76" s="29">
        <v>2</v>
      </c>
      <c r="K76" s="29">
        <v>4</v>
      </c>
      <c r="L76" s="29">
        <v>2</v>
      </c>
      <c r="M76" s="29">
        <v>1</v>
      </c>
    </row>
    <row r="77" spans="1:13">
      <c r="A77" s="29" t="s">
        <v>277</v>
      </c>
      <c r="B77" s="29" t="s">
        <v>24</v>
      </c>
      <c r="C77" s="29" t="s">
        <v>35</v>
      </c>
      <c r="D77" s="30">
        <v>45932</v>
      </c>
      <c r="E77" s="30">
        <v>45935</v>
      </c>
      <c r="F77" s="30">
        <v>45938</v>
      </c>
      <c r="G77" s="30">
        <v>45942</v>
      </c>
      <c r="H77" s="29" t="s">
        <v>22</v>
      </c>
      <c r="I77" s="30">
        <v>45958</v>
      </c>
      <c r="J77" s="29">
        <v>3</v>
      </c>
      <c r="K77" s="29">
        <v>3</v>
      </c>
      <c r="L77" s="29">
        <v>4</v>
      </c>
      <c r="M77" s="29">
        <v>6</v>
      </c>
    </row>
    <row r="78" spans="1:13">
      <c r="A78" s="29" t="s">
        <v>279</v>
      </c>
      <c r="B78" s="29" t="s">
        <v>26</v>
      </c>
      <c r="C78" s="29" t="s">
        <v>35</v>
      </c>
      <c r="D78" s="30">
        <v>45940</v>
      </c>
      <c r="E78" s="30">
        <v>45942</v>
      </c>
      <c r="F78" s="30">
        <v>45945</v>
      </c>
      <c r="G78" s="30">
        <v>45948</v>
      </c>
      <c r="H78" s="29" t="s">
        <v>22</v>
      </c>
      <c r="I78" s="30">
        <v>45963</v>
      </c>
      <c r="J78" s="29">
        <v>2</v>
      </c>
      <c r="K78" s="29">
        <v>3</v>
      </c>
      <c r="L78" s="29">
        <v>3</v>
      </c>
      <c r="M78" s="29">
        <v>6</v>
      </c>
    </row>
    <row r="79" spans="1:13">
      <c r="A79" s="29" t="s">
        <v>282</v>
      </c>
      <c r="B79" s="29" t="s">
        <v>26</v>
      </c>
      <c r="C79" s="29" t="s">
        <v>35</v>
      </c>
      <c r="D79" s="30">
        <v>45953</v>
      </c>
      <c r="E79" s="30">
        <v>45954</v>
      </c>
      <c r="F79" s="30">
        <v>45955</v>
      </c>
      <c r="G79" s="30">
        <v>45958</v>
      </c>
      <c r="H79" s="29" t="s">
        <v>22</v>
      </c>
      <c r="I79" s="30">
        <v>45970</v>
      </c>
      <c r="J79" s="29">
        <v>1</v>
      </c>
      <c r="K79" s="29">
        <v>1</v>
      </c>
      <c r="L79" s="29">
        <v>3</v>
      </c>
      <c r="M79" s="29">
        <v>3</v>
      </c>
    </row>
    <row r="80" spans="1:13">
      <c r="A80" s="29" t="s">
        <v>284</v>
      </c>
      <c r="B80" s="29" t="s">
        <v>26</v>
      </c>
      <c r="C80" s="29" t="s">
        <v>35</v>
      </c>
      <c r="D80" s="30">
        <v>45945</v>
      </c>
      <c r="E80" s="30">
        <v>45949</v>
      </c>
      <c r="F80" s="30">
        <v>45952</v>
      </c>
      <c r="G80" s="30">
        <v>45959</v>
      </c>
      <c r="H80" s="29" t="s">
        <v>22</v>
      </c>
      <c r="I80" s="30">
        <v>45972</v>
      </c>
      <c r="J80" s="29">
        <v>4</v>
      </c>
      <c r="K80" s="29">
        <v>3</v>
      </c>
      <c r="L80" s="29">
        <v>7</v>
      </c>
      <c r="M80" s="29">
        <v>6</v>
      </c>
    </row>
    <row r="81" spans="1:13">
      <c r="A81" s="29" t="s">
        <v>285</v>
      </c>
      <c r="B81" s="29" t="s">
        <v>26</v>
      </c>
      <c r="C81" s="29" t="s">
        <v>35</v>
      </c>
      <c r="D81" s="30">
        <v>45933</v>
      </c>
      <c r="E81" s="30">
        <v>45937</v>
      </c>
      <c r="F81" s="30">
        <v>45939</v>
      </c>
      <c r="G81" s="30">
        <v>45943</v>
      </c>
      <c r="H81" s="29" t="s">
        <v>22</v>
      </c>
      <c r="I81" s="30">
        <v>45962</v>
      </c>
      <c r="J81" s="29">
        <v>4</v>
      </c>
      <c r="K81" s="29">
        <v>2</v>
      </c>
      <c r="L81" s="29">
        <v>4</v>
      </c>
      <c r="M81" s="29">
        <v>10</v>
      </c>
    </row>
    <row r="82" spans="1:13">
      <c r="A82" s="29" t="s">
        <v>303</v>
      </c>
      <c r="B82" s="29" t="s">
        <v>26</v>
      </c>
      <c r="C82" s="29" t="s">
        <v>35</v>
      </c>
      <c r="D82" s="30">
        <v>45935</v>
      </c>
      <c r="E82" s="30">
        <v>45938</v>
      </c>
      <c r="F82" s="30">
        <v>45940</v>
      </c>
      <c r="G82" s="30">
        <v>45947</v>
      </c>
      <c r="H82" s="29" t="s">
        <v>22</v>
      </c>
      <c r="I82" s="30">
        <v>45968</v>
      </c>
      <c r="J82" s="29">
        <v>3</v>
      </c>
      <c r="K82" s="29">
        <v>2</v>
      </c>
      <c r="L82" s="29">
        <v>7</v>
      </c>
      <c r="M82" s="29">
        <v>5</v>
      </c>
    </row>
    <row r="83" spans="1:13">
      <c r="A83" s="29" t="s">
        <v>304</v>
      </c>
      <c r="B83" s="29" t="s">
        <v>20</v>
      </c>
      <c r="C83" s="29" t="s">
        <v>35</v>
      </c>
      <c r="D83" s="30">
        <v>45960</v>
      </c>
      <c r="E83" s="30">
        <v>45965</v>
      </c>
      <c r="F83" s="30">
        <v>45967</v>
      </c>
      <c r="G83" s="30">
        <v>45969</v>
      </c>
      <c r="H83" s="29" t="s">
        <v>22</v>
      </c>
      <c r="I83" s="30">
        <v>45984</v>
      </c>
      <c r="J83" s="29">
        <v>5</v>
      </c>
      <c r="K83" s="29">
        <v>2</v>
      </c>
      <c r="L83" s="29">
        <v>2</v>
      </c>
      <c r="M83" s="29">
        <v>6</v>
      </c>
    </row>
    <row r="84" spans="1:13">
      <c r="A84" s="29" t="s">
        <v>306</v>
      </c>
      <c r="B84" s="29" t="s">
        <v>26</v>
      </c>
      <c r="C84" s="29" t="s">
        <v>35</v>
      </c>
      <c r="D84" s="30">
        <v>45957</v>
      </c>
      <c r="E84" s="30">
        <v>45960</v>
      </c>
      <c r="F84" s="30">
        <v>45962</v>
      </c>
      <c r="G84" s="30">
        <v>45968</v>
      </c>
      <c r="H84" s="29" t="s">
        <v>22</v>
      </c>
      <c r="I84" s="30">
        <v>45979</v>
      </c>
      <c r="J84" s="29">
        <v>3</v>
      </c>
      <c r="K84" s="29">
        <v>2</v>
      </c>
      <c r="L84" s="29">
        <v>6</v>
      </c>
      <c r="M84" s="29">
        <v>2</v>
      </c>
    </row>
    <row r="85" spans="1:13">
      <c r="A85" s="29" t="s">
        <v>308</v>
      </c>
      <c r="B85" s="29" t="s">
        <v>24</v>
      </c>
      <c r="C85" s="29" t="s">
        <v>35</v>
      </c>
      <c r="D85" s="30">
        <v>45933</v>
      </c>
      <c r="E85" s="30">
        <v>45934</v>
      </c>
      <c r="F85" s="30">
        <v>45939</v>
      </c>
      <c r="G85" s="30">
        <v>45943</v>
      </c>
      <c r="H85" s="29" t="s">
        <v>22</v>
      </c>
      <c r="I85" s="30">
        <v>45967</v>
      </c>
      <c r="J85" s="29">
        <v>1</v>
      </c>
      <c r="K85" s="29">
        <v>5</v>
      </c>
      <c r="L85" s="29">
        <v>4</v>
      </c>
      <c r="M85" s="29">
        <v>10</v>
      </c>
    </row>
    <row r="86" spans="1:13">
      <c r="A86" s="29" t="s">
        <v>320</v>
      </c>
      <c r="B86" s="29" t="s">
        <v>20</v>
      </c>
      <c r="C86" s="29" t="s">
        <v>35</v>
      </c>
      <c r="D86" s="30">
        <v>45934</v>
      </c>
      <c r="E86" s="30">
        <v>45935</v>
      </c>
      <c r="F86" s="30">
        <v>45940</v>
      </c>
      <c r="G86" s="30">
        <v>45947</v>
      </c>
      <c r="H86" s="29" t="s">
        <v>22</v>
      </c>
      <c r="I86" s="30">
        <v>45958</v>
      </c>
      <c r="J86" s="29">
        <v>1</v>
      </c>
      <c r="K86" s="29">
        <v>5</v>
      </c>
      <c r="L86" s="29">
        <v>7</v>
      </c>
      <c r="M86" s="29">
        <v>2</v>
      </c>
    </row>
    <row r="87" spans="1:13">
      <c r="A87" s="29" t="s">
        <v>323</v>
      </c>
      <c r="B87" s="29" t="s">
        <v>37</v>
      </c>
      <c r="C87" s="29" t="s">
        <v>35</v>
      </c>
      <c r="D87" s="30">
        <v>45940</v>
      </c>
      <c r="E87" s="30">
        <v>45945</v>
      </c>
      <c r="F87" s="30">
        <v>45950</v>
      </c>
      <c r="G87" s="30">
        <v>45957</v>
      </c>
      <c r="H87" s="29" t="s">
        <v>22</v>
      </c>
      <c r="I87" s="30">
        <v>45971</v>
      </c>
      <c r="J87" s="29">
        <v>5</v>
      </c>
      <c r="K87" s="29">
        <v>5</v>
      </c>
      <c r="L87" s="29">
        <v>7</v>
      </c>
      <c r="M87" s="29">
        <v>4</v>
      </c>
    </row>
    <row r="88" spans="1:13">
      <c r="A88" s="29" t="s">
        <v>326</v>
      </c>
      <c r="B88" s="29" t="s">
        <v>24</v>
      </c>
      <c r="C88" s="29" t="s">
        <v>35</v>
      </c>
      <c r="D88" s="30">
        <v>45961</v>
      </c>
      <c r="E88" s="30">
        <v>45966</v>
      </c>
      <c r="F88" s="30">
        <v>45971</v>
      </c>
      <c r="G88" s="30">
        <v>45978</v>
      </c>
      <c r="H88" s="29" t="s">
        <v>22</v>
      </c>
      <c r="I88" s="30">
        <v>45990</v>
      </c>
      <c r="J88" s="29">
        <v>5</v>
      </c>
      <c r="K88" s="29">
        <v>5</v>
      </c>
      <c r="L88" s="29">
        <v>7</v>
      </c>
      <c r="M88" s="29">
        <v>6</v>
      </c>
    </row>
    <row r="89" spans="1:13">
      <c r="A89" s="29" t="s">
        <v>331</v>
      </c>
      <c r="B89" s="29" t="s">
        <v>37</v>
      </c>
      <c r="C89" s="29" t="s">
        <v>35</v>
      </c>
      <c r="D89" s="30">
        <v>45945</v>
      </c>
      <c r="E89" s="30">
        <v>45950</v>
      </c>
      <c r="F89" s="30">
        <v>45951</v>
      </c>
      <c r="G89" s="30">
        <v>45953</v>
      </c>
      <c r="H89" s="29" t="s">
        <v>22</v>
      </c>
      <c r="I89" s="30">
        <v>45976</v>
      </c>
      <c r="J89" s="29">
        <v>5</v>
      </c>
      <c r="K89" s="29">
        <v>1</v>
      </c>
      <c r="L89" s="29">
        <v>2</v>
      </c>
      <c r="M89" s="29">
        <v>10</v>
      </c>
    </row>
    <row r="90" spans="1:13">
      <c r="A90" s="29" t="s">
        <v>343</v>
      </c>
      <c r="B90" s="29" t="s">
        <v>26</v>
      </c>
      <c r="C90" s="29" t="s">
        <v>35</v>
      </c>
      <c r="D90" s="30">
        <v>45938</v>
      </c>
      <c r="E90" s="30">
        <v>45939</v>
      </c>
      <c r="F90" s="30">
        <v>45944</v>
      </c>
      <c r="G90" s="30">
        <v>45948</v>
      </c>
      <c r="H90" s="29" t="s">
        <v>22</v>
      </c>
      <c r="I90" s="30">
        <v>45976</v>
      </c>
      <c r="J90" s="29">
        <v>1</v>
      </c>
      <c r="K90" s="29">
        <v>5</v>
      </c>
      <c r="L90" s="29">
        <v>4</v>
      </c>
      <c r="M90" s="29">
        <v>3</v>
      </c>
    </row>
    <row r="91" spans="1:13">
      <c r="A91" s="29" t="s">
        <v>344</v>
      </c>
      <c r="B91" s="29" t="s">
        <v>20</v>
      </c>
      <c r="C91" s="29" t="s">
        <v>35</v>
      </c>
      <c r="D91" s="30">
        <v>45961</v>
      </c>
      <c r="E91" s="30">
        <v>45965</v>
      </c>
      <c r="F91" s="30">
        <v>45969</v>
      </c>
      <c r="G91" s="30">
        <v>45975</v>
      </c>
      <c r="H91" s="29" t="s">
        <v>22</v>
      </c>
      <c r="I91" s="30">
        <v>45992</v>
      </c>
      <c r="J91" s="29">
        <v>4</v>
      </c>
      <c r="K91" s="29">
        <v>4</v>
      </c>
      <c r="L91" s="29">
        <v>6</v>
      </c>
      <c r="M91" s="29">
        <v>6</v>
      </c>
    </row>
    <row r="92" spans="1:13">
      <c r="A92" s="29" t="s">
        <v>356</v>
      </c>
      <c r="B92" s="29" t="s">
        <v>37</v>
      </c>
      <c r="C92" s="29" t="s">
        <v>35</v>
      </c>
      <c r="D92" s="30">
        <v>45949</v>
      </c>
      <c r="E92" s="30">
        <v>45954</v>
      </c>
      <c r="F92" s="30">
        <v>45959</v>
      </c>
      <c r="G92" s="30">
        <v>45964</v>
      </c>
      <c r="H92" s="29" t="s">
        <v>22</v>
      </c>
      <c r="I92" s="30">
        <v>45990</v>
      </c>
      <c r="J92" s="29">
        <v>5</v>
      </c>
      <c r="K92" s="29">
        <v>5</v>
      </c>
      <c r="L92" s="29">
        <v>5</v>
      </c>
      <c r="M92" s="29">
        <v>2</v>
      </c>
    </row>
    <row r="93" spans="1:13">
      <c r="A93" s="29" t="s">
        <v>358</v>
      </c>
      <c r="B93" s="29" t="s">
        <v>26</v>
      </c>
      <c r="C93" s="29" t="s">
        <v>35</v>
      </c>
      <c r="D93" s="30">
        <v>45955</v>
      </c>
      <c r="E93" s="30">
        <v>45957</v>
      </c>
      <c r="F93" s="30">
        <v>45961</v>
      </c>
      <c r="G93" s="30">
        <v>45963</v>
      </c>
      <c r="H93" s="29" t="s">
        <v>22</v>
      </c>
      <c r="I93" s="30">
        <v>45991</v>
      </c>
      <c r="J93" s="29">
        <v>2</v>
      </c>
      <c r="K93" s="29">
        <v>4</v>
      </c>
      <c r="L93" s="29">
        <v>2</v>
      </c>
      <c r="M93" s="29">
        <v>10</v>
      </c>
    </row>
    <row r="94" spans="1:13">
      <c r="A94" s="29" t="s">
        <v>363</v>
      </c>
      <c r="B94" s="29" t="s">
        <v>37</v>
      </c>
      <c r="C94" s="29" t="s">
        <v>35</v>
      </c>
      <c r="D94" s="30">
        <v>45951</v>
      </c>
      <c r="E94" s="30">
        <v>45955</v>
      </c>
      <c r="F94" s="30">
        <v>45958</v>
      </c>
      <c r="G94" s="30">
        <v>45963</v>
      </c>
      <c r="H94" s="29" t="s">
        <v>22</v>
      </c>
      <c r="I94" s="30">
        <v>45978</v>
      </c>
      <c r="J94" s="29">
        <v>4</v>
      </c>
      <c r="K94" s="29">
        <v>3</v>
      </c>
      <c r="L94" s="29">
        <v>5</v>
      </c>
      <c r="M94" s="29">
        <v>1</v>
      </c>
    </row>
    <row r="95" spans="1:13">
      <c r="A95" s="29" t="s">
        <v>365</v>
      </c>
      <c r="B95" s="29" t="s">
        <v>20</v>
      </c>
      <c r="C95" s="29" t="s">
        <v>35</v>
      </c>
      <c r="D95" s="30">
        <v>45960</v>
      </c>
      <c r="E95" s="30">
        <v>45965</v>
      </c>
      <c r="F95" s="30">
        <v>45969</v>
      </c>
      <c r="G95" s="30">
        <v>45976</v>
      </c>
      <c r="H95" s="29" t="s">
        <v>22</v>
      </c>
      <c r="I95" s="30">
        <v>45992</v>
      </c>
      <c r="J95" s="29">
        <v>5</v>
      </c>
      <c r="K95" s="29">
        <v>4</v>
      </c>
      <c r="L95" s="29">
        <v>7</v>
      </c>
      <c r="M95" s="29">
        <v>2</v>
      </c>
    </row>
    <row r="96" spans="1:13">
      <c r="A96" s="29" t="s">
        <v>367</v>
      </c>
      <c r="B96" s="29" t="s">
        <v>26</v>
      </c>
      <c r="C96" s="29" t="s">
        <v>35</v>
      </c>
      <c r="D96" s="30">
        <v>45936</v>
      </c>
      <c r="E96" s="30">
        <v>45939</v>
      </c>
      <c r="F96" s="30">
        <v>45940</v>
      </c>
      <c r="G96" s="30">
        <v>45947</v>
      </c>
      <c r="H96" s="29" t="s">
        <v>22</v>
      </c>
      <c r="I96" s="30">
        <v>45961</v>
      </c>
      <c r="J96" s="29">
        <v>3</v>
      </c>
      <c r="K96" s="29">
        <v>1</v>
      </c>
      <c r="L96" s="29">
        <v>7</v>
      </c>
      <c r="M96" s="29">
        <v>1</v>
      </c>
    </row>
    <row r="97" spans="1:13">
      <c r="A97" s="29" t="s">
        <v>369</v>
      </c>
      <c r="B97" s="29" t="s">
        <v>26</v>
      </c>
      <c r="C97" s="29" t="s">
        <v>35</v>
      </c>
      <c r="D97" s="30">
        <v>45944</v>
      </c>
      <c r="E97" s="30">
        <v>45945</v>
      </c>
      <c r="F97" s="30">
        <v>45947</v>
      </c>
      <c r="G97" s="30">
        <v>45951</v>
      </c>
      <c r="H97" s="29" t="s">
        <v>22</v>
      </c>
      <c r="I97" s="30">
        <v>45962</v>
      </c>
      <c r="J97" s="29">
        <v>1</v>
      </c>
      <c r="K97" s="29">
        <v>2</v>
      </c>
      <c r="L97" s="29">
        <v>4</v>
      </c>
      <c r="M97" s="29">
        <v>7</v>
      </c>
    </row>
    <row r="98" spans="1:13">
      <c r="A98" s="29" t="s">
        <v>380</v>
      </c>
      <c r="B98" s="29" t="s">
        <v>37</v>
      </c>
      <c r="C98" s="29" t="s">
        <v>35</v>
      </c>
      <c r="D98" s="30">
        <v>45934</v>
      </c>
      <c r="E98" s="30">
        <v>45937</v>
      </c>
      <c r="F98" s="30">
        <v>45938</v>
      </c>
      <c r="G98" s="30">
        <v>45945</v>
      </c>
      <c r="H98" s="29" t="s">
        <v>22</v>
      </c>
      <c r="I98" s="30">
        <v>45965</v>
      </c>
      <c r="J98" s="29">
        <v>3</v>
      </c>
      <c r="K98" s="29">
        <v>1</v>
      </c>
      <c r="L98" s="29">
        <v>7</v>
      </c>
      <c r="M98" s="29">
        <v>8</v>
      </c>
    </row>
    <row r="99" spans="1:13">
      <c r="A99" s="29" t="s">
        <v>387</v>
      </c>
      <c r="B99" s="29" t="s">
        <v>24</v>
      </c>
      <c r="C99" s="29" t="s">
        <v>35</v>
      </c>
      <c r="D99" s="30">
        <v>45940</v>
      </c>
      <c r="E99" s="30">
        <v>45944</v>
      </c>
      <c r="F99" s="30">
        <v>45946</v>
      </c>
      <c r="G99" s="30">
        <v>45950</v>
      </c>
      <c r="H99" s="29" t="s">
        <v>22</v>
      </c>
      <c r="I99" s="30">
        <v>45977</v>
      </c>
      <c r="J99" s="29">
        <v>4</v>
      </c>
      <c r="K99" s="29">
        <v>2</v>
      </c>
      <c r="L99" s="29">
        <v>4</v>
      </c>
      <c r="M99" s="29">
        <v>2</v>
      </c>
    </row>
    <row r="100" spans="1:13">
      <c r="A100" s="29" t="s">
        <v>392</v>
      </c>
      <c r="B100" s="29" t="s">
        <v>26</v>
      </c>
      <c r="C100" s="29" t="s">
        <v>35</v>
      </c>
      <c r="D100" s="30">
        <v>45955</v>
      </c>
      <c r="E100" s="30">
        <v>45958</v>
      </c>
      <c r="F100" s="30">
        <v>45962</v>
      </c>
      <c r="G100" s="30">
        <v>45967</v>
      </c>
      <c r="H100" s="29" t="s">
        <v>22</v>
      </c>
      <c r="I100" s="30">
        <v>45985</v>
      </c>
      <c r="J100" s="29">
        <v>3</v>
      </c>
      <c r="K100" s="29">
        <v>4</v>
      </c>
      <c r="L100" s="29">
        <v>5</v>
      </c>
      <c r="M100" s="29">
        <v>5</v>
      </c>
    </row>
    <row r="101" spans="1:13">
      <c r="A101" s="29" t="s">
        <v>402</v>
      </c>
      <c r="B101" s="29" t="s">
        <v>24</v>
      </c>
      <c r="C101" s="29" t="s">
        <v>35</v>
      </c>
      <c r="D101" s="30">
        <v>45943</v>
      </c>
      <c r="E101" s="30">
        <v>45944</v>
      </c>
      <c r="F101" s="30">
        <v>45948</v>
      </c>
      <c r="G101" s="30">
        <v>45954</v>
      </c>
      <c r="H101" s="29" t="s">
        <v>22</v>
      </c>
      <c r="I101" s="30">
        <v>45977</v>
      </c>
      <c r="J101" s="29">
        <v>1</v>
      </c>
      <c r="K101" s="29">
        <v>4</v>
      </c>
      <c r="L101" s="29">
        <v>6</v>
      </c>
      <c r="M101" s="29">
        <v>4</v>
      </c>
    </row>
    <row r="102" spans="1:13">
      <c r="A102" s="29" t="s">
        <v>407</v>
      </c>
      <c r="B102" s="29" t="s">
        <v>37</v>
      </c>
      <c r="C102" s="29" t="s">
        <v>35</v>
      </c>
      <c r="D102" s="30">
        <v>45952</v>
      </c>
      <c r="E102" s="30">
        <v>45955</v>
      </c>
      <c r="F102" s="30">
        <v>45956</v>
      </c>
      <c r="G102" s="30">
        <v>45958</v>
      </c>
      <c r="H102" s="29" t="s">
        <v>22</v>
      </c>
      <c r="I102" s="30">
        <v>45986</v>
      </c>
      <c r="J102" s="29">
        <v>3</v>
      </c>
      <c r="K102" s="29">
        <v>1</v>
      </c>
      <c r="L102" s="29">
        <v>2</v>
      </c>
      <c r="M102" s="29">
        <v>9</v>
      </c>
    </row>
    <row r="103" spans="1:13">
      <c r="A103" s="29" t="s">
        <v>412</v>
      </c>
      <c r="B103" s="29" t="s">
        <v>24</v>
      </c>
      <c r="C103" s="29" t="s">
        <v>35</v>
      </c>
      <c r="D103" s="30">
        <v>45932</v>
      </c>
      <c r="E103" s="30">
        <v>45934</v>
      </c>
      <c r="F103" s="30">
        <v>45938</v>
      </c>
      <c r="G103" s="30">
        <v>45940</v>
      </c>
      <c r="H103" s="29" t="s">
        <v>22</v>
      </c>
      <c r="I103" s="30">
        <v>45968</v>
      </c>
      <c r="J103" s="29">
        <v>2</v>
      </c>
      <c r="K103" s="29">
        <v>4</v>
      </c>
      <c r="L103" s="29">
        <v>2</v>
      </c>
      <c r="M103" s="29">
        <v>10</v>
      </c>
    </row>
    <row r="104" spans="1:13">
      <c r="A104" s="29" t="s">
        <v>416</v>
      </c>
      <c r="B104" s="29" t="s">
        <v>20</v>
      </c>
      <c r="C104" s="29" t="s">
        <v>35</v>
      </c>
      <c r="D104" s="30">
        <v>45950</v>
      </c>
      <c r="E104" s="30">
        <v>45951</v>
      </c>
      <c r="F104" s="30">
        <v>45953</v>
      </c>
      <c r="G104" s="30">
        <v>45958</v>
      </c>
      <c r="H104" s="29" t="s">
        <v>22</v>
      </c>
      <c r="I104" s="30">
        <v>45979</v>
      </c>
      <c r="J104" s="29">
        <v>1</v>
      </c>
      <c r="K104" s="29">
        <v>2</v>
      </c>
      <c r="L104" s="29">
        <v>5</v>
      </c>
      <c r="M104" s="29">
        <v>9</v>
      </c>
    </row>
    <row r="105" spans="1:13">
      <c r="A105" s="29" t="s">
        <v>423</v>
      </c>
      <c r="B105" s="29" t="s">
        <v>26</v>
      </c>
      <c r="C105" s="29" t="s">
        <v>35</v>
      </c>
      <c r="D105" s="30">
        <v>45937</v>
      </c>
      <c r="E105" s="30">
        <v>45942</v>
      </c>
      <c r="F105" s="30">
        <v>45943</v>
      </c>
      <c r="G105" s="30">
        <v>45945</v>
      </c>
      <c r="H105" s="29" t="s">
        <v>22</v>
      </c>
      <c r="I105" s="30">
        <v>45975</v>
      </c>
      <c r="J105" s="29">
        <v>5</v>
      </c>
      <c r="K105" s="29">
        <v>1</v>
      </c>
      <c r="L105" s="29">
        <v>2</v>
      </c>
      <c r="M105" s="29">
        <v>1</v>
      </c>
    </row>
    <row r="106" spans="1:13">
      <c r="A106" s="29" t="s">
        <v>427</v>
      </c>
      <c r="B106" s="29" t="s">
        <v>37</v>
      </c>
      <c r="C106" s="29" t="s">
        <v>35</v>
      </c>
      <c r="D106" s="30">
        <v>45960</v>
      </c>
      <c r="E106" s="30">
        <v>45964</v>
      </c>
      <c r="F106" s="30">
        <v>45969</v>
      </c>
      <c r="G106" s="30">
        <v>45973</v>
      </c>
      <c r="H106" s="29" t="s">
        <v>22</v>
      </c>
      <c r="I106" s="30">
        <v>46002</v>
      </c>
      <c r="J106" s="29">
        <v>4</v>
      </c>
      <c r="K106" s="29">
        <v>5</v>
      </c>
      <c r="L106" s="29">
        <v>4</v>
      </c>
      <c r="M106" s="29">
        <v>2</v>
      </c>
    </row>
    <row r="107" spans="1:13">
      <c r="A107" s="29" t="s">
        <v>439</v>
      </c>
      <c r="B107" s="29" t="s">
        <v>26</v>
      </c>
      <c r="C107" s="29" t="s">
        <v>35</v>
      </c>
      <c r="D107" s="30">
        <v>45953</v>
      </c>
      <c r="E107" s="30">
        <v>45957</v>
      </c>
      <c r="F107" s="30">
        <v>45959</v>
      </c>
      <c r="G107" s="30">
        <v>45961</v>
      </c>
      <c r="H107" s="29" t="s">
        <v>22</v>
      </c>
      <c r="I107" s="30">
        <v>45972</v>
      </c>
      <c r="J107" s="29">
        <v>4</v>
      </c>
      <c r="K107" s="29">
        <v>2</v>
      </c>
      <c r="L107" s="29">
        <v>2</v>
      </c>
      <c r="M107" s="29">
        <v>7</v>
      </c>
    </row>
    <row r="108" spans="1:13">
      <c r="A108" s="29" t="s">
        <v>442</v>
      </c>
      <c r="B108" s="29" t="s">
        <v>20</v>
      </c>
      <c r="C108" s="29" t="s">
        <v>35</v>
      </c>
      <c r="D108" s="30">
        <v>45948</v>
      </c>
      <c r="E108" s="30">
        <v>45951</v>
      </c>
      <c r="F108" s="30">
        <v>45955</v>
      </c>
      <c r="G108" s="30">
        <v>45962</v>
      </c>
      <c r="H108" s="29" t="s">
        <v>22</v>
      </c>
      <c r="I108" s="30">
        <v>45984</v>
      </c>
      <c r="J108" s="29">
        <v>3</v>
      </c>
      <c r="K108" s="29">
        <v>4</v>
      </c>
      <c r="L108" s="29">
        <v>7</v>
      </c>
      <c r="M108" s="29">
        <v>1</v>
      </c>
    </row>
    <row r="109" spans="1:13">
      <c r="A109" s="29" t="s">
        <v>443</v>
      </c>
      <c r="B109" s="29" t="s">
        <v>20</v>
      </c>
      <c r="C109" s="29" t="s">
        <v>35</v>
      </c>
      <c r="D109" s="30">
        <v>45931</v>
      </c>
      <c r="E109" s="30">
        <v>45935</v>
      </c>
      <c r="F109" s="30">
        <v>45939</v>
      </c>
      <c r="G109" s="30">
        <v>45942</v>
      </c>
      <c r="H109" s="29" t="s">
        <v>22</v>
      </c>
      <c r="I109" s="30">
        <v>45962</v>
      </c>
      <c r="J109" s="29">
        <v>4</v>
      </c>
      <c r="K109" s="29">
        <v>4</v>
      </c>
      <c r="L109" s="29">
        <v>3</v>
      </c>
      <c r="M109" s="29">
        <v>1</v>
      </c>
    </row>
    <row r="110" spans="1:13">
      <c r="A110" s="29" t="s">
        <v>445</v>
      </c>
      <c r="B110" s="29" t="s">
        <v>26</v>
      </c>
      <c r="C110" s="29" t="s">
        <v>35</v>
      </c>
      <c r="D110" s="30">
        <v>45944</v>
      </c>
      <c r="E110" s="30">
        <v>45949</v>
      </c>
      <c r="F110" s="30">
        <v>45954</v>
      </c>
      <c r="G110" s="30">
        <v>45958</v>
      </c>
      <c r="H110" s="29" t="s">
        <v>22</v>
      </c>
      <c r="I110" s="30">
        <v>45969</v>
      </c>
      <c r="J110" s="29">
        <v>5</v>
      </c>
      <c r="K110" s="29">
        <v>5</v>
      </c>
      <c r="L110" s="29">
        <v>4</v>
      </c>
      <c r="M110" s="29">
        <v>7</v>
      </c>
    </row>
    <row r="111" spans="1:13">
      <c r="A111" s="29" t="s">
        <v>446</v>
      </c>
      <c r="B111" s="29" t="s">
        <v>37</v>
      </c>
      <c r="C111" s="29" t="s">
        <v>35</v>
      </c>
      <c r="D111" s="30">
        <v>45933</v>
      </c>
      <c r="E111" s="30">
        <v>45935</v>
      </c>
      <c r="F111" s="30">
        <v>45937</v>
      </c>
      <c r="G111" s="30">
        <v>45944</v>
      </c>
      <c r="H111" s="29" t="s">
        <v>22</v>
      </c>
      <c r="I111" s="30">
        <v>45969</v>
      </c>
      <c r="J111" s="29">
        <v>2</v>
      </c>
      <c r="K111" s="29">
        <v>2</v>
      </c>
      <c r="L111" s="29">
        <v>7</v>
      </c>
      <c r="M111" s="29">
        <v>3</v>
      </c>
    </row>
    <row r="112" spans="1:13">
      <c r="A112" s="29" t="s">
        <v>448</v>
      </c>
      <c r="B112" s="29" t="s">
        <v>26</v>
      </c>
      <c r="C112" s="29" t="s">
        <v>35</v>
      </c>
      <c r="D112" s="30">
        <v>45957</v>
      </c>
      <c r="E112" s="30">
        <v>45961</v>
      </c>
      <c r="F112" s="30">
        <v>45963</v>
      </c>
      <c r="G112" s="30">
        <v>45970</v>
      </c>
      <c r="H112" s="29" t="s">
        <v>22</v>
      </c>
      <c r="I112" s="30">
        <v>45988</v>
      </c>
      <c r="J112" s="29">
        <v>4</v>
      </c>
      <c r="K112" s="29">
        <v>2</v>
      </c>
      <c r="L112" s="29">
        <v>7</v>
      </c>
      <c r="M112" s="29">
        <v>0</v>
      </c>
    </row>
    <row r="113" spans="1:13">
      <c r="A113" s="29" t="s">
        <v>454</v>
      </c>
      <c r="B113" s="29" t="s">
        <v>24</v>
      </c>
      <c r="C113" s="29" t="s">
        <v>35</v>
      </c>
      <c r="D113" s="30">
        <v>45951</v>
      </c>
      <c r="E113" s="30">
        <v>45954</v>
      </c>
      <c r="F113" s="30">
        <v>45959</v>
      </c>
      <c r="G113" s="30">
        <v>45964</v>
      </c>
      <c r="H113" s="29" t="s">
        <v>22</v>
      </c>
      <c r="I113" s="30">
        <v>45982</v>
      </c>
      <c r="J113" s="29">
        <v>3</v>
      </c>
      <c r="K113" s="29">
        <v>5</v>
      </c>
      <c r="L113" s="29">
        <v>5</v>
      </c>
      <c r="M113" s="29">
        <v>7</v>
      </c>
    </row>
    <row r="114" spans="1:13">
      <c r="A114" s="29" t="s">
        <v>458</v>
      </c>
      <c r="B114" s="29" t="s">
        <v>24</v>
      </c>
      <c r="C114" s="29" t="s">
        <v>35</v>
      </c>
      <c r="D114" s="30">
        <v>45960</v>
      </c>
      <c r="E114" s="30">
        <v>45965</v>
      </c>
      <c r="F114" s="30">
        <v>45967</v>
      </c>
      <c r="G114" s="30">
        <v>45969</v>
      </c>
      <c r="H114" s="29" t="s">
        <v>22</v>
      </c>
      <c r="I114" s="30">
        <v>45986</v>
      </c>
      <c r="J114" s="29">
        <v>5</v>
      </c>
      <c r="K114" s="29">
        <v>2</v>
      </c>
      <c r="L114" s="29">
        <v>2</v>
      </c>
      <c r="M114" s="29">
        <v>3</v>
      </c>
    </row>
    <row r="115" spans="1:13">
      <c r="A115" s="29" t="s">
        <v>462</v>
      </c>
      <c r="B115" s="29" t="s">
        <v>20</v>
      </c>
      <c r="C115" s="29" t="s">
        <v>35</v>
      </c>
      <c r="D115" s="30">
        <v>45953</v>
      </c>
      <c r="E115" s="30">
        <v>45958</v>
      </c>
      <c r="F115" s="30">
        <v>45960</v>
      </c>
      <c r="G115" s="30">
        <v>45967</v>
      </c>
      <c r="H115" s="29" t="s">
        <v>22</v>
      </c>
      <c r="I115" s="30">
        <v>45987</v>
      </c>
      <c r="J115" s="29">
        <v>5</v>
      </c>
      <c r="K115" s="29">
        <v>2</v>
      </c>
      <c r="L115" s="29">
        <v>7</v>
      </c>
      <c r="M115" s="29">
        <v>6</v>
      </c>
    </row>
    <row r="116" spans="1:13">
      <c r="A116" s="29" t="s">
        <v>463</v>
      </c>
      <c r="B116" s="29" t="s">
        <v>24</v>
      </c>
      <c r="C116" s="29" t="s">
        <v>35</v>
      </c>
      <c r="D116" s="30">
        <v>45939</v>
      </c>
      <c r="E116" s="30">
        <v>45941</v>
      </c>
      <c r="F116" s="30">
        <v>45945</v>
      </c>
      <c r="G116" s="30">
        <v>45950</v>
      </c>
      <c r="H116" s="29" t="s">
        <v>22</v>
      </c>
      <c r="I116" s="30">
        <v>45968</v>
      </c>
      <c r="J116" s="29">
        <v>2</v>
      </c>
      <c r="K116" s="29">
        <v>4</v>
      </c>
      <c r="L116" s="29">
        <v>5</v>
      </c>
      <c r="M116" s="29">
        <v>10</v>
      </c>
    </row>
    <row r="117" spans="1:13">
      <c r="A117" s="29" t="s">
        <v>464</v>
      </c>
      <c r="B117" s="29" t="s">
        <v>37</v>
      </c>
      <c r="C117" s="29" t="s">
        <v>35</v>
      </c>
      <c r="D117" s="30">
        <v>45944</v>
      </c>
      <c r="E117" s="30">
        <v>45947</v>
      </c>
      <c r="F117" s="30">
        <v>45950</v>
      </c>
      <c r="G117" s="30">
        <v>45954</v>
      </c>
      <c r="H117" s="29" t="s">
        <v>22</v>
      </c>
      <c r="I117" s="30">
        <v>45977</v>
      </c>
      <c r="J117" s="29">
        <v>3</v>
      </c>
      <c r="K117" s="29">
        <v>3</v>
      </c>
      <c r="L117" s="29">
        <v>4</v>
      </c>
      <c r="M117" s="29">
        <v>4</v>
      </c>
    </row>
    <row r="118" spans="1:13">
      <c r="A118" s="29" t="s">
        <v>467</v>
      </c>
      <c r="B118" s="29" t="s">
        <v>20</v>
      </c>
      <c r="C118" s="29" t="s">
        <v>35</v>
      </c>
      <c r="D118" s="30">
        <v>45946</v>
      </c>
      <c r="E118" s="30">
        <v>45950</v>
      </c>
      <c r="F118" s="30">
        <v>45951</v>
      </c>
      <c r="G118" s="30">
        <v>45955</v>
      </c>
      <c r="H118" s="29" t="s">
        <v>22</v>
      </c>
      <c r="I118" s="30">
        <v>45985</v>
      </c>
      <c r="J118" s="29">
        <v>4</v>
      </c>
      <c r="K118" s="29">
        <v>1</v>
      </c>
      <c r="L118" s="29">
        <v>4</v>
      </c>
      <c r="M118" s="29">
        <v>3</v>
      </c>
    </row>
    <row r="119" spans="1:13">
      <c r="A119" s="29" t="s">
        <v>468</v>
      </c>
      <c r="B119" s="29" t="s">
        <v>37</v>
      </c>
      <c r="C119" s="29" t="s">
        <v>35</v>
      </c>
      <c r="D119" s="30">
        <v>45938</v>
      </c>
      <c r="E119" s="30">
        <v>45941</v>
      </c>
      <c r="F119" s="30">
        <v>45946</v>
      </c>
      <c r="G119" s="30">
        <v>45949</v>
      </c>
      <c r="H119" s="29" t="s">
        <v>22</v>
      </c>
      <c r="I119" s="30">
        <v>45961</v>
      </c>
      <c r="J119" s="29">
        <v>3</v>
      </c>
      <c r="K119" s="29">
        <v>5</v>
      </c>
      <c r="L119" s="29">
        <v>3</v>
      </c>
      <c r="M119" s="29">
        <v>7</v>
      </c>
    </row>
    <row r="120" spans="1:13">
      <c r="A120" s="29" t="s">
        <v>470</v>
      </c>
      <c r="B120" s="29" t="s">
        <v>24</v>
      </c>
      <c r="C120" s="29" t="s">
        <v>35</v>
      </c>
      <c r="D120" s="30">
        <v>45948</v>
      </c>
      <c r="E120" s="30">
        <v>45949</v>
      </c>
      <c r="F120" s="30">
        <v>45951</v>
      </c>
      <c r="G120" s="30">
        <v>45955</v>
      </c>
      <c r="H120" s="29" t="s">
        <v>22</v>
      </c>
      <c r="I120" s="30">
        <v>45979</v>
      </c>
      <c r="J120" s="29">
        <v>1</v>
      </c>
      <c r="K120" s="29">
        <v>2</v>
      </c>
      <c r="L120" s="29">
        <v>4</v>
      </c>
      <c r="M120" s="29">
        <v>8</v>
      </c>
    </row>
    <row r="121" spans="1:13">
      <c r="A121" s="29" t="s">
        <v>471</v>
      </c>
      <c r="B121" s="29" t="s">
        <v>37</v>
      </c>
      <c r="C121" s="29" t="s">
        <v>35</v>
      </c>
      <c r="D121" s="30">
        <v>45935</v>
      </c>
      <c r="E121" s="30">
        <v>45940</v>
      </c>
      <c r="F121" s="30">
        <v>45944</v>
      </c>
      <c r="G121" s="30">
        <v>45951</v>
      </c>
      <c r="H121" s="29" t="s">
        <v>22</v>
      </c>
      <c r="I121" s="30">
        <v>45967</v>
      </c>
      <c r="J121" s="29">
        <v>5</v>
      </c>
      <c r="K121" s="29">
        <v>4</v>
      </c>
      <c r="L121" s="29">
        <v>7</v>
      </c>
      <c r="M121" s="29">
        <v>7</v>
      </c>
    </row>
    <row r="122" spans="1:13">
      <c r="A122" s="29" t="s">
        <v>473</v>
      </c>
      <c r="B122" s="29" t="s">
        <v>20</v>
      </c>
      <c r="C122" s="29" t="s">
        <v>35</v>
      </c>
      <c r="D122" s="30">
        <v>45937</v>
      </c>
      <c r="E122" s="30">
        <v>45938</v>
      </c>
      <c r="F122" s="30">
        <v>45943</v>
      </c>
      <c r="G122" s="30">
        <v>45945</v>
      </c>
      <c r="H122" s="29" t="s">
        <v>22</v>
      </c>
      <c r="I122" s="30">
        <v>45968</v>
      </c>
      <c r="J122" s="29">
        <v>1</v>
      </c>
      <c r="K122" s="29">
        <v>5</v>
      </c>
      <c r="L122" s="29">
        <v>2</v>
      </c>
      <c r="M122" s="29">
        <v>1</v>
      </c>
    </row>
    <row r="123" spans="1:13">
      <c r="A123" s="29" t="s">
        <v>478</v>
      </c>
      <c r="B123" s="29" t="s">
        <v>24</v>
      </c>
      <c r="C123" s="29" t="s">
        <v>35</v>
      </c>
      <c r="D123" s="30">
        <v>45959</v>
      </c>
      <c r="E123" s="30">
        <v>45962</v>
      </c>
      <c r="F123" s="30">
        <v>45966</v>
      </c>
      <c r="G123" s="30">
        <v>45972</v>
      </c>
      <c r="H123" s="29" t="s">
        <v>22</v>
      </c>
      <c r="I123" s="30">
        <v>45993</v>
      </c>
      <c r="J123" s="29">
        <v>3</v>
      </c>
      <c r="K123" s="29">
        <v>4</v>
      </c>
      <c r="L123" s="29">
        <v>6</v>
      </c>
      <c r="M123" s="29">
        <v>3</v>
      </c>
    </row>
    <row r="124" spans="1:13">
      <c r="A124" s="29" t="s">
        <v>482</v>
      </c>
      <c r="B124" s="29" t="s">
        <v>20</v>
      </c>
      <c r="C124" s="29" t="s">
        <v>35</v>
      </c>
      <c r="D124" s="30">
        <v>45939</v>
      </c>
      <c r="E124" s="30">
        <v>45944</v>
      </c>
      <c r="F124" s="30">
        <v>45947</v>
      </c>
      <c r="G124" s="30">
        <v>45953</v>
      </c>
      <c r="H124" s="29" t="s">
        <v>22</v>
      </c>
      <c r="I124" s="30">
        <v>45979</v>
      </c>
      <c r="J124" s="29">
        <v>5</v>
      </c>
      <c r="K124" s="29">
        <v>3</v>
      </c>
      <c r="L124" s="29">
        <v>6</v>
      </c>
      <c r="M124" s="29">
        <v>3</v>
      </c>
    </row>
    <row r="125" spans="1:13">
      <c r="A125" s="29" t="s">
        <v>491</v>
      </c>
      <c r="B125" s="29" t="s">
        <v>20</v>
      </c>
      <c r="C125" s="29" t="s">
        <v>35</v>
      </c>
      <c r="D125" s="30">
        <v>45939</v>
      </c>
      <c r="E125" s="30">
        <v>45942</v>
      </c>
      <c r="F125" s="30">
        <v>45944</v>
      </c>
      <c r="G125" s="30">
        <v>45947</v>
      </c>
      <c r="H125" s="29" t="s">
        <v>22</v>
      </c>
      <c r="I125" s="30">
        <v>45969</v>
      </c>
      <c r="J125" s="29">
        <v>3</v>
      </c>
      <c r="K125" s="29">
        <v>2</v>
      </c>
      <c r="L125" s="29">
        <v>3</v>
      </c>
      <c r="M125" s="29">
        <v>5</v>
      </c>
    </row>
    <row r="126" spans="1:13">
      <c r="A126" s="29" t="s">
        <v>497</v>
      </c>
      <c r="B126" s="29" t="s">
        <v>37</v>
      </c>
      <c r="C126" s="29" t="s">
        <v>35</v>
      </c>
      <c r="D126" s="30">
        <v>45957</v>
      </c>
      <c r="E126" s="30">
        <v>45961</v>
      </c>
      <c r="F126" s="30">
        <v>45963</v>
      </c>
      <c r="G126" s="30">
        <v>45966</v>
      </c>
      <c r="H126" s="29" t="s">
        <v>22</v>
      </c>
      <c r="I126" s="30">
        <v>45994</v>
      </c>
      <c r="J126" s="29">
        <v>4</v>
      </c>
      <c r="K126" s="29">
        <v>2</v>
      </c>
      <c r="L126" s="29">
        <v>3</v>
      </c>
      <c r="M126" s="29">
        <v>4</v>
      </c>
    </row>
    <row r="127" spans="1:13">
      <c r="A127" s="29" t="s">
        <v>498</v>
      </c>
      <c r="B127" s="29" t="s">
        <v>26</v>
      </c>
      <c r="C127" s="29" t="s">
        <v>35</v>
      </c>
      <c r="D127" s="30">
        <v>45949</v>
      </c>
      <c r="E127" s="30">
        <v>45954</v>
      </c>
      <c r="F127" s="30">
        <v>45957</v>
      </c>
      <c r="G127" s="30">
        <v>45964</v>
      </c>
      <c r="H127" s="29" t="s">
        <v>22</v>
      </c>
      <c r="I127" s="30">
        <v>45974</v>
      </c>
      <c r="J127" s="29">
        <v>5</v>
      </c>
      <c r="K127" s="29">
        <v>3</v>
      </c>
      <c r="L127" s="29">
        <v>7</v>
      </c>
      <c r="M127" s="29">
        <v>4</v>
      </c>
    </row>
    <row r="128" spans="1:13">
      <c r="A128" s="29" t="s">
        <v>499</v>
      </c>
      <c r="B128" s="29" t="s">
        <v>37</v>
      </c>
      <c r="C128" s="29" t="s">
        <v>35</v>
      </c>
      <c r="D128" s="30">
        <v>45949</v>
      </c>
      <c r="E128" s="30">
        <v>45952</v>
      </c>
      <c r="F128" s="30">
        <v>45954</v>
      </c>
      <c r="G128" s="30">
        <v>45959</v>
      </c>
      <c r="H128" s="29" t="s">
        <v>22</v>
      </c>
      <c r="I128" s="30">
        <v>45974</v>
      </c>
      <c r="J128" s="29">
        <v>3</v>
      </c>
      <c r="K128" s="29">
        <v>2</v>
      </c>
      <c r="L128" s="29">
        <v>5</v>
      </c>
      <c r="M128" s="29">
        <v>1</v>
      </c>
    </row>
    <row r="129" spans="1:13">
      <c r="A129" s="29" t="s">
        <v>509</v>
      </c>
      <c r="B129" s="29" t="s">
        <v>20</v>
      </c>
      <c r="C129" s="29" t="s">
        <v>35</v>
      </c>
      <c r="D129" s="30">
        <v>45948</v>
      </c>
      <c r="E129" s="30">
        <v>45949</v>
      </c>
      <c r="F129" s="30">
        <v>45954</v>
      </c>
      <c r="G129" s="30">
        <v>45959</v>
      </c>
      <c r="H129" s="29" t="s">
        <v>22</v>
      </c>
      <c r="I129" s="30">
        <v>45970</v>
      </c>
      <c r="J129" s="29">
        <v>1</v>
      </c>
      <c r="K129" s="29">
        <v>5</v>
      </c>
      <c r="L129" s="29">
        <v>5</v>
      </c>
      <c r="M129" s="29">
        <v>2</v>
      </c>
    </row>
    <row r="130" spans="1:13">
      <c r="A130" s="29" t="s">
        <v>520</v>
      </c>
      <c r="B130" s="29" t="s">
        <v>26</v>
      </c>
      <c r="C130" s="29" t="s">
        <v>35</v>
      </c>
      <c r="D130" s="30">
        <v>45949</v>
      </c>
      <c r="E130" s="30">
        <v>45953</v>
      </c>
      <c r="F130" s="30">
        <v>45954</v>
      </c>
      <c r="G130" s="30">
        <v>45957</v>
      </c>
      <c r="H130" s="29" t="s">
        <v>22</v>
      </c>
      <c r="I130" s="30">
        <v>45983</v>
      </c>
      <c r="J130" s="29">
        <v>4</v>
      </c>
      <c r="K130" s="29">
        <v>1</v>
      </c>
      <c r="L130" s="29">
        <v>3</v>
      </c>
      <c r="M130" s="29">
        <v>4</v>
      </c>
    </row>
    <row r="131" spans="1:13">
      <c r="A131" s="29" t="s">
        <v>522</v>
      </c>
      <c r="B131" s="29" t="s">
        <v>26</v>
      </c>
      <c r="C131" s="29" t="s">
        <v>35</v>
      </c>
      <c r="D131" s="30">
        <v>45938</v>
      </c>
      <c r="E131" s="30">
        <v>45939</v>
      </c>
      <c r="F131" s="30">
        <v>45941</v>
      </c>
      <c r="G131" s="30">
        <v>45947</v>
      </c>
      <c r="H131" s="29" t="s">
        <v>22</v>
      </c>
      <c r="I131" s="30">
        <v>45977</v>
      </c>
      <c r="J131" s="29">
        <v>1</v>
      </c>
      <c r="K131" s="29">
        <v>2</v>
      </c>
      <c r="L131" s="29">
        <v>6</v>
      </c>
      <c r="M131" s="29">
        <v>2</v>
      </c>
    </row>
    <row r="132" spans="1:13">
      <c r="A132" s="29" t="s">
        <v>531</v>
      </c>
      <c r="B132" s="29" t="s">
        <v>37</v>
      </c>
      <c r="C132" s="29" t="s">
        <v>35</v>
      </c>
      <c r="D132" s="30">
        <v>45960</v>
      </c>
      <c r="E132" s="30">
        <v>45962</v>
      </c>
      <c r="F132" s="30">
        <v>45967</v>
      </c>
      <c r="G132" s="30">
        <v>45970</v>
      </c>
      <c r="H132" s="29" t="s">
        <v>22</v>
      </c>
      <c r="I132" s="30">
        <v>45991</v>
      </c>
      <c r="J132" s="29">
        <v>2</v>
      </c>
      <c r="K132" s="29">
        <v>5</v>
      </c>
      <c r="L132" s="29">
        <v>3</v>
      </c>
      <c r="M132" s="29">
        <v>8</v>
      </c>
    </row>
    <row r="133" spans="1:13">
      <c r="A133" s="29" t="s">
        <v>532</v>
      </c>
      <c r="B133" s="29" t="s">
        <v>26</v>
      </c>
      <c r="C133" s="29" t="s">
        <v>35</v>
      </c>
      <c r="D133" s="30">
        <v>45956</v>
      </c>
      <c r="E133" s="30">
        <v>45961</v>
      </c>
      <c r="F133" s="30">
        <v>45962</v>
      </c>
      <c r="G133" s="30">
        <v>45967</v>
      </c>
      <c r="H133" s="29" t="s">
        <v>22</v>
      </c>
      <c r="I133" s="30">
        <v>45992</v>
      </c>
      <c r="J133" s="29">
        <v>5</v>
      </c>
      <c r="K133" s="29">
        <v>1</v>
      </c>
      <c r="L133" s="29">
        <v>5</v>
      </c>
      <c r="M133" s="29">
        <v>7</v>
      </c>
    </row>
    <row r="134" spans="1:13">
      <c r="A134" s="29" t="s">
        <v>534</v>
      </c>
      <c r="B134" s="29" t="s">
        <v>20</v>
      </c>
      <c r="C134" s="29" t="s">
        <v>35</v>
      </c>
      <c r="D134" s="30">
        <v>45943</v>
      </c>
      <c r="E134" s="30">
        <v>45948</v>
      </c>
      <c r="F134" s="30">
        <v>45950</v>
      </c>
      <c r="G134" s="30">
        <v>45952</v>
      </c>
      <c r="H134" s="29" t="s">
        <v>22</v>
      </c>
      <c r="I134" s="30">
        <v>45976</v>
      </c>
      <c r="J134" s="29">
        <v>5</v>
      </c>
      <c r="K134" s="29">
        <v>2</v>
      </c>
      <c r="L134" s="29">
        <v>2</v>
      </c>
      <c r="M134" s="29">
        <v>4</v>
      </c>
    </row>
    <row r="135" spans="1:13">
      <c r="A135" s="29" t="s">
        <v>544</v>
      </c>
      <c r="B135" s="29" t="s">
        <v>20</v>
      </c>
      <c r="C135" s="29" t="s">
        <v>35</v>
      </c>
      <c r="D135" s="30">
        <v>45947</v>
      </c>
      <c r="E135" s="30">
        <v>45949</v>
      </c>
      <c r="F135" s="30">
        <v>45950</v>
      </c>
      <c r="G135" s="30">
        <v>45955</v>
      </c>
      <c r="H135" s="29" t="s">
        <v>22</v>
      </c>
      <c r="I135" s="30">
        <v>45973</v>
      </c>
      <c r="J135" s="29">
        <v>2</v>
      </c>
      <c r="K135" s="29">
        <v>1</v>
      </c>
      <c r="L135" s="29">
        <v>5</v>
      </c>
      <c r="M135" s="29">
        <v>7</v>
      </c>
    </row>
    <row r="136" spans="1:13">
      <c r="A136" s="29" t="s">
        <v>550</v>
      </c>
      <c r="B136" s="29" t="s">
        <v>24</v>
      </c>
      <c r="C136" s="29" t="s">
        <v>35</v>
      </c>
      <c r="D136" s="30">
        <v>45958</v>
      </c>
      <c r="E136" s="30">
        <v>45959</v>
      </c>
      <c r="F136" s="30">
        <v>45961</v>
      </c>
      <c r="G136" s="30">
        <v>45967</v>
      </c>
      <c r="H136" s="29" t="s">
        <v>22</v>
      </c>
      <c r="I136" s="30">
        <v>45989</v>
      </c>
      <c r="J136" s="29">
        <v>1</v>
      </c>
      <c r="K136" s="29">
        <v>2</v>
      </c>
      <c r="L136" s="29">
        <v>6</v>
      </c>
      <c r="M136" s="29">
        <v>1</v>
      </c>
    </row>
    <row r="137" spans="1:13">
      <c r="A137" s="29" t="s">
        <v>551</v>
      </c>
      <c r="B137" s="29" t="s">
        <v>37</v>
      </c>
      <c r="C137" s="29" t="s">
        <v>35</v>
      </c>
      <c r="D137" s="30">
        <v>45958</v>
      </c>
      <c r="E137" s="30">
        <v>45962</v>
      </c>
      <c r="F137" s="30">
        <v>45967</v>
      </c>
      <c r="G137" s="30">
        <v>45972</v>
      </c>
      <c r="H137" s="29" t="s">
        <v>22</v>
      </c>
      <c r="I137" s="30">
        <v>45983</v>
      </c>
      <c r="J137" s="29">
        <v>4</v>
      </c>
      <c r="K137" s="29">
        <v>5</v>
      </c>
      <c r="L137" s="29">
        <v>5</v>
      </c>
      <c r="M137" s="29">
        <v>10</v>
      </c>
    </row>
    <row r="138" spans="1:13">
      <c r="A138" s="29" t="s">
        <v>558</v>
      </c>
      <c r="B138" s="29" t="s">
        <v>20</v>
      </c>
      <c r="C138" s="29" t="s">
        <v>35</v>
      </c>
      <c r="D138" s="30">
        <v>45954</v>
      </c>
      <c r="E138" s="30">
        <v>45956</v>
      </c>
      <c r="F138" s="30">
        <v>45959</v>
      </c>
      <c r="G138" s="30">
        <v>45965</v>
      </c>
      <c r="H138" s="29" t="s">
        <v>22</v>
      </c>
      <c r="I138" s="30">
        <v>45982</v>
      </c>
      <c r="J138" s="29">
        <v>2</v>
      </c>
      <c r="K138" s="29">
        <v>3</v>
      </c>
      <c r="L138" s="29">
        <v>6</v>
      </c>
      <c r="M138" s="29">
        <v>8</v>
      </c>
    </row>
    <row r="139" spans="1:13">
      <c r="A139" s="29" t="s">
        <v>564</v>
      </c>
      <c r="B139" s="29" t="s">
        <v>37</v>
      </c>
      <c r="C139" s="29" t="s">
        <v>35</v>
      </c>
      <c r="D139" s="30">
        <v>45933</v>
      </c>
      <c r="E139" s="30">
        <v>45934</v>
      </c>
      <c r="F139" s="30">
        <v>45937</v>
      </c>
      <c r="G139" s="30">
        <v>45941</v>
      </c>
      <c r="H139" s="29" t="s">
        <v>22</v>
      </c>
      <c r="I139" s="30">
        <v>45964</v>
      </c>
      <c r="J139" s="29">
        <v>1</v>
      </c>
      <c r="K139" s="29">
        <v>3</v>
      </c>
      <c r="L139" s="29">
        <v>4</v>
      </c>
      <c r="M139" s="29">
        <v>2</v>
      </c>
    </row>
    <row r="140" spans="1:13">
      <c r="A140" s="29" t="s">
        <v>567</v>
      </c>
      <c r="B140" s="29" t="s">
        <v>37</v>
      </c>
      <c r="C140" s="29" t="s">
        <v>35</v>
      </c>
      <c r="D140" s="30">
        <v>45939</v>
      </c>
      <c r="E140" s="30">
        <v>45942</v>
      </c>
      <c r="F140" s="30">
        <v>45945</v>
      </c>
      <c r="G140" s="30">
        <v>45949</v>
      </c>
      <c r="H140" s="29" t="s">
        <v>22</v>
      </c>
      <c r="I140" s="30">
        <v>45959</v>
      </c>
      <c r="J140" s="29">
        <v>3</v>
      </c>
      <c r="K140" s="29">
        <v>3</v>
      </c>
      <c r="L140" s="29">
        <v>4</v>
      </c>
      <c r="M140" s="29">
        <v>0</v>
      </c>
    </row>
    <row r="141" spans="1:13">
      <c r="A141" s="29" t="s">
        <v>570</v>
      </c>
      <c r="B141" s="29" t="s">
        <v>20</v>
      </c>
      <c r="C141" s="29" t="s">
        <v>35</v>
      </c>
      <c r="D141" s="30">
        <v>45953</v>
      </c>
      <c r="E141" s="30">
        <v>45957</v>
      </c>
      <c r="F141" s="30">
        <v>45961</v>
      </c>
      <c r="G141" s="30">
        <v>45964</v>
      </c>
      <c r="H141" s="29" t="s">
        <v>22</v>
      </c>
      <c r="I141" s="30">
        <v>45989</v>
      </c>
      <c r="J141" s="29">
        <v>4</v>
      </c>
      <c r="K141" s="29">
        <v>4</v>
      </c>
      <c r="L141" s="29">
        <v>3</v>
      </c>
      <c r="M141" s="29">
        <v>3</v>
      </c>
    </row>
    <row r="142" spans="1:13">
      <c r="A142" s="29" t="s">
        <v>573</v>
      </c>
      <c r="B142" s="29" t="s">
        <v>20</v>
      </c>
      <c r="C142" s="29" t="s">
        <v>35</v>
      </c>
      <c r="D142" s="30">
        <v>45933</v>
      </c>
      <c r="E142" s="30">
        <v>45934</v>
      </c>
      <c r="F142" s="30">
        <v>45935</v>
      </c>
      <c r="G142" s="30">
        <v>45941</v>
      </c>
      <c r="H142" s="29" t="s">
        <v>22</v>
      </c>
      <c r="I142" s="30">
        <v>45955</v>
      </c>
      <c r="J142" s="29">
        <v>1</v>
      </c>
      <c r="K142" s="29">
        <v>1</v>
      </c>
      <c r="L142" s="29">
        <v>6</v>
      </c>
      <c r="M142" s="29">
        <v>9</v>
      </c>
    </row>
    <row r="143" spans="1:13">
      <c r="A143" s="29" t="s">
        <v>577</v>
      </c>
      <c r="B143" s="29" t="s">
        <v>20</v>
      </c>
      <c r="C143" s="29" t="s">
        <v>35</v>
      </c>
      <c r="D143" s="30">
        <v>45952</v>
      </c>
      <c r="E143" s="30">
        <v>45953</v>
      </c>
      <c r="F143" s="30">
        <v>45955</v>
      </c>
      <c r="G143" s="30">
        <v>45961</v>
      </c>
      <c r="H143" s="29" t="s">
        <v>22</v>
      </c>
      <c r="I143" s="30">
        <v>45990</v>
      </c>
      <c r="J143" s="29">
        <v>1</v>
      </c>
      <c r="K143" s="29">
        <v>2</v>
      </c>
      <c r="L143" s="29">
        <v>6</v>
      </c>
      <c r="M143" s="29">
        <v>1</v>
      </c>
    </row>
    <row r="144" spans="1:13">
      <c r="A144" s="29" t="s">
        <v>578</v>
      </c>
      <c r="B144" s="29" t="s">
        <v>24</v>
      </c>
      <c r="C144" s="29" t="s">
        <v>35</v>
      </c>
      <c r="D144" s="30">
        <v>45958</v>
      </c>
      <c r="E144" s="30">
        <v>45963</v>
      </c>
      <c r="F144" s="30">
        <v>45966</v>
      </c>
      <c r="G144" s="30">
        <v>45973</v>
      </c>
      <c r="H144" s="29" t="s">
        <v>22</v>
      </c>
      <c r="I144" s="30">
        <v>45983</v>
      </c>
      <c r="J144" s="29">
        <v>5</v>
      </c>
      <c r="K144" s="29">
        <v>3</v>
      </c>
      <c r="L144" s="29">
        <v>7</v>
      </c>
      <c r="M144" s="29">
        <v>6</v>
      </c>
    </row>
    <row r="145" spans="1:13">
      <c r="A145" s="29" t="s">
        <v>584</v>
      </c>
      <c r="B145" s="29" t="s">
        <v>37</v>
      </c>
      <c r="C145" s="29" t="s">
        <v>35</v>
      </c>
      <c r="D145" s="30">
        <v>45953</v>
      </c>
      <c r="E145" s="30">
        <v>45957</v>
      </c>
      <c r="F145" s="30">
        <v>45959</v>
      </c>
      <c r="G145" s="30">
        <v>45966</v>
      </c>
      <c r="H145" s="29" t="s">
        <v>22</v>
      </c>
      <c r="I145" s="30">
        <v>45984</v>
      </c>
      <c r="J145" s="29">
        <v>4</v>
      </c>
      <c r="K145" s="29">
        <v>2</v>
      </c>
      <c r="L145" s="29">
        <v>7</v>
      </c>
      <c r="M145" s="29">
        <v>3</v>
      </c>
    </row>
    <row r="146" spans="1:13">
      <c r="A146" s="29" t="s">
        <v>589</v>
      </c>
      <c r="B146" s="29" t="s">
        <v>37</v>
      </c>
      <c r="C146" s="29" t="s">
        <v>35</v>
      </c>
      <c r="D146" s="30">
        <v>45948</v>
      </c>
      <c r="E146" s="30">
        <v>45951</v>
      </c>
      <c r="F146" s="30">
        <v>45956</v>
      </c>
      <c r="G146" s="30">
        <v>45958</v>
      </c>
      <c r="H146" s="29" t="s">
        <v>22</v>
      </c>
      <c r="I146" s="30">
        <v>45982</v>
      </c>
      <c r="J146" s="29">
        <v>3</v>
      </c>
      <c r="K146" s="29">
        <v>5</v>
      </c>
      <c r="L146" s="29">
        <v>2</v>
      </c>
      <c r="M146" s="29">
        <v>1</v>
      </c>
    </row>
    <row r="147" spans="1:13">
      <c r="A147" s="29" t="s">
        <v>596</v>
      </c>
      <c r="B147" s="29" t="s">
        <v>37</v>
      </c>
      <c r="C147" s="29" t="s">
        <v>35</v>
      </c>
      <c r="D147" s="30">
        <v>45960</v>
      </c>
      <c r="E147" s="30">
        <v>45963</v>
      </c>
      <c r="F147" s="30">
        <v>45965</v>
      </c>
      <c r="G147" s="30">
        <v>45970</v>
      </c>
      <c r="H147" s="29" t="s">
        <v>22</v>
      </c>
      <c r="I147" s="30">
        <v>45996</v>
      </c>
      <c r="J147" s="29">
        <v>3</v>
      </c>
      <c r="K147" s="29">
        <v>2</v>
      </c>
      <c r="L147" s="29">
        <v>5</v>
      </c>
      <c r="M147" s="29">
        <v>3</v>
      </c>
    </row>
    <row r="148" spans="1:13">
      <c r="A148" s="29" t="s">
        <v>598</v>
      </c>
      <c r="B148" s="29" t="s">
        <v>26</v>
      </c>
      <c r="C148" s="29" t="s">
        <v>35</v>
      </c>
      <c r="D148" s="30">
        <v>45938</v>
      </c>
      <c r="E148" s="30">
        <v>45939</v>
      </c>
      <c r="F148" s="30">
        <v>45941</v>
      </c>
      <c r="G148" s="30">
        <v>45947</v>
      </c>
      <c r="H148" s="29" t="s">
        <v>22</v>
      </c>
      <c r="I148" s="30">
        <v>45969</v>
      </c>
      <c r="J148" s="29">
        <v>1</v>
      </c>
      <c r="K148" s="29">
        <v>2</v>
      </c>
      <c r="L148" s="29">
        <v>6</v>
      </c>
      <c r="M148" s="29">
        <v>5</v>
      </c>
    </row>
    <row r="149" spans="1:13">
      <c r="A149" s="29" t="s">
        <v>599</v>
      </c>
      <c r="B149" s="29" t="s">
        <v>24</v>
      </c>
      <c r="C149" s="29" t="s">
        <v>35</v>
      </c>
      <c r="D149" s="30">
        <v>45954</v>
      </c>
      <c r="E149" s="30">
        <v>45959</v>
      </c>
      <c r="F149" s="30">
        <v>45963</v>
      </c>
      <c r="G149" s="30">
        <v>45965</v>
      </c>
      <c r="H149" s="29" t="s">
        <v>22</v>
      </c>
      <c r="I149" s="30">
        <v>45993</v>
      </c>
      <c r="J149" s="29">
        <v>5</v>
      </c>
      <c r="K149" s="29">
        <v>4</v>
      </c>
      <c r="L149" s="29">
        <v>2</v>
      </c>
      <c r="M149" s="29">
        <v>3</v>
      </c>
    </row>
    <row r="150" spans="1:13">
      <c r="A150" s="29" t="s">
        <v>603</v>
      </c>
      <c r="B150" s="29" t="s">
        <v>24</v>
      </c>
      <c r="C150" s="29" t="s">
        <v>35</v>
      </c>
      <c r="D150" s="30">
        <v>45955</v>
      </c>
      <c r="E150" s="30">
        <v>45956</v>
      </c>
      <c r="F150" s="30">
        <v>45960</v>
      </c>
      <c r="G150" s="30">
        <v>45967</v>
      </c>
      <c r="H150" s="29" t="s">
        <v>22</v>
      </c>
      <c r="I150" s="30">
        <v>45993</v>
      </c>
      <c r="J150" s="29">
        <v>1</v>
      </c>
      <c r="K150" s="29">
        <v>4</v>
      </c>
      <c r="L150" s="29">
        <v>7</v>
      </c>
      <c r="M150" s="29">
        <v>9</v>
      </c>
    </row>
    <row r="151" spans="1:13">
      <c r="A151" s="29" t="s">
        <v>605</v>
      </c>
      <c r="B151" s="29" t="s">
        <v>37</v>
      </c>
      <c r="C151" s="29" t="s">
        <v>35</v>
      </c>
      <c r="D151" s="30">
        <v>45953</v>
      </c>
      <c r="E151" s="30">
        <v>45958</v>
      </c>
      <c r="F151" s="30">
        <v>45961</v>
      </c>
      <c r="G151" s="30">
        <v>45968</v>
      </c>
      <c r="H151" s="29" t="s">
        <v>22</v>
      </c>
      <c r="I151" s="30">
        <v>45995</v>
      </c>
      <c r="J151" s="29">
        <v>5</v>
      </c>
      <c r="K151" s="29">
        <v>3</v>
      </c>
      <c r="L151" s="29">
        <v>7</v>
      </c>
      <c r="M151" s="29">
        <v>1</v>
      </c>
    </row>
    <row r="152" spans="1:13">
      <c r="A152" s="29" t="s">
        <v>606</v>
      </c>
      <c r="B152" s="29" t="s">
        <v>24</v>
      </c>
      <c r="C152" s="29" t="s">
        <v>35</v>
      </c>
      <c r="D152" s="30">
        <v>45958</v>
      </c>
      <c r="E152" s="30">
        <v>45961</v>
      </c>
      <c r="F152" s="30">
        <v>45964</v>
      </c>
      <c r="G152" s="30">
        <v>45967</v>
      </c>
      <c r="H152" s="29" t="s">
        <v>22</v>
      </c>
      <c r="I152" s="30">
        <v>45997</v>
      </c>
      <c r="J152" s="29">
        <v>3</v>
      </c>
      <c r="K152" s="29">
        <v>3</v>
      </c>
      <c r="L152" s="29">
        <v>3</v>
      </c>
      <c r="M152" s="29">
        <v>7</v>
      </c>
    </row>
    <row r="153" spans="1:13">
      <c r="A153" s="29" t="s">
        <v>608</v>
      </c>
      <c r="B153" s="29" t="s">
        <v>20</v>
      </c>
      <c r="C153" s="29" t="s">
        <v>35</v>
      </c>
      <c r="D153" s="30">
        <v>45945</v>
      </c>
      <c r="E153" s="30">
        <v>45949</v>
      </c>
      <c r="F153" s="30">
        <v>45953</v>
      </c>
      <c r="G153" s="30">
        <v>45955</v>
      </c>
      <c r="H153" s="29" t="s">
        <v>22</v>
      </c>
      <c r="I153" s="30">
        <v>45984</v>
      </c>
      <c r="J153" s="29">
        <v>4</v>
      </c>
      <c r="K153" s="29">
        <v>4</v>
      </c>
      <c r="L153" s="29">
        <v>2</v>
      </c>
      <c r="M153" s="29">
        <v>10</v>
      </c>
    </row>
    <row r="154" spans="1:13">
      <c r="A154" s="29" t="s">
        <v>610</v>
      </c>
      <c r="B154" s="29" t="s">
        <v>26</v>
      </c>
      <c r="C154" s="29" t="s">
        <v>35</v>
      </c>
      <c r="D154" s="30">
        <v>45953</v>
      </c>
      <c r="E154" s="30">
        <v>45955</v>
      </c>
      <c r="F154" s="30">
        <v>45957</v>
      </c>
      <c r="G154" s="30">
        <v>45960</v>
      </c>
      <c r="H154" s="29" t="s">
        <v>22</v>
      </c>
      <c r="I154" s="30">
        <v>45979</v>
      </c>
      <c r="J154" s="29">
        <v>2</v>
      </c>
      <c r="K154" s="29">
        <v>2</v>
      </c>
      <c r="L154" s="29">
        <v>3</v>
      </c>
      <c r="M154" s="29">
        <v>3</v>
      </c>
    </row>
    <row r="155" spans="1:13">
      <c r="A155" s="29" t="s">
        <v>611</v>
      </c>
      <c r="B155" s="29" t="s">
        <v>37</v>
      </c>
      <c r="C155" s="29" t="s">
        <v>35</v>
      </c>
      <c r="D155" s="30">
        <v>45940</v>
      </c>
      <c r="E155" s="30">
        <v>45942</v>
      </c>
      <c r="F155" s="30">
        <v>45945</v>
      </c>
      <c r="G155" s="30">
        <v>45952</v>
      </c>
      <c r="H155" s="29" t="s">
        <v>22</v>
      </c>
      <c r="I155" s="30">
        <v>45965</v>
      </c>
      <c r="J155" s="29">
        <v>2</v>
      </c>
      <c r="K155" s="29">
        <v>3</v>
      </c>
      <c r="L155" s="29">
        <v>7</v>
      </c>
      <c r="M155" s="29">
        <v>6</v>
      </c>
    </row>
    <row r="156" spans="1:13">
      <c r="A156" s="29" t="s">
        <v>612</v>
      </c>
      <c r="B156" s="29" t="s">
        <v>37</v>
      </c>
      <c r="C156" s="29" t="s">
        <v>35</v>
      </c>
      <c r="D156" s="30">
        <v>45959</v>
      </c>
      <c r="E156" s="30">
        <v>45960</v>
      </c>
      <c r="F156" s="30">
        <v>45962</v>
      </c>
      <c r="G156" s="30">
        <v>45964</v>
      </c>
      <c r="H156" s="29" t="s">
        <v>22</v>
      </c>
      <c r="I156" s="30">
        <v>45989</v>
      </c>
      <c r="J156" s="29">
        <v>1</v>
      </c>
      <c r="K156" s="29">
        <v>2</v>
      </c>
      <c r="L156" s="29">
        <v>2</v>
      </c>
      <c r="M156" s="29">
        <v>9</v>
      </c>
    </row>
    <row r="157" spans="1:13">
      <c r="A157" s="29" t="s">
        <v>618</v>
      </c>
      <c r="B157" s="29" t="s">
        <v>37</v>
      </c>
      <c r="C157" s="29" t="s">
        <v>35</v>
      </c>
      <c r="D157" s="30">
        <v>45940</v>
      </c>
      <c r="E157" s="30">
        <v>45942</v>
      </c>
      <c r="F157" s="30">
        <v>45943</v>
      </c>
      <c r="G157" s="30">
        <v>45950</v>
      </c>
      <c r="H157" s="29" t="s">
        <v>22</v>
      </c>
      <c r="I157" s="30">
        <v>45970</v>
      </c>
      <c r="J157" s="29">
        <v>2</v>
      </c>
      <c r="K157" s="29">
        <v>1</v>
      </c>
      <c r="L157" s="29">
        <v>7</v>
      </c>
      <c r="M157" s="29">
        <v>5</v>
      </c>
    </row>
    <row r="158" spans="1:13">
      <c r="A158" s="29" t="s">
        <v>635</v>
      </c>
      <c r="B158" s="29" t="s">
        <v>20</v>
      </c>
      <c r="C158" s="29" t="s">
        <v>35</v>
      </c>
      <c r="D158" s="30">
        <v>45943</v>
      </c>
      <c r="E158" s="30">
        <v>45946</v>
      </c>
      <c r="F158" s="30">
        <v>45950</v>
      </c>
      <c r="G158" s="30">
        <v>45952</v>
      </c>
      <c r="H158" s="29" t="s">
        <v>22</v>
      </c>
      <c r="I158" s="30">
        <v>45981</v>
      </c>
      <c r="J158" s="29">
        <v>3</v>
      </c>
      <c r="K158" s="29">
        <v>4</v>
      </c>
      <c r="L158" s="29">
        <v>2</v>
      </c>
      <c r="M158" s="29">
        <v>8</v>
      </c>
    </row>
    <row r="159" spans="1:13">
      <c r="A159" s="29" t="s">
        <v>637</v>
      </c>
      <c r="B159" s="29" t="s">
        <v>26</v>
      </c>
      <c r="C159" s="29" t="s">
        <v>35</v>
      </c>
      <c r="D159" s="30">
        <v>45952</v>
      </c>
      <c r="E159" s="30">
        <v>45953</v>
      </c>
      <c r="F159" s="30">
        <v>45954</v>
      </c>
      <c r="G159" s="30">
        <v>45961</v>
      </c>
      <c r="H159" s="29" t="s">
        <v>22</v>
      </c>
      <c r="I159" s="30">
        <v>45981</v>
      </c>
      <c r="J159" s="29">
        <v>1</v>
      </c>
      <c r="K159" s="29">
        <v>1</v>
      </c>
      <c r="L159" s="29">
        <v>7</v>
      </c>
      <c r="M159" s="29">
        <v>9</v>
      </c>
    </row>
    <row r="160" spans="1:13">
      <c r="A160" s="29" t="s">
        <v>640</v>
      </c>
      <c r="B160" s="29" t="s">
        <v>24</v>
      </c>
      <c r="C160" s="29" t="s">
        <v>35</v>
      </c>
      <c r="D160" s="30">
        <v>45960</v>
      </c>
      <c r="E160" s="30">
        <v>45964</v>
      </c>
      <c r="F160" s="30">
        <v>45968</v>
      </c>
      <c r="G160" s="30">
        <v>45970</v>
      </c>
      <c r="H160" s="29" t="s">
        <v>22</v>
      </c>
      <c r="I160" s="30">
        <v>46000</v>
      </c>
      <c r="J160" s="29">
        <v>4</v>
      </c>
      <c r="K160" s="29">
        <v>4</v>
      </c>
      <c r="L160" s="29">
        <v>2</v>
      </c>
      <c r="M160" s="29">
        <v>4</v>
      </c>
    </row>
    <row r="161" spans="1:13">
      <c r="A161" s="29" t="s">
        <v>642</v>
      </c>
      <c r="B161" s="29" t="s">
        <v>20</v>
      </c>
      <c r="C161" s="29" t="s">
        <v>35</v>
      </c>
      <c r="D161" s="30">
        <v>45935</v>
      </c>
      <c r="E161" s="30">
        <v>45939</v>
      </c>
      <c r="F161" s="30">
        <v>45940</v>
      </c>
      <c r="G161" s="30">
        <v>45945</v>
      </c>
      <c r="H161" s="29" t="s">
        <v>22</v>
      </c>
      <c r="I161" s="30">
        <v>45964</v>
      </c>
      <c r="J161" s="29">
        <v>4</v>
      </c>
      <c r="K161" s="29">
        <v>1</v>
      </c>
      <c r="L161" s="29">
        <v>5</v>
      </c>
      <c r="M161" s="29">
        <v>1</v>
      </c>
    </row>
    <row r="162" spans="1:13">
      <c r="A162" s="29" t="s">
        <v>643</v>
      </c>
      <c r="B162" s="29" t="s">
        <v>24</v>
      </c>
      <c r="C162" s="29" t="s">
        <v>35</v>
      </c>
      <c r="D162" s="30">
        <v>45938</v>
      </c>
      <c r="E162" s="30">
        <v>45941</v>
      </c>
      <c r="F162" s="30">
        <v>45942</v>
      </c>
      <c r="G162" s="30">
        <v>45948</v>
      </c>
      <c r="H162" s="29" t="s">
        <v>22</v>
      </c>
      <c r="I162" s="30">
        <v>45966</v>
      </c>
      <c r="J162" s="29">
        <v>3</v>
      </c>
      <c r="K162" s="29">
        <v>1</v>
      </c>
      <c r="L162" s="29">
        <v>6</v>
      </c>
      <c r="M162" s="29">
        <v>1</v>
      </c>
    </row>
    <row r="163" spans="1:13">
      <c r="A163" s="29" t="s">
        <v>650</v>
      </c>
      <c r="B163" s="29" t="s">
        <v>26</v>
      </c>
      <c r="C163" s="29" t="s">
        <v>35</v>
      </c>
      <c r="D163" s="30">
        <v>45931</v>
      </c>
      <c r="E163" s="30">
        <v>45934</v>
      </c>
      <c r="F163" s="30">
        <v>45939</v>
      </c>
      <c r="G163" s="30">
        <v>45943</v>
      </c>
      <c r="H163" s="29" t="s">
        <v>22</v>
      </c>
      <c r="I163" s="30">
        <v>45971</v>
      </c>
      <c r="J163" s="29">
        <v>3</v>
      </c>
      <c r="K163" s="29">
        <v>5</v>
      </c>
      <c r="L163" s="29">
        <v>4</v>
      </c>
      <c r="M163" s="29">
        <v>4</v>
      </c>
    </row>
    <row r="164" spans="1:13">
      <c r="A164" s="29" t="s">
        <v>654</v>
      </c>
      <c r="B164" s="29" t="s">
        <v>37</v>
      </c>
      <c r="C164" s="29" t="s">
        <v>35</v>
      </c>
      <c r="D164" s="30">
        <v>45959</v>
      </c>
      <c r="E164" s="30">
        <v>45960</v>
      </c>
      <c r="F164" s="30">
        <v>45963</v>
      </c>
      <c r="G164" s="30">
        <v>45965</v>
      </c>
      <c r="H164" s="29" t="s">
        <v>22</v>
      </c>
      <c r="I164" s="30">
        <v>45981</v>
      </c>
      <c r="J164" s="29">
        <v>1</v>
      </c>
      <c r="K164" s="29">
        <v>3</v>
      </c>
      <c r="L164" s="29">
        <v>2</v>
      </c>
      <c r="M164" s="29">
        <v>6</v>
      </c>
    </row>
    <row r="165" spans="1:13">
      <c r="A165" s="29" t="s">
        <v>658</v>
      </c>
      <c r="B165" s="29" t="s">
        <v>20</v>
      </c>
      <c r="C165" s="29" t="s">
        <v>35</v>
      </c>
      <c r="D165" s="30">
        <v>45936</v>
      </c>
      <c r="E165" s="30">
        <v>45938</v>
      </c>
      <c r="F165" s="30">
        <v>45942</v>
      </c>
      <c r="G165" s="30">
        <v>45949</v>
      </c>
      <c r="H165" s="29" t="s">
        <v>22</v>
      </c>
      <c r="I165" s="30">
        <v>45976</v>
      </c>
      <c r="J165" s="29">
        <v>2</v>
      </c>
      <c r="K165" s="29">
        <v>4</v>
      </c>
      <c r="L165" s="29">
        <v>7</v>
      </c>
      <c r="M165" s="29">
        <v>0</v>
      </c>
    </row>
    <row r="166" spans="1:13">
      <c r="A166" s="29" t="s">
        <v>663</v>
      </c>
      <c r="B166" s="29" t="s">
        <v>20</v>
      </c>
      <c r="C166" s="29" t="s">
        <v>35</v>
      </c>
      <c r="D166" s="30">
        <v>45949</v>
      </c>
      <c r="E166" s="30">
        <v>45950</v>
      </c>
      <c r="F166" s="30">
        <v>45955</v>
      </c>
      <c r="G166" s="30">
        <v>45961</v>
      </c>
      <c r="H166" s="29" t="s">
        <v>22</v>
      </c>
      <c r="I166" s="30">
        <v>45982</v>
      </c>
      <c r="J166" s="29">
        <v>1</v>
      </c>
      <c r="K166" s="29">
        <v>5</v>
      </c>
      <c r="L166" s="29">
        <v>6</v>
      </c>
      <c r="M166" s="29">
        <v>1</v>
      </c>
    </row>
    <row r="167" spans="1:13">
      <c r="A167" s="29" t="s">
        <v>665</v>
      </c>
      <c r="B167" s="29" t="s">
        <v>24</v>
      </c>
      <c r="C167" s="29" t="s">
        <v>35</v>
      </c>
      <c r="D167" s="30">
        <v>45951</v>
      </c>
      <c r="E167" s="30">
        <v>45952</v>
      </c>
      <c r="F167" s="30">
        <v>45954</v>
      </c>
      <c r="G167" s="30">
        <v>45956</v>
      </c>
      <c r="H167" s="29" t="s">
        <v>22</v>
      </c>
      <c r="I167" s="30">
        <v>45982</v>
      </c>
      <c r="J167" s="29">
        <v>1</v>
      </c>
      <c r="K167" s="29">
        <v>2</v>
      </c>
      <c r="L167" s="29">
        <v>2</v>
      </c>
      <c r="M167" s="29">
        <v>9</v>
      </c>
    </row>
    <row r="168" spans="1:13">
      <c r="A168" s="29" t="s">
        <v>670</v>
      </c>
      <c r="B168" s="29" t="s">
        <v>20</v>
      </c>
      <c r="C168" s="29" t="s">
        <v>35</v>
      </c>
      <c r="D168" s="30">
        <v>45945</v>
      </c>
      <c r="E168" s="30">
        <v>45950</v>
      </c>
      <c r="F168" s="30">
        <v>45953</v>
      </c>
      <c r="G168" s="30">
        <v>45958</v>
      </c>
      <c r="H168" s="29" t="s">
        <v>22</v>
      </c>
      <c r="I168" s="30">
        <v>45973</v>
      </c>
      <c r="J168" s="29">
        <v>5</v>
      </c>
      <c r="K168" s="29">
        <v>3</v>
      </c>
      <c r="L168" s="29">
        <v>5</v>
      </c>
      <c r="M168" s="29">
        <v>2</v>
      </c>
    </row>
    <row r="169" spans="1:13">
      <c r="A169" s="29" t="s">
        <v>671</v>
      </c>
      <c r="B169" s="29" t="s">
        <v>24</v>
      </c>
      <c r="C169" s="29" t="s">
        <v>35</v>
      </c>
      <c r="D169" s="30">
        <v>45958</v>
      </c>
      <c r="E169" s="30">
        <v>45962</v>
      </c>
      <c r="F169" s="30">
        <v>45965</v>
      </c>
      <c r="G169" s="30">
        <v>45969</v>
      </c>
      <c r="H169" s="29" t="s">
        <v>22</v>
      </c>
      <c r="I169" s="30">
        <v>45988</v>
      </c>
      <c r="J169" s="29">
        <v>4</v>
      </c>
      <c r="K169" s="29">
        <v>3</v>
      </c>
      <c r="L169" s="29">
        <v>4</v>
      </c>
      <c r="M169" s="29">
        <v>1</v>
      </c>
    </row>
    <row r="170" spans="1:13">
      <c r="A170" s="29" t="s">
        <v>676</v>
      </c>
      <c r="B170" s="29" t="s">
        <v>24</v>
      </c>
      <c r="C170" s="29" t="s">
        <v>35</v>
      </c>
      <c r="D170" s="30">
        <v>45946</v>
      </c>
      <c r="E170" s="30">
        <v>45950</v>
      </c>
      <c r="F170" s="30">
        <v>45953</v>
      </c>
      <c r="G170" s="30">
        <v>45955</v>
      </c>
      <c r="H170" s="29" t="s">
        <v>22</v>
      </c>
      <c r="I170" s="30">
        <v>45973</v>
      </c>
      <c r="J170" s="29">
        <v>4</v>
      </c>
      <c r="K170" s="29">
        <v>3</v>
      </c>
      <c r="L170" s="29">
        <v>2</v>
      </c>
      <c r="M170" s="29">
        <v>4</v>
      </c>
    </row>
    <row r="171" spans="1:13">
      <c r="A171" s="29" t="s">
        <v>677</v>
      </c>
      <c r="B171" s="29" t="s">
        <v>26</v>
      </c>
      <c r="C171" s="29" t="s">
        <v>35</v>
      </c>
      <c r="D171" s="30">
        <v>45934</v>
      </c>
      <c r="E171" s="30">
        <v>45935</v>
      </c>
      <c r="F171" s="30">
        <v>45939</v>
      </c>
      <c r="G171" s="30">
        <v>45945</v>
      </c>
      <c r="H171" s="29" t="s">
        <v>22</v>
      </c>
      <c r="I171" s="30">
        <v>45972</v>
      </c>
      <c r="J171" s="29">
        <v>1</v>
      </c>
      <c r="K171" s="29">
        <v>4</v>
      </c>
      <c r="L171" s="29">
        <v>6</v>
      </c>
      <c r="M171" s="29">
        <v>1</v>
      </c>
    </row>
    <row r="172" spans="1:13">
      <c r="A172" s="29" t="s">
        <v>678</v>
      </c>
      <c r="B172" s="29" t="s">
        <v>24</v>
      </c>
      <c r="C172" s="29" t="s">
        <v>35</v>
      </c>
      <c r="D172" s="30">
        <v>45938</v>
      </c>
      <c r="E172" s="30">
        <v>45941</v>
      </c>
      <c r="F172" s="30">
        <v>45945</v>
      </c>
      <c r="G172" s="30">
        <v>45952</v>
      </c>
      <c r="H172" s="29" t="s">
        <v>22</v>
      </c>
      <c r="I172" s="30">
        <v>45967</v>
      </c>
      <c r="J172" s="29">
        <v>3</v>
      </c>
      <c r="K172" s="29">
        <v>4</v>
      </c>
      <c r="L172" s="29">
        <v>7</v>
      </c>
      <c r="M172" s="29">
        <v>0</v>
      </c>
    </row>
    <row r="173" spans="1:13">
      <c r="A173" s="29" t="s">
        <v>679</v>
      </c>
      <c r="B173" s="29" t="s">
        <v>26</v>
      </c>
      <c r="C173" s="29" t="s">
        <v>35</v>
      </c>
      <c r="D173" s="30">
        <v>45943</v>
      </c>
      <c r="E173" s="30">
        <v>45948</v>
      </c>
      <c r="F173" s="30">
        <v>45953</v>
      </c>
      <c r="G173" s="30">
        <v>45960</v>
      </c>
      <c r="H173" s="29" t="s">
        <v>22</v>
      </c>
      <c r="I173" s="30">
        <v>45980</v>
      </c>
      <c r="J173" s="29">
        <v>5</v>
      </c>
      <c r="K173" s="29">
        <v>5</v>
      </c>
      <c r="L173" s="29">
        <v>7</v>
      </c>
      <c r="M173" s="29">
        <v>6</v>
      </c>
    </row>
    <row r="174" spans="1:13">
      <c r="A174" s="29" t="s">
        <v>686</v>
      </c>
      <c r="B174" s="29" t="s">
        <v>26</v>
      </c>
      <c r="C174" s="29" t="s">
        <v>35</v>
      </c>
      <c r="D174" s="30">
        <v>45931</v>
      </c>
      <c r="E174" s="30">
        <v>45934</v>
      </c>
      <c r="F174" s="30">
        <v>45935</v>
      </c>
      <c r="G174" s="30">
        <v>45940</v>
      </c>
      <c r="H174" s="29" t="s">
        <v>22</v>
      </c>
      <c r="I174" s="30">
        <v>45957</v>
      </c>
      <c r="J174" s="29">
        <v>3</v>
      </c>
      <c r="K174" s="29">
        <v>1</v>
      </c>
      <c r="L174" s="29">
        <v>5</v>
      </c>
      <c r="M174" s="29">
        <v>3</v>
      </c>
    </row>
    <row r="175" spans="1:13">
      <c r="A175" s="29" t="s">
        <v>689</v>
      </c>
      <c r="B175" s="29" t="s">
        <v>20</v>
      </c>
      <c r="C175" s="29" t="s">
        <v>35</v>
      </c>
      <c r="D175" s="30">
        <v>45943</v>
      </c>
      <c r="E175" s="30">
        <v>45948</v>
      </c>
      <c r="F175" s="30">
        <v>45952</v>
      </c>
      <c r="G175" s="30">
        <v>45959</v>
      </c>
      <c r="H175" s="29" t="s">
        <v>22</v>
      </c>
      <c r="I175" s="30">
        <v>45980</v>
      </c>
      <c r="J175" s="29">
        <v>5</v>
      </c>
      <c r="K175" s="29">
        <v>4</v>
      </c>
      <c r="L175" s="29">
        <v>7</v>
      </c>
      <c r="M175" s="29">
        <v>2</v>
      </c>
    </row>
    <row r="176" spans="1:13">
      <c r="A176" s="29" t="s">
        <v>701</v>
      </c>
      <c r="B176" s="29" t="s">
        <v>24</v>
      </c>
      <c r="C176" s="29" t="s">
        <v>35</v>
      </c>
      <c r="D176" s="30">
        <v>45946</v>
      </c>
      <c r="E176" s="30">
        <v>45950</v>
      </c>
      <c r="F176" s="30">
        <v>45955</v>
      </c>
      <c r="G176" s="30">
        <v>45961</v>
      </c>
      <c r="H176" s="29" t="s">
        <v>22</v>
      </c>
      <c r="I176" s="30">
        <v>45974</v>
      </c>
      <c r="J176" s="29">
        <v>4</v>
      </c>
      <c r="K176" s="29">
        <v>5</v>
      </c>
      <c r="L176" s="29">
        <v>6</v>
      </c>
      <c r="M176" s="29">
        <v>2</v>
      </c>
    </row>
    <row r="177" spans="1:13">
      <c r="A177" s="29" t="s">
        <v>705</v>
      </c>
      <c r="B177" s="29" t="s">
        <v>20</v>
      </c>
      <c r="C177" s="29" t="s">
        <v>35</v>
      </c>
      <c r="D177" s="30">
        <v>45940</v>
      </c>
      <c r="E177" s="30">
        <v>45945</v>
      </c>
      <c r="F177" s="30">
        <v>45946</v>
      </c>
      <c r="G177" s="30">
        <v>45948</v>
      </c>
      <c r="H177" s="29" t="s">
        <v>22</v>
      </c>
      <c r="I177" s="30">
        <v>45959</v>
      </c>
      <c r="J177" s="29">
        <v>5</v>
      </c>
      <c r="K177" s="29">
        <v>1</v>
      </c>
      <c r="L177" s="29">
        <v>2</v>
      </c>
      <c r="M177" s="29">
        <v>6</v>
      </c>
    </row>
    <row r="178" spans="1:13">
      <c r="A178" s="29" t="s">
        <v>706</v>
      </c>
      <c r="B178" s="29" t="s">
        <v>26</v>
      </c>
      <c r="C178" s="29" t="s">
        <v>35</v>
      </c>
      <c r="D178" s="30">
        <v>45955</v>
      </c>
      <c r="E178" s="30">
        <v>45957</v>
      </c>
      <c r="F178" s="30">
        <v>45959</v>
      </c>
      <c r="G178" s="30">
        <v>45964</v>
      </c>
      <c r="H178" s="29" t="s">
        <v>22</v>
      </c>
      <c r="I178" s="30">
        <v>45994</v>
      </c>
      <c r="J178" s="29">
        <v>2</v>
      </c>
      <c r="K178" s="29">
        <v>2</v>
      </c>
      <c r="L178" s="29">
        <v>5</v>
      </c>
      <c r="M178" s="29">
        <v>10</v>
      </c>
    </row>
    <row r="179" spans="1:13">
      <c r="A179" s="29" t="s">
        <v>707</v>
      </c>
      <c r="B179" s="29" t="s">
        <v>20</v>
      </c>
      <c r="C179" s="29" t="s">
        <v>35</v>
      </c>
      <c r="D179" s="30">
        <v>45956</v>
      </c>
      <c r="E179" s="30">
        <v>45960</v>
      </c>
      <c r="F179" s="30">
        <v>45962</v>
      </c>
      <c r="G179" s="30">
        <v>45966</v>
      </c>
      <c r="H179" s="29" t="s">
        <v>22</v>
      </c>
      <c r="I179" s="30">
        <v>45994</v>
      </c>
      <c r="J179" s="29">
        <v>4</v>
      </c>
      <c r="K179" s="29">
        <v>2</v>
      </c>
      <c r="L179" s="29">
        <v>4</v>
      </c>
      <c r="M179" s="29">
        <v>8</v>
      </c>
    </row>
    <row r="180" spans="1:13">
      <c r="A180" s="29" t="s">
        <v>715</v>
      </c>
      <c r="B180" s="29" t="s">
        <v>26</v>
      </c>
      <c r="C180" s="29" t="s">
        <v>35</v>
      </c>
      <c r="D180" s="30">
        <v>45950</v>
      </c>
      <c r="E180" s="30">
        <v>45952</v>
      </c>
      <c r="F180" s="30">
        <v>45955</v>
      </c>
      <c r="G180" s="30">
        <v>45957</v>
      </c>
      <c r="H180" s="29" t="s">
        <v>22</v>
      </c>
      <c r="I180" s="30">
        <v>45973</v>
      </c>
      <c r="J180" s="29">
        <v>2</v>
      </c>
      <c r="K180" s="29">
        <v>3</v>
      </c>
      <c r="L180" s="29">
        <v>2</v>
      </c>
      <c r="M180" s="29">
        <v>8</v>
      </c>
    </row>
    <row r="181" spans="1:13">
      <c r="A181" s="29" t="s">
        <v>722</v>
      </c>
      <c r="B181" s="29" t="s">
        <v>20</v>
      </c>
      <c r="C181" s="29" t="s">
        <v>35</v>
      </c>
      <c r="D181" s="30">
        <v>45952</v>
      </c>
      <c r="E181" s="30">
        <v>45956</v>
      </c>
      <c r="F181" s="30">
        <v>45957</v>
      </c>
      <c r="G181" s="30">
        <v>45961</v>
      </c>
      <c r="H181" s="29" t="s">
        <v>22</v>
      </c>
      <c r="I181" s="30">
        <v>45983</v>
      </c>
      <c r="J181" s="29">
        <v>4</v>
      </c>
      <c r="K181" s="29">
        <v>1</v>
      </c>
      <c r="L181" s="29">
        <v>4</v>
      </c>
      <c r="M181" s="29">
        <v>2</v>
      </c>
    </row>
    <row r="182" spans="1:13">
      <c r="A182" s="29" t="s">
        <v>725</v>
      </c>
      <c r="B182" s="29" t="s">
        <v>26</v>
      </c>
      <c r="C182" s="29" t="s">
        <v>35</v>
      </c>
      <c r="D182" s="30">
        <v>45951</v>
      </c>
      <c r="E182" s="30">
        <v>45953</v>
      </c>
      <c r="F182" s="30">
        <v>45954</v>
      </c>
      <c r="G182" s="30">
        <v>45961</v>
      </c>
      <c r="H182" s="29" t="s">
        <v>22</v>
      </c>
      <c r="I182" s="30">
        <v>45984</v>
      </c>
      <c r="J182" s="29">
        <v>2</v>
      </c>
      <c r="K182" s="29">
        <v>1</v>
      </c>
      <c r="L182" s="29">
        <v>7</v>
      </c>
      <c r="M182" s="29">
        <v>8</v>
      </c>
    </row>
    <row r="183" spans="1:13">
      <c r="A183" s="29" t="s">
        <v>726</v>
      </c>
      <c r="B183" s="29" t="s">
        <v>26</v>
      </c>
      <c r="C183" s="29" t="s">
        <v>35</v>
      </c>
      <c r="D183" s="30">
        <v>45934</v>
      </c>
      <c r="E183" s="30">
        <v>45935</v>
      </c>
      <c r="F183" s="30">
        <v>45937</v>
      </c>
      <c r="G183" s="30">
        <v>45943</v>
      </c>
      <c r="H183" s="29" t="s">
        <v>22</v>
      </c>
      <c r="I183" s="30">
        <v>45954</v>
      </c>
      <c r="J183" s="29">
        <v>1</v>
      </c>
      <c r="K183" s="29">
        <v>2</v>
      </c>
      <c r="L183" s="29">
        <v>6</v>
      </c>
      <c r="M183" s="29">
        <v>7</v>
      </c>
    </row>
    <row r="184" spans="1:13">
      <c r="A184" s="29" t="s">
        <v>728</v>
      </c>
      <c r="B184" s="29" t="s">
        <v>26</v>
      </c>
      <c r="C184" s="29" t="s">
        <v>35</v>
      </c>
      <c r="D184" s="30">
        <v>45951</v>
      </c>
      <c r="E184" s="30">
        <v>45953</v>
      </c>
      <c r="F184" s="30">
        <v>45955</v>
      </c>
      <c r="G184" s="30">
        <v>45960</v>
      </c>
      <c r="H184" s="29" t="s">
        <v>22</v>
      </c>
      <c r="I184" s="30">
        <v>45974</v>
      </c>
      <c r="J184" s="29">
        <v>2</v>
      </c>
      <c r="K184" s="29">
        <v>2</v>
      </c>
      <c r="L184" s="29">
        <v>5</v>
      </c>
      <c r="M184" s="29">
        <v>2</v>
      </c>
    </row>
    <row r="185" spans="1:13">
      <c r="A185" s="29" t="s">
        <v>732</v>
      </c>
      <c r="B185" s="29" t="s">
        <v>20</v>
      </c>
      <c r="C185" s="29" t="s">
        <v>35</v>
      </c>
      <c r="D185" s="30">
        <v>45956</v>
      </c>
      <c r="E185" s="30">
        <v>45961</v>
      </c>
      <c r="F185" s="30">
        <v>45962</v>
      </c>
      <c r="G185" s="30">
        <v>45968</v>
      </c>
      <c r="H185" s="29" t="s">
        <v>22</v>
      </c>
      <c r="I185" s="30">
        <v>45988</v>
      </c>
      <c r="J185" s="29">
        <v>5</v>
      </c>
      <c r="K185" s="29">
        <v>1</v>
      </c>
      <c r="L185" s="29">
        <v>6</v>
      </c>
      <c r="M185" s="29">
        <v>7</v>
      </c>
    </row>
    <row r="186" spans="1:13">
      <c r="A186" s="29" t="s">
        <v>734</v>
      </c>
      <c r="B186" s="29" t="s">
        <v>20</v>
      </c>
      <c r="C186" s="29" t="s">
        <v>35</v>
      </c>
      <c r="D186" s="30">
        <v>45932</v>
      </c>
      <c r="E186" s="30">
        <v>45936</v>
      </c>
      <c r="F186" s="30">
        <v>45939</v>
      </c>
      <c r="G186" s="30">
        <v>45944</v>
      </c>
      <c r="H186" s="29" t="s">
        <v>22</v>
      </c>
      <c r="I186" s="30">
        <v>45967</v>
      </c>
      <c r="J186" s="29">
        <v>4</v>
      </c>
      <c r="K186" s="29">
        <v>3</v>
      </c>
      <c r="L186" s="29">
        <v>5</v>
      </c>
      <c r="M186" s="29">
        <v>9</v>
      </c>
    </row>
    <row r="187" spans="1:13">
      <c r="A187" s="29" t="s">
        <v>741</v>
      </c>
      <c r="B187" s="29" t="s">
        <v>20</v>
      </c>
      <c r="C187" s="29" t="s">
        <v>35</v>
      </c>
      <c r="D187" s="30">
        <v>45940</v>
      </c>
      <c r="E187" s="30">
        <v>45945</v>
      </c>
      <c r="F187" s="30">
        <v>45948</v>
      </c>
      <c r="G187" s="30">
        <v>45953</v>
      </c>
      <c r="H187" s="29" t="s">
        <v>22</v>
      </c>
      <c r="I187" s="30">
        <v>45968</v>
      </c>
      <c r="J187" s="29">
        <v>5</v>
      </c>
      <c r="K187" s="29">
        <v>3</v>
      </c>
      <c r="L187" s="29">
        <v>5</v>
      </c>
      <c r="M187" s="29">
        <v>2</v>
      </c>
    </row>
    <row r="188" spans="1:13">
      <c r="A188" s="29" t="s">
        <v>745</v>
      </c>
      <c r="B188" s="29" t="s">
        <v>24</v>
      </c>
      <c r="C188" s="29" t="s">
        <v>35</v>
      </c>
      <c r="D188" s="30">
        <v>45936</v>
      </c>
      <c r="E188" s="30">
        <v>45937</v>
      </c>
      <c r="F188" s="30">
        <v>45942</v>
      </c>
      <c r="G188" s="30">
        <v>45946</v>
      </c>
      <c r="H188" s="29" t="s">
        <v>22</v>
      </c>
      <c r="I188" s="30">
        <v>45976</v>
      </c>
      <c r="J188" s="29">
        <v>1</v>
      </c>
      <c r="K188" s="29">
        <v>5</v>
      </c>
      <c r="L188" s="29">
        <v>4</v>
      </c>
      <c r="M188" s="29">
        <v>5</v>
      </c>
    </row>
    <row r="189" spans="1:13">
      <c r="A189" s="29" t="s">
        <v>747</v>
      </c>
      <c r="B189" s="29" t="s">
        <v>24</v>
      </c>
      <c r="C189" s="29" t="s">
        <v>35</v>
      </c>
      <c r="D189" s="30">
        <v>45935</v>
      </c>
      <c r="E189" s="30">
        <v>45936</v>
      </c>
      <c r="F189" s="30">
        <v>45937</v>
      </c>
      <c r="G189" s="30">
        <v>45944</v>
      </c>
      <c r="H189" s="29" t="s">
        <v>22</v>
      </c>
      <c r="I189" s="30">
        <v>45964</v>
      </c>
      <c r="J189" s="29">
        <v>1</v>
      </c>
      <c r="K189" s="29">
        <v>1</v>
      </c>
      <c r="L189" s="29">
        <v>7</v>
      </c>
      <c r="M189" s="29">
        <v>7</v>
      </c>
    </row>
    <row r="190" spans="1:13">
      <c r="A190" s="29" t="s">
        <v>748</v>
      </c>
      <c r="B190" s="29" t="s">
        <v>37</v>
      </c>
      <c r="C190" s="29" t="s">
        <v>35</v>
      </c>
      <c r="D190" s="30">
        <v>45956</v>
      </c>
      <c r="E190" s="30">
        <v>45960</v>
      </c>
      <c r="F190" s="30">
        <v>45961</v>
      </c>
      <c r="G190" s="30">
        <v>45963</v>
      </c>
      <c r="H190" s="29" t="s">
        <v>22</v>
      </c>
      <c r="I190" s="30">
        <v>45993</v>
      </c>
      <c r="J190" s="29">
        <v>4</v>
      </c>
      <c r="K190" s="29">
        <v>1</v>
      </c>
      <c r="L190" s="29">
        <v>2</v>
      </c>
      <c r="M190" s="29">
        <v>7</v>
      </c>
    </row>
    <row r="191" spans="1:13">
      <c r="A191" s="29" t="s">
        <v>750</v>
      </c>
      <c r="B191" s="29" t="s">
        <v>24</v>
      </c>
      <c r="C191" s="29" t="s">
        <v>35</v>
      </c>
      <c r="D191" s="30">
        <v>45959</v>
      </c>
      <c r="E191" s="30">
        <v>45963</v>
      </c>
      <c r="F191" s="30">
        <v>45965</v>
      </c>
      <c r="G191" s="30">
        <v>45967</v>
      </c>
      <c r="H191" s="29" t="s">
        <v>22</v>
      </c>
      <c r="I191" s="30">
        <v>45977</v>
      </c>
      <c r="J191" s="29">
        <v>4</v>
      </c>
      <c r="K191" s="29">
        <v>2</v>
      </c>
      <c r="L191" s="29">
        <v>2</v>
      </c>
      <c r="M191" s="29">
        <v>7</v>
      </c>
    </row>
    <row r="192" spans="1:13">
      <c r="A192" s="29" t="s">
        <v>751</v>
      </c>
      <c r="B192" s="29" t="s">
        <v>24</v>
      </c>
      <c r="C192" s="29" t="s">
        <v>35</v>
      </c>
      <c r="D192" s="30">
        <v>45942</v>
      </c>
      <c r="E192" s="30">
        <v>45943</v>
      </c>
      <c r="F192" s="30">
        <v>45944</v>
      </c>
      <c r="G192" s="30">
        <v>45951</v>
      </c>
      <c r="H192" s="29" t="s">
        <v>22</v>
      </c>
      <c r="I192" s="30">
        <v>45975</v>
      </c>
      <c r="J192" s="29">
        <v>1</v>
      </c>
      <c r="K192" s="29">
        <v>1</v>
      </c>
      <c r="L192" s="29">
        <v>7</v>
      </c>
      <c r="M192" s="29">
        <v>2</v>
      </c>
    </row>
    <row r="193" spans="1:13">
      <c r="A193" s="29" t="s">
        <v>755</v>
      </c>
      <c r="B193" s="29" t="s">
        <v>37</v>
      </c>
      <c r="C193" s="29" t="s">
        <v>35</v>
      </c>
      <c r="D193" s="30">
        <v>45939</v>
      </c>
      <c r="E193" s="30">
        <v>45944</v>
      </c>
      <c r="F193" s="30">
        <v>45949</v>
      </c>
      <c r="G193" s="30">
        <v>45953</v>
      </c>
      <c r="H193" s="29" t="s">
        <v>22</v>
      </c>
      <c r="I193" s="30">
        <v>45981</v>
      </c>
      <c r="J193" s="29">
        <v>5</v>
      </c>
      <c r="K193" s="29">
        <v>5</v>
      </c>
      <c r="L193" s="29">
        <v>4</v>
      </c>
      <c r="M193" s="29">
        <v>3</v>
      </c>
    </row>
    <row r="194" spans="1:13">
      <c r="A194" s="29" t="s">
        <v>756</v>
      </c>
      <c r="B194" s="29" t="s">
        <v>20</v>
      </c>
      <c r="C194" s="29" t="s">
        <v>35</v>
      </c>
      <c r="D194" s="30">
        <v>45957</v>
      </c>
      <c r="E194" s="30">
        <v>45962</v>
      </c>
      <c r="F194" s="30">
        <v>45966</v>
      </c>
      <c r="G194" s="30">
        <v>45968</v>
      </c>
      <c r="H194" s="29" t="s">
        <v>22</v>
      </c>
      <c r="I194" s="30">
        <v>45983</v>
      </c>
      <c r="J194" s="29">
        <v>5</v>
      </c>
      <c r="K194" s="29">
        <v>4</v>
      </c>
      <c r="L194" s="29">
        <v>2</v>
      </c>
      <c r="M194" s="29">
        <v>4</v>
      </c>
    </row>
    <row r="195" spans="1:13">
      <c r="A195" s="29" t="s">
        <v>757</v>
      </c>
      <c r="B195" s="29" t="s">
        <v>37</v>
      </c>
      <c r="C195" s="29" t="s">
        <v>35</v>
      </c>
      <c r="D195" s="30">
        <v>45936</v>
      </c>
      <c r="E195" s="30">
        <v>45939</v>
      </c>
      <c r="F195" s="30">
        <v>45942</v>
      </c>
      <c r="G195" s="30">
        <v>45945</v>
      </c>
      <c r="H195" s="29" t="s">
        <v>22</v>
      </c>
      <c r="I195" s="30">
        <v>45970</v>
      </c>
      <c r="J195" s="29">
        <v>3</v>
      </c>
      <c r="K195" s="29">
        <v>3</v>
      </c>
      <c r="L195" s="29">
        <v>3</v>
      </c>
      <c r="M195" s="29">
        <v>10</v>
      </c>
    </row>
    <row r="196" spans="1:13">
      <c r="A196" s="29" t="s">
        <v>758</v>
      </c>
      <c r="B196" s="29" t="s">
        <v>20</v>
      </c>
      <c r="C196" s="29" t="s">
        <v>35</v>
      </c>
      <c r="D196" s="30">
        <v>45939</v>
      </c>
      <c r="E196" s="30">
        <v>45942</v>
      </c>
      <c r="F196" s="30">
        <v>45943</v>
      </c>
      <c r="G196" s="30">
        <v>45949</v>
      </c>
      <c r="H196" s="29" t="s">
        <v>22</v>
      </c>
      <c r="I196" s="30">
        <v>45961</v>
      </c>
      <c r="J196" s="29">
        <v>3</v>
      </c>
      <c r="K196" s="29">
        <v>1</v>
      </c>
      <c r="L196" s="29">
        <v>6</v>
      </c>
      <c r="M196" s="29">
        <v>8</v>
      </c>
    </row>
    <row r="197" spans="1:13">
      <c r="A197" s="29" t="s">
        <v>768</v>
      </c>
      <c r="B197" s="29" t="s">
        <v>37</v>
      </c>
      <c r="C197" s="29" t="s">
        <v>35</v>
      </c>
      <c r="D197" s="30">
        <v>45941</v>
      </c>
      <c r="E197" s="30">
        <v>45943</v>
      </c>
      <c r="F197" s="30">
        <v>45945</v>
      </c>
      <c r="G197" s="30">
        <v>45947</v>
      </c>
      <c r="H197" s="29" t="s">
        <v>22</v>
      </c>
      <c r="I197" s="30">
        <v>45969</v>
      </c>
      <c r="J197" s="29">
        <v>2</v>
      </c>
      <c r="K197" s="29">
        <v>2</v>
      </c>
      <c r="L197" s="29">
        <v>2</v>
      </c>
      <c r="M197" s="29">
        <v>9</v>
      </c>
    </row>
    <row r="198" spans="1:13">
      <c r="A198" s="29" t="s">
        <v>771</v>
      </c>
      <c r="B198" s="29" t="s">
        <v>26</v>
      </c>
      <c r="C198" s="29" t="s">
        <v>35</v>
      </c>
      <c r="D198" s="30">
        <v>45945</v>
      </c>
      <c r="E198" s="30">
        <v>45946</v>
      </c>
      <c r="F198" s="30">
        <v>45950</v>
      </c>
      <c r="G198" s="30">
        <v>45956</v>
      </c>
      <c r="H198" s="29" t="s">
        <v>22</v>
      </c>
      <c r="I198" s="30">
        <v>45967</v>
      </c>
      <c r="J198" s="29">
        <v>1</v>
      </c>
      <c r="K198" s="29">
        <v>4</v>
      </c>
      <c r="L198" s="29">
        <v>6</v>
      </c>
      <c r="M198" s="29">
        <v>7</v>
      </c>
    </row>
    <row r="199" spans="1:13">
      <c r="A199" s="29" t="s">
        <v>772</v>
      </c>
      <c r="B199" s="29" t="s">
        <v>37</v>
      </c>
      <c r="C199" s="29" t="s">
        <v>35</v>
      </c>
      <c r="D199" s="30">
        <v>45961</v>
      </c>
      <c r="E199" s="30">
        <v>45964</v>
      </c>
      <c r="F199" s="30">
        <v>45965</v>
      </c>
      <c r="G199" s="30">
        <v>45970</v>
      </c>
      <c r="H199" s="29" t="s">
        <v>22</v>
      </c>
      <c r="I199" s="30">
        <v>45997</v>
      </c>
      <c r="J199" s="29">
        <v>3</v>
      </c>
      <c r="K199" s="29">
        <v>1</v>
      </c>
      <c r="L199" s="29">
        <v>5</v>
      </c>
      <c r="M199" s="29">
        <v>7</v>
      </c>
    </row>
    <row r="200" spans="1:13">
      <c r="A200" s="29" t="s">
        <v>777</v>
      </c>
      <c r="B200" s="29" t="s">
        <v>37</v>
      </c>
      <c r="C200" s="29" t="s">
        <v>35</v>
      </c>
      <c r="D200" s="30">
        <v>45938</v>
      </c>
      <c r="E200" s="30">
        <v>45943</v>
      </c>
      <c r="F200" s="30">
        <v>45944</v>
      </c>
      <c r="G200" s="30">
        <v>45946</v>
      </c>
      <c r="H200" s="29" t="s">
        <v>22</v>
      </c>
      <c r="I200" s="30">
        <v>45972</v>
      </c>
      <c r="J200" s="29">
        <v>5</v>
      </c>
      <c r="K200" s="29">
        <v>1</v>
      </c>
      <c r="L200" s="29">
        <v>2</v>
      </c>
      <c r="M200" s="29">
        <v>5</v>
      </c>
    </row>
    <row r="201" spans="1:13">
      <c r="A201" s="29" t="s">
        <v>782</v>
      </c>
      <c r="B201" s="29" t="s">
        <v>37</v>
      </c>
      <c r="C201" s="29" t="s">
        <v>35</v>
      </c>
      <c r="D201" s="30">
        <v>45943</v>
      </c>
      <c r="E201" s="30">
        <v>45944</v>
      </c>
      <c r="F201" s="30">
        <v>45946</v>
      </c>
      <c r="G201" s="30">
        <v>45949</v>
      </c>
      <c r="H201" s="29" t="s">
        <v>22</v>
      </c>
      <c r="I201" s="30">
        <v>45959</v>
      </c>
      <c r="J201" s="29">
        <v>1</v>
      </c>
      <c r="K201" s="29">
        <v>2</v>
      </c>
      <c r="L201" s="29">
        <v>3</v>
      </c>
      <c r="M201" s="29">
        <v>0</v>
      </c>
    </row>
    <row r="202" spans="1:13">
      <c r="A202" s="29" t="s">
        <v>783</v>
      </c>
      <c r="B202" s="29" t="s">
        <v>26</v>
      </c>
      <c r="C202" s="29" t="s">
        <v>35</v>
      </c>
      <c r="D202" s="30">
        <v>45961</v>
      </c>
      <c r="E202" s="30">
        <v>45964</v>
      </c>
      <c r="F202" s="30">
        <v>45968</v>
      </c>
      <c r="G202" s="30">
        <v>45975</v>
      </c>
      <c r="H202" s="29" t="s">
        <v>22</v>
      </c>
      <c r="I202" s="30">
        <v>46005</v>
      </c>
      <c r="J202" s="29">
        <v>3</v>
      </c>
      <c r="K202" s="29">
        <v>4</v>
      </c>
      <c r="L202" s="29">
        <v>7</v>
      </c>
      <c r="M202" s="29">
        <v>7</v>
      </c>
    </row>
    <row r="203" spans="1:13">
      <c r="A203" s="29" t="s">
        <v>784</v>
      </c>
      <c r="B203" s="29" t="s">
        <v>26</v>
      </c>
      <c r="C203" s="29" t="s">
        <v>35</v>
      </c>
      <c r="D203" s="30">
        <v>45958</v>
      </c>
      <c r="E203" s="30">
        <v>45962</v>
      </c>
      <c r="F203" s="30">
        <v>45965</v>
      </c>
      <c r="G203" s="30">
        <v>45970</v>
      </c>
      <c r="H203" s="29" t="s">
        <v>22</v>
      </c>
      <c r="I203" s="30">
        <v>45987</v>
      </c>
      <c r="J203" s="29">
        <v>4</v>
      </c>
      <c r="K203" s="29">
        <v>3</v>
      </c>
      <c r="L203" s="29">
        <v>5</v>
      </c>
      <c r="M203" s="29">
        <v>4</v>
      </c>
    </row>
    <row r="204" spans="1:13">
      <c r="A204" s="29" t="s">
        <v>786</v>
      </c>
      <c r="B204" s="29" t="s">
        <v>20</v>
      </c>
      <c r="C204" s="29" t="s">
        <v>35</v>
      </c>
      <c r="D204" s="30">
        <v>45948</v>
      </c>
      <c r="E204" s="30">
        <v>45953</v>
      </c>
      <c r="F204" s="30">
        <v>45954</v>
      </c>
      <c r="G204" s="30">
        <v>45960</v>
      </c>
      <c r="H204" s="29" t="s">
        <v>22</v>
      </c>
      <c r="I204" s="30">
        <v>45981</v>
      </c>
      <c r="J204" s="29">
        <v>5</v>
      </c>
      <c r="K204" s="29">
        <v>1</v>
      </c>
      <c r="L204" s="29">
        <v>6</v>
      </c>
      <c r="M204" s="29">
        <v>9</v>
      </c>
    </row>
    <row r="205" spans="1:13">
      <c r="A205" s="29" t="s">
        <v>789</v>
      </c>
      <c r="B205" s="29" t="s">
        <v>20</v>
      </c>
      <c r="C205" s="29" t="s">
        <v>35</v>
      </c>
      <c r="D205" s="30">
        <v>45956</v>
      </c>
      <c r="E205" s="30">
        <v>45961</v>
      </c>
      <c r="F205" s="30">
        <v>45964</v>
      </c>
      <c r="G205" s="30">
        <v>45969</v>
      </c>
      <c r="H205" s="29" t="s">
        <v>22</v>
      </c>
      <c r="I205" s="30">
        <v>45982</v>
      </c>
      <c r="J205" s="29">
        <v>5</v>
      </c>
      <c r="K205" s="29">
        <v>3</v>
      </c>
      <c r="L205" s="29">
        <v>5</v>
      </c>
      <c r="M205" s="29">
        <v>7</v>
      </c>
    </row>
    <row r="206" spans="1:13">
      <c r="A206" s="29" t="s">
        <v>790</v>
      </c>
      <c r="B206" s="29" t="s">
        <v>26</v>
      </c>
      <c r="C206" s="29" t="s">
        <v>35</v>
      </c>
      <c r="D206" s="30">
        <v>45943</v>
      </c>
      <c r="E206" s="30">
        <v>45944</v>
      </c>
      <c r="F206" s="30">
        <v>45948</v>
      </c>
      <c r="G206" s="30">
        <v>45955</v>
      </c>
      <c r="H206" s="29" t="s">
        <v>22</v>
      </c>
      <c r="I206" s="30">
        <v>45977</v>
      </c>
      <c r="J206" s="29">
        <v>1</v>
      </c>
      <c r="K206" s="29">
        <v>4</v>
      </c>
      <c r="L206" s="29">
        <v>7</v>
      </c>
      <c r="M206" s="29">
        <v>6</v>
      </c>
    </row>
    <row r="207" spans="1:13">
      <c r="A207" s="29" t="s">
        <v>791</v>
      </c>
      <c r="B207" s="29" t="s">
        <v>20</v>
      </c>
      <c r="C207" s="29" t="s">
        <v>35</v>
      </c>
      <c r="D207" s="30">
        <v>45931</v>
      </c>
      <c r="E207" s="30">
        <v>45933</v>
      </c>
      <c r="F207" s="30">
        <v>45936</v>
      </c>
      <c r="G207" s="30">
        <v>45939</v>
      </c>
      <c r="H207" s="29" t="s">
        <v>22</v>
      </c>
      <c r="I207" s="30">
        <v>45965</v>
      </c>
      <c r="J207" s="29">
        <v>2</v>
      </c>
      <c r="K207" s="29">
        <v>3</v>
      </c>
      <c r="L207" s="29">
        <v>3</v>
      </c>
      <c r="M207" s="29">
        <v>6</v>
      </c>
    </row>
    <row r="208" spans="1:13">
      <c r="A208" s="29" t="s">
        <v>793</v>
      </c>
      <c r="B208" s="29" t="s">
        <v>26</v>
      </c>
      <c r="C208" s="29" t="s">
        <v>35</v>
      </c>
      <c r="D208" s="30">
        <v>45948</v>
      </c>
      <c r="E208" s="30">
        <v>45951</v>
      </c>
      <c r="F208" s="30">
        <v>45954</v>
      </c>
      <c r="G208" s="30">
        <v>45957</v>
      </c>
      <c r="H208" s="29" t="s">
        <v>22</v>
      </c>
      <c r="I208" s="30">
        <v>45985</v>
      </c>
      <c r="J208" s="29">
        <v>3</v>
      </c>
      <c r="K208" s="29">
        <v>3</v>
      </c>
      <c r="L208" s="29">
        <v>3</v>
      </c>
      <c r="M208" s="29">
        <v>2</v>
      </c>
    </row>
    <row r="209" spans="1:13">
      <c r="A209" s="29" t="s">
        <v>800</v>
      </c>
      <c r="B209" s="29" t="s">
        <v>37</v>
      </c>
      <c r="C209" s="29" t="s">
        <v>35</v>
      </c>
      <c r="D209" s="30">
        <v>45939</v>
      </c>
      <c r="E209" s="30">
        <v>45944</v>
      </c>
      <c r="F209" s="30">
        <v>45946</v>
      </c>
      <c r="G209" s="30">
        <v>45951</v>
      </c>
      <c r="H209" s="29" t="s">
        <v>22</v>
      </c>
      <c r="I209" s="30">
        <v>45963</v>
      </c>
      <c r="J209" s="29">
        <v>5</v>
      </c>
      <c r="K209" s="29">
        <v>2</v>
      </c>
      <c r="L209" s="29">
        <v>5</v>
      </c>
      <c r="M209" s="29">
        <v>0</v>
      </c>
    </row>
    <row r="210" spans="1:13">
      <c r="A210" s="29" t="s">
        <v>801</v>
      </c>
      <c r="B210" s="29" t="s">
        <v>37</v>
      </c>
      <c r="C210" s="29" t="s">
        <v>35</v>
      </c>
      <c r="D210" s="30">
        <v>45949</v>
      </c>
      <c r="E210" s="30">
        <v>45952</v>
      </c>
      <c r="F210" s="30">
        <v>45956</v>
      </c>
      <c r="G210" s="30">
        <v>45963</v>
      </c>
      <c r="H210" s="29" t="s">
        <v>22</v>
      </c>
      <c r="I210" s="30">
        <v>45974</v>
      </c>
      <c r="J210" s="29">
        <v>3</v>
      </c>
      <c r="K210" s="29">
        <v>4</v>
      </c>
      <c r="L210" s="29">
        <v>7</v>
      </c>
      <c r="M210" s="29">
        <v>4</v>
      </c>
    </row>
    <row r="211" spans="1:13">
      <c r="A211" s="29" t="s">
        <v>805</v>
      </c>
      <c r="B211" s="29" t="s">
        <v>24</v>
      </c>
      <c r="C211" s="29" t="s">
        <v>35</v>
      </c>
      <c r="D211" s="30">
        <v>45961</v>
      </c>
      <c r="E211" s="30">
        <v>45966</v>
      </c>
      <c r="F211" s="30">
        <v>45971</v>
      </c>
      <c r="G211" s="30">
        <v>45975</v>
      </c>
      <c r="H211" s="29" t="s">
        <v>22</v>
      </c>
      <c r="I211" s="30">
        <v>45994</v>
      </c>
      <c r="J211" s="29">
        <v>5</v>
      </c>
      <c r="K211" s="29">
        <v>5</v>
      </c>
      <c r="L211" s="29">
        <v>4</v>
      </c>
      <c r="M211" s="29">
        <v>4</v>
      </c>
    </row>
    <row r="212" spans="1:13">
      <c r="A212" s="29" t="s">
        <v>806</v>
      </c>
      <c r="B212" s="29" t="s">
        <v>26</v>
      </c>
      <c r="C212" s="29" t="s">
        <v>35</v>
      </c>
      <c r="D212" s="30">
        <v>45942</v>
      </c>
      <c r="E212" s="30">
        <v>45947</v>
      </c>
      <c r="F212" s="30">
        <v>45952</v>
      </c>
      <c r="G212" s="30">
        <v>45956</v>
      </c>
      <c r="H212" s="29" t="s">
        <v>22</v>
      </c>
      <c r="I212" s="30">
        <v>45980</v>
      </c>
      <c r="J212" s="29">
        <v>5</v>
      </c>
      <c r="K212" s="29">
        <v>5</v>
      </c>
      <c r="L212" s="29">
        <v>4</v>
      </c>
      <c r="M212" s="29">
        <v>1</v>
      </c>
    </row>
    <row r="213" spans="1:13">
      <c r="A213" s="29" t="s">
        <v>808</v>
      </c>
      <c r="B213" s="29" t="s">
        <v>37</v>
      </c>
      <c r="C213" s="29" t="s">
        <v>35</v>
      </c>
      <c r="D213" s="30">
        <v>45952</v>
      </c>
      <c r="E213" s="30">
        <v>45954</v>
      </c>
      <c r="F213" s="30">
        <v>45959</v>
      </c>
      <c r="G213" s="30">
        <v>45964</v>
      </c>
      <c r="H213" s="29" t="s">
        <v>22</v>
      </c>
      <c r="I213" s="30">
        <v>45990</v>
      </c>
      <c r="J213" s="29">
        <v>2</v>
      </c>
      <c r="K213" s="29">
        <v>5</v>
      </c>
      <c r="L213" s="29">
        <v>5</v>
      </c>
      <c r="M213" s="29">
        <v>10</v>
      </c>
    </row>
    <row r="214" spans="1:13">
      <c r="A214" s="29" t="s">
        <v>814</v>
      </c>
      <c r="B214" s="29" t="s">
        <v>26</v>
      </c>
      <c r="C214" s="29" t="s">
        <v>35</v>
      </c>
      <c r="D214" s="30">
        <v>45961</v>
      </c>
      <c r="E214" s="30">
        <v>45962</v>
      </c>
      <c r="F214" s="30">
        <v>45965</v>
      </c>
      <c r="G214" s="30">
        <v>45968</v>
      </c>
      <c r="H214" s="29" t="s">
        <v>22</v>
      </c>
      <c r="I214" s="30">
        <v>45982</v>
      </c>
      <c r="J214" s="29">
        <v>1</v>
      </c>
      <c r="K214" s="29">
        <v>3</v>
      </c>
      <c r="L214" s="29">
        <v>3</v>
      </c>
      <c r="M214" s="29">
        <v>4</v>
      </c>
    </row>
    <row r="215" spans="1:13">
      <c r="A215" s="29" t="s">
        <v>818</v>
      </c>
      <c r="B215" s="29" t="s">
        <v>26</v>
      </c>
      <c r="C215" s="29" t="s">
        <v>35</v>
      </c>
      <c r="D215" s="30">
        <v>45950</v>
      </c>
      <c r="E215" s="30">
        <v>45952</v>
      </c>
      <c r="F215" s="30">
        <v>45953</v>
      </c>
      <c r="G215" s="30">
        <v>45955</v>
      </c>
      <c r="H215" s="29" t="s">
        <v>22</v>
      </c>
      <c r="I215" s="30">
        <v>45980</v>
      </c>
      <c r="J215" s="29">
        <v>2</v>
      </c>
      <c r="K215" s="29">
        <v>1</v>
      </c>
      <c r="L215" s="29">
        <v>2</v>
      </c>
      <c r="M215" s="29">
        <v>7</v>
      </c>
    </row>
    <row r="216" spans="1:13">
      <c r="A216" s="29" t="s">
        <v>821</v>
      </c>
      <c r="B216" s="29" t="s">
        <v>20</v>
      </c>
      <c r="C216" s="29" t="s">
        <v>35</v>
      </c>
      <c r="D216" s="30">
        <v>45933</v>
      </c>
      <c r="E216" s="30">
        <v>45935</v>
      </c>
      <c r="F216" s="30">
        <v>45940</v>
      </c>
      <c r="G216" s="30">
        <v>45942</v>
      </c>
      <c r="H216" s="29" t="s">
        <v>22</v>
      </c>
      <c r="I216" s="30">
        <v>45958</v>
      </c>
      <c r="J216" s="29">
        <v>2</v>
      </c>
      <c r="K216" s="29">
        <v>5</v>
      </c>
      <c r="L216" s="29">
        <v>2</v>
      </c>
      <c r="M216" s="29">
        <v>3</v>
      </c>
    </row>
    <row r="217" spans="1:13">
      <c r="A217" s="29" t="s">
        <v>822</v>
      </c>
      <c r="B217" s="29" t="s">
        <v>26</v>
      </c>
      <c r="C217" s="29" t="s">
        <v>35</v>
      </c>
      <c r="D217" s="30">
        <v>45951</v>
      </c>
      <c r="E217" s="30">
        <v>45953</v>
      </c>
      <c r="F217" s="30">
        <v>45956</v>
      </c>
      <c r="G217" s="30">
        <v>45959</v>
      </c>
      <c r="H217" s="29" t="s">
        <v>22</v>
      </c>
      <c r="I217" s="30">
        <v>45974</v>
      </c>
      <c r="J217" s="29">
        <v>2</v>
      </c>
      <c r="K217" s="29">
        <v>3</v>
      </c>
      <c r="L217" s="29">
        <v>3</v>
      </c>
      <c r="M217" s="29">
        <v>3</v>
      </c>
    </row>
    <row r="218" spans="1:13">
      <c r="A218" s="29" t="s">
        <v>826</v>
      </c>
      <c r="B218" s="29" t="s">
        <v>20</v>
      </c>
      <c r="C218" s="29" t="s">
        <v>35</v>
      </c>
      <c r="D218" s="30">
        <v>45953</v>
      </c>
      <c r="E218" s="30">
        <v>45956</v>
      </c>
      <c r="F218" s="30">
        <v>45959</v>
      </c>
      <c r="G218" s="30">
        <v>45963</v>
      </c>
      <c r="H218" s="29" t="s">
        <v>22</v>
      </c>
      <c r="I218" s="30">
        <v>45980</v>
      </c>
      <c r="J218" s="29">
        <v>3</v>
      </c>
      <c r="K218" s="29">
        <v>3</v>
      </c>
      <c r="L218" s="29">
        <v>4</v>
      </c>
      <c r="M218" s="29">
        <v>1</v>
      </c>
    </row>
    <row r="219" spans="1:13">
      <c r="A219" s="29" t="s">
        <v>827</v>
      </c>
      <c r="B219" s="29" t="s">
        <v>26</v>
      </c>
      <c r="C219" s="29" t="s">
        <v>35</v>
      </c>
      <c r="D219" s="30">
        <v>45940</v>
      </c>
      <c r="E219" s="30">
        <v>45945</v>
      </c>
      <c r="F219" s="30">
        <v>45949</v>
      </c>
      <c r="G219" s="30">
        <v>45954</v>
      </c>
      <c r="H219" s="29" t="s">
        <v>22</v>
      </c>
      <c r="I219" s="30">
        <v>45971</v>
      </c>
      <c r="J219" s="29">
        <v>5</v>
      </c>
      <c r="K219" s="29">
        <v>4</v>
      </c>
      <c r="L219" s="29">
        <v>5</v>
      </c>
      <c r="M219" s="29">
        <v>10</v>
      </c>
    </row>
    <row r="220" spans="1:13">
      <c r="A220" s="29" t="s">
        <v>839</v>
      </c>
      <c r="B220" s="29" t="s">
        <v>26</v>
      </c>
      <c r="C220" s="29" t="s">
        <v>35</v>
      </c>
      <c r="D220" s="30">
        <v>45938</v>
      </c>
      <c r="E220" s="30">
        <v>45941</v>
      </c>
      <c r="F220" s="30">
        <v>45945</v>
      </c>
      <c r="G220" s="30">
        <v>45949</v>
      </c>
      <c r="H220" s="29" t="s">
        <v>22</v>
      </c>
      <c r="I220" s="30">
        <v>45962</v>
      </c>
      <c r="J220" s="29">
        <v>3</v>
      </c>
      <c r="K220" s="29">
        <v>4</v>
      </c>
      <c r="L220" s="29">
        <v>4</v>
      </c>
      <c r="M220" s="29">
        <v>3</v>
      </c>
    </row>
    <row r="221" spans="1:13">
      <c r="A221" s="29" t="s">
        <v>841</v>
      </c>
      <c r="B221" s="29" t="s">
        <v>26</v>
      </c>
      <c r="C221" s="29" t="s">
        <v>35</v>
      </c>
      <c r="D221" s="30">
        <v>45948</v>
      </c>
      <c r="E221" s="30">
        <v>45953</v>
      </c>
      <c r="F221" s="30">
        <v>45955</v>
      </c>
      <c r="G221" s="30">
        <v>45957</v>
      </c>
      <c r="H221" s="29" t="s">
        <v>22</v>
      </c>
      <c r="I221" s="30">
        <v>45987</v>
      </c>
      <c r="J221" s="29">
        <v>5</v>
      </c>
      <c r="K221" s="29">
        <v>2</v>
      </c>
      <c r="L221" s="29">
        <v>2</v>
      </c>
      <c r="M221" s="29">
        <v>5</v>
      </c>
    </row>
    <row r="222" spans="1:13">
      <c r="A222" s="29" t="s">
        <v>845</v>
      </c>
      <c r="B222" s="29" t="s">
        <v>37</v>
      </c>
      <c r="C222" s="29" t="s">
        <v>35</v>
      </c>
      <c r="D222" s="30">
        <v>45942</v>
      </c>
      <c r="E222" s="30">
        <v>45944</v>
      </c>
      <c r="F222" s="30">
        <v>45947</v>
      </c>
      <c r="G222" s="30">
        <v>45951</v>
      </c>
      <c r="H222" s="29" t="s">
        <v>22</v>
      </c>
      <c r="I222" s="30">
        <v>45981</v>
      </c>
      <c r="J222" s="29">
        <v>2</v>
      </c>
      <c r="K222" s="29">
        <v>3</v>
      </c>
      <c r="L222" s="29">
        <v>4</v>
      </c>
      <c r="M222" s="29">
        <v>3</v>
      </c>
    </row>
    <row r="223" spans="1:13">
      <c r="A223" s="29" t="s">
        <v>848</v>
      </c>
      <c r="B223" s="29" t="s">
        <v>24</v>
      </c>
      <c r="C223" s="29" t="s">
        <v>35</v>
      </c>
      <c r="D223" s="30">
        <v>45954</v>
      </c>
      <c r="E223" s="30">
        <v>45959</v>
      </c>
      <c r="F223" s="30">
        <v>45961</v>
      </c>
      <c r="G223" s="30">
        <v>45968</v>
      </c>
      <c r="H223" s="29" t="s">
        <v>22</v>
      </c>
      <c r="I223" s="30">
        <v>45995</v>
      </c>
      <c r="J223" s="29">
        <v>5</v>
      </c>
      <c r="K223" s="29">
        <v>2</v>
      </c>
      <c r="L223" s="29">
        <v>7</v>
      </c>
      <c r="M223" s="29">
        <v>5</v>
      </c>
    </row>
    <row r="224" spans="1:13">
      <c r="A224" s="29" t="s">
        <v>850</v>
      </c>
      <c r="B224" s="29" t="s">
        <v>24</v>
      </c>
      <c r="C224" s="29" t="s">
        <v>35</v>
      </c>
      <c r="D224" s="30">
        <v>45961</v>
      </c>
      <c r="E224" s="30">
        <v>45963</v>
      </c>
      <c r="F224" s="30">
        <v>45965</v>
      </c>
      <c r="G224" s="30">
        <v>45967</v>
      </c>
      <c r="H224" s="29" t="s">
        <v>22</v>
      </c>
      <c r="I224" s="30">
        <v>45996</v>
      </c>
      <c r="J224" s="29">
        <v>2</v>
      </c>
      <c r="K224" s="29">
        <v>2</v>
      </c>
      <c r="L224" s="29">
        <v>2</v>
      </c>
      <c r="M224" s="29">
        <v>8</v>
      </c>
    </row>
    <row r="225" spans="1:13">
      <c r="A225" s="29" t="s">
        <v>851</v>
      </c>
      <c r="B225" s="29" t="s">
        <v>20</v>
      </c>
      <c r="C225" s="29" t="s">
        <v>35</v>
      </c>
      <c r="D225" s="30">
        <v>45948</v>
      </c>
      <c r="E225" s="30">
        <v>45953</v>
      </c>
      <c r="F225" s="30">
        <v>45957</v>
      </c>
      <c r="G225" s="30">
        <v>45960</v>
      </c>
      <c r="H225" s="29" t="s">
        <v>22</v>
      </c>
      <c r="I225" s="30">
        <v>45971</v>
      </c>
      <c r="J225" s="29">
        <v>5</v>
      </c>
      <c r="K225" s="29">
        <v>4</v>
      </c>
      <c r="L225" s="29">
        <v>3</v>
      </c>
      <c r="M225" s="29">
        <v>8</v>
      </c>
    </row>
    <row r="226" spans="1:13">
      <c r="A226" s="29" t="s">
        <v>856</v>
      </c>
      <c r="B226" s="29" t="s">
        <v>37</v>
      </c>
      <c r="C226" s="29" t="s">
        <v>35</v>
      </c>
      <c r="D226" s="30">
        <v>45935</v>
      </c>
      <c r="E226" s="30">
        <v>45940</v>
      </c>
      <c r="F226" s="30">
        <v>45943</v>
      </c>
      <c r="G226" s="30">
        <v>45945</v>
      </c>
      <c r="H226" s="29" t="s">
        <v>22</v>
      </c>
      <c r="I226" s="30">
        <v>45958</v>
      </c>
      <c r="J226" s="29">
        <v>5</v>
      </c>
      <c r="K226" s="29">
        <v>3</v>
      </c>
      <c r="L226" s="29">
        <v>2</v>
      </c>
      <c r="M226" s="29">
        <v>4</v>
      </c>
    </row>
    <row r="227" spans="1:13">
      <c r="A227" s="29" t="s">
        <v>858</v>
      </c>
      <c r="B227" s="29" t="s">
        <v>24</v>
      </c>
      <c r="C227" s="29" t="s">
        <v>35</v>
      </c>
      <c r="D227" s="30">
        <v>45944</v>
      </c>
      <c r="E227" s="30">
        <v>45945</v>
      </c>
      <c r="F227" s="30">
        <v>45946</v>
      </c>
      <c r="G227" s="30">
        <v>45949</v>
      </c>
      <c r="H227" s="29" t="s">
        <v>22</v>
      </c>
      <c r="I227" s="30">
        <v>45979</v>
      </c>
      <c r="J227" s="29">
        <v>1</v>
      </c>
      <c r="K227" s="29">
        <v>1</v>
      </c>
      <c r="L227" s="29">
        <v>3</v>
      </c>
      <c r="M227" s="29">
        <v>3</v>
      </c>
    </row>
    <row r="228" spans="1:13">
      <c r="A228" s="29" t="s">
        <v>864</v>
      </c>
      <c r="B228" s="29" t="s">
        <v>37</v>
      </c>
      <c r="C228" s="29" t="s">
        <v>35</v>
      </c>
      <c r="D228" s="30">
        <v>45944</v>
      </c>
      <c r="E228" s="30">
        <v>45946</v>
      </c>
      <c r="F228" s="30">
        <v>45951</v>
      </c>
      <c r="G228" s="30">
        <v>45958</v>
      </c>
      <c r="H228" s="29" t="s">
        <v>22</v>
      </c>
      <c r="I228" s="30">
        <v>45971</v>
      </c>
      <c r="J228" s="29">
        <v>2</v>
      </c>
      <c r="K228" s="29">
        <v>5</v>
      </c>
      <c r="L228" s="29">
        <v>7</v>
      </c>
      <c r="M228" s="29">
        <v>9</v>
      </c>
    </row>
    <row r="229" spans="1:13">
      <c r="A229" s="29" t="s">
        <v>865</v>
      </c>
      <c r="B229" s="29" t="s">
        <v>26</v>
      </c>
      <c r="C229" s="29" t="s">
        <v>35</v>
      </c>
      <c r="D229" s="30">
        <v>45961</v>
      </c>
      <c r="E229" s="30">
        <v>45966</v>
      </c>
      <c r="F229" s="30">
        <v>45971</v>
      </c>
      <c r="G229" s="30">
        <v>45975</v>
      </c>
      <c r="H229" s="29" t="s">
        <v>22</v>
      </c>
      <c r="I229" s="30">
        <v>45998</v>
      </c>
      <c r="J229" s="29">
        <v>5</v>
      </c>
      <c r="K229" s="29">
        <v>5</v>
      </c>
      <c r="L229" s="29">
        <v>4</v>
      </c>
      <c r="M229" s="29">
        <v>9</v>
      </c>
    </row>
    <row r="230" spans="1:13">
      <c r="A230" s="29" t="s">
        <v>867</v>
      </c>
      <c r="B230" s="29" t="s">
        <v>26</v>
      </c>
      <c r="C230" s="29" t="s">
        <v>35</v>
      </c>
      <c r="D230" s="30">
        <v>45939</v>
      </c>
      <c r="E230" s="30">
        <v>45944</v>
      </c>
      <c r="F230" s="30">
        <v>45948</v>
      </c>
      <c r="G230" s="30">
        <v>45951</v>
      </c>
      <c r="H230" s="29" t="s">
        <v>22</v>
      </c>
      <c r="I230" s="30">
        <v>45973</v>
      </c>
      <c r="J230" s="29">
        <v>5</v>
      </c>
      <c r="K230" s="29">
        <v>4</v>
      </c>
      <c r="L230" s="29">
        <v>3</v>
      </c>
      <c r="M230" s="29">
        <v>8</v>
      </c>
    </row>
    <row r="231" spans="1:13">
      <c r="A231" s="29" t="s">
        <v>871</v>
      </c>
      <c r="B231" s="29" t="s">
        <v>24</v>
      </c>
      <c r="C231" s="29" t="s">
        <v>35</v>
      </c>
      <c r="D231" s="30">
        <v>45937</v>
      </c>
      <c r="E231" s="30">
        <v>45940</v>
      </c>
      <c r="F231" s="30">
        <v>45941</v>
      </c>
      <c r="G231" s="30">
        <v>45947</v>
      </c>
      <c r="H231" s="29" t="s">
        <v>22</v>
      </c>
      <c r="I231" s="30">
        <v>45965</v>
      </c>
      <c r="J231" s="29">
        <v>3</v>
      </c>
      <c r="K231" s="29">
        <v>1</v>
      </c>
      <c r="L231" s="29">
        <v>6</v>
      </c>
      <c r="M231" s="29">
        <v>6</v>
      </c>
    </row>
    <row r="232" spans="1:13">
      <c r="A232" s="29" t="s">
        <v>872</v>
      </c>
      <c r="B232" s="29" t="s">
        <v>26</v>
      </c>
      <c r="C232" s="29" t="s">
        <v>35</v>
      </c>
      <c r="D232" s="30">
        <v>45945</v>
      </c>
      <c r="E232" s="30">
        <v>45948</v>
      </c>
      <c r="F232" s="30">
        <v>45952</v>
      </c>
      <c r="G232" s="30">
        <v>45959</v>
      </c>
      <c r="H232" s="29" t="s">
        <v>22</v>
      </c>
      <c r="I232" s="30">
        <v>45984</v>
      </c>
      <c r="J232" s="29">
        <v>3</v>
      </c>
      <c r="K232" s="29">
        <v>4</v>
      </c>
      <c r="L232" s="29">
        <v>7</v>
      </c>
      <c r="M232" s="29">
        <v>9</v>
      </c>
    </row>
    <row r="233" spans="1:13">
      <c r="A233" s="29" t="s">
        <v>881</v>
      </c>
      <c r="B233" s="29" t="s">
        <v>20</v>
      </c>
      <c r="C233" s="29" t="s">
        <v>35</v>
      </c>
      <c r="D233" s="30">
        <v>45948</v>
      </c>
      <c r="E233" s="30">
        <v>45949</v>
      </c>
      <c r="F233" s="30">
        <v>45952</v>
      </c>
      <c r="G233" s="30">
        <v>45955</v>
      </c>
      <c r="H233" s="29" t="s">
        <v>22</v>
      </c>
      <c r="I233" s="30">
        <v>45974</v>
      </c>
      <c r="J233" s="29">
        <v>1</v>
      </c>
      <c r="K233" s="29">
        <v>3</v>
      </c>
      <c r="L233" s="29">
        <v>3</v>
      </c>
      <c r="M233" s="29">
        <v>5</v>
      </c>
    </row>
    <row r="234" spans="1:13">
      <c r="A234" s="29" t="s">
        <v>884</v>
      </c>
      <c r="B234" s="29" t="s">
        <v>26</v>
      </c>
      <c r="C234" s="29" t="s">
        <v>35</v>
      </c>
      <c r="D234" s="30">
        <v>45942</v>
      </c>
      <c r="E234" s="30">
        <v>45946</v>
      </c>
      <c r="F234" s="30">
        <v>45948</v>
      </c>
      <c r="G234" s="30">
        <v>45950</v>
      </c>
      <c r="H234" s="29" t="s">
        <v>22</v>
      </c>
      <c r="I234" s="30">
        <v>45976</v>
      </c>
      <c r="J234" s="29">
        <v>4</v>
      </c>
      <c r="K234" s="29">
        <v>2</v>
      </c>
      <c r="L234" s="29">
        <v>2</v>
      </c>
      <c r="M234" s="29">
        <v>9</v>
      </c>
    </row>
    <row r="235" spans="1:13">
      <c r="A235" s="29" t="s">
        <v>888</v>
      </c>
      <c r="B235" s="29" t="s">
        <v>24</v>
      </c>
      <c r="C235" s="29" t="s">
        <v>35</v>
      </c>
      <c r="D235" s="30">
        <v>45937</v>
      </c>
      <c r="E235" s="30">
        <v>45941</v>
      </c>
      <c r="F235" s="30">
        <v>45946</v>
      </c>
      <c r="G235" s="30">
        <v>45949</v>
      </c>
      <c r="H235" s="29" t="s">
        <v>22</v>
      </c>
      <c r="I235" s="30">
        <v>45978</v>
      </c>
      <c r="J235" s="29">
        <v>4</v>
      </c>
      <c r="K235" s="29">
        <v>5</v>
      </c>
      <c r="L235" s="29">
        <v>3</v>
      </c>
      <c r="M235" s="29">
        <v>7</v>
      </c>
    </row>
    <row r="236" spans="1:13">
      <c r="A236" s="29" t="s">
        <v>889</v>
      </c>
      <c r="B236" s="29" t="s">
        <v>20</v>
      </c>
      <c r="C236" s="29" t="s">
        <v>35</v>
      </c>
      <c r="D236" s="30">
        <v>45961</v>
      </c>
      <c r="E236" s="30">
        <v>45963</v>
      </c>
      <c r="F236" s="30">
        <v>45965</v>
      </c>
      <c r="G236" s="30">
        <v>45970</v>
      </c>
      <c r="H236" s="29" t="s">
        <v>22</v>
      </c>
      <c r="I236" s="30">
        <v>45999</v>
      </c>
      <c r="J236" s="29">
        <v>2</v>
      </c>
      <c r="K236" s="29">
        <v>2</v>
      </c>
      <c r="L236" s="29">
        <v>5</v>
      </c>
      <c r="M236" s="29">
        <v>1</v>
      </c>
    </row>
    <row r="237" spans="1:13">
      <c r="A237" s="29" t="s">
        <v>892</v>
      </c>
      <c r="B237" s="29" t="s">
        <v>26</v>
      </c>
      <c r="C237" s="29" t="s">
        <v>35</v>
      </c>
      <c r="D237" s="30">
        <v>45958</v>
      </c>
      <c r="E237" s="30">
        <v>45960</v>
      </c>
      <c r="F237" s="30">
        <v>45962</v>
      </c>
      <c r="G237" s="30">
        <v>45969</v>
      </c>
      <c r="H237" s="29" t="s">
        <v>22</v>
      </c>
      <c r="I237" s="30">
        <v>45982</v>
      </c>
      <c r="J237" s="29">
        <v>2</v>
      </c>
      <c r="K237" s="29">
        <v>2</v>
      </c>
      <c r="L237" s="29">
        <v>7</v>
      </c>
      <c r="M237" s="29">
        <v>4</v>
      </c>
    </row>
    <row r="238" spans="1:13">
      <c r="A238" s="29" t="s">
        <v>897</v>
      </c>
      <c r="B238" s="29" t="s">
        <v>37</v>
      </c>
      <c r="C238" s="29" t="s">
        <v>35</v>
      </c>
      <c r="D238" s="30">
        <v>45937</v>
      </c>
      <c r="E238" s="30">
        <v>45939</v>
      </c>
      <c r="F238" s="30">
        <v>45944</v>
      </c>
      <c r="G238" s="30">
        <v>45948</v>
      </c>
      <c r="H238" s="29" t="s">
        <v>22</v>
      </c>
      <c r="I238" s="30">
        <v>45967</v>
      </c>
      <c r="J238" s="29">
        <v>2</v>
      </c>
      <c r="K238" s="29">
        <v>5</v>
      </c>
      <c r="L238" s="29">
        <v>4</v>
      </c>
      <c r="M238" s="29">
        <v>4</v>
      </c>
    </row>
    <row r="239" spans="1:13">
      <c r="A239" s="29" t="s">
        <v>900</v>
      </c>
      <c r="B239" s="29" t="s">
        <v>37</v>
      </c>
      <c r="C239" s="29" t="s">
        <v>35</v>
      </c>
      <c r="D239" s="30">
        <v>45950</v>
      </c>
      <c r="E239" s="30">
        <v>45955</v>
      </c>
      <c r="F239" s="30">
        <v>45958</v>
      </c>
      <c r="G239" s="30">
        <v>45960</v>
      </c>
      <c r="H239" s="29" t="s">
        <v>22</v>
      </c>
      <c r="I239" s="30">
        <v>45973</v>
      </c>
      <c r="J239" s="29">
        <v>5</v>
      </c>
      <c r="K239" s="29">
        <v>3</v>
      </c>
      <c r="L239" s="29">
        <v>2</v>
      </c>
      <c r="M239" s="29">
        <v>9</v>
      </c>
    </row>
    <row r="240" spans="1:13">
      <c r="A240" s="29" t="s">
        <v>906</v>
      </c>
      <c r="B240" s="29" t="s">
        <v>20</v>
      </c>
      <c r="C240" s="29" t="s">
        <v>35</v>
      </c>
      <c r="D240" s="30">
        <v>45935</v>
      </c>
      <c r="E240" s="30">
        <v>45936</v>
      </c>
      <c r="F240" s="30">
        <v>45941</v>
      </c>
      <c r="G240" s="30">
        <v>45943</v>
      </c>
      <c r="H240" s="29" t="s">
        <v>22</v>
      </c>
      <c r="I240" s="30">
        <v>45969</v>
      </c>
      <c r="J240" s="29">
        <v>1</v>
      </c>
      <c r="K240" s="29">
        <v>5</v>
      </c>
      <c r="L240" s="29">
        <v>2</v>
      </c>
      <c r="M240" s="29">
        <v>4</v>
      </c>
    </row>
    <row r="241" spans="1:13">
      <c r="A241" s="29" t="s">
        <v>907</v>
      </c>
      <c r="B241" s="29" t="s">
        <v>24</v>
      </c>
      <c r="C241" s="29" t="s">
        <v>35</v>
      </c>
      <c r="D241" s="30">
        <v>45956</v>
      </c>
      <c r="E241" s="30">
        <v>45959</v>
      </c>
      <c r="F241" s="30">
        <v>45961</v>
      </c>
      <c r="G241" s="30">
        <v>45965</v>
      </c>
      <c r="H241" s="29" t="s">
        <v>22</v>
      </c>
      <c r="I241" s="30">
        <v>45981</v>
      </c>
      <c r="J241" s="29">
        <v>3</v>
      </c>
      <c r="K241" s="29">
        <v>2</v>
      </c>
      <c r="L241" s="29">
        <v>4</v>
      </c>
      <c r="M241" s="29">
        <v>3</v>
      </c>
    </row>
    <row r="242" spans="1:13">
      <c r="A242" s="29" t="s">
        <v>908</v>
      </c>
      <c r="B242" s="29" t="s">
        <v>24</v>
      </c>
      <c r="C242" s="29" t="s">
        <v>35</v>
      </c>
      <c r="D242" s="30">
        <v>45949</v>
      </c>
      <c r="E242" s="30">
        <v>45953</v>
      </c>
      <c r="F242" s="30">
        <v>45958</v>
      </c>
      <c r="G242" s="30">
        <v>45960</v>
      </c>
      <c r="H242" s="29" t="s">
        <v>22</v>
      </c>
      <c r="I242" s="30">
        <v>45981</v>
      </c>
      <c r="J242" s="29">
        <v>4</v>
      </c>
      <c r="K242" s="29">
        <v>5</v>
      </c>
      <c r="L242" s="29">
        <v>2</v>
      </c>
      <c r="M242" s="29">
        <v>6</v>
      </c>
    </row>
    <row r="243" spans="1:13">
      <c r="A243" s="29" t="s">
        <v>912</v>
      </c>
      <c r="B243" s="29" t="s">
        <v>24</v>
      </c>
      <c r="C243" s="29" t="s">
        <v>35</v>
      </c>
      <c r="D243" s="30">
        <v>45955</v>
      </c>
      <c r="E243" s="30">
        <v>45956</v>
      </c>
      <c r="F243" s="30">
        <v>45961</v>
      </c>
      <c r="G243" s="30">
        <v>45963</v>
      </c>
      <c r="H243" s="29" t="s">
        <v>22</v>
      </c>
      <c r="I243" s="30">
        <v>45978</v>
      </c>
      <c r="J243" s="29">
        <v>1</v>
      </c>
      <c r="K243" s="29">
        <v>5</v>
      </c>
      <c r="L243" s="29">
        <v>2</v>
      </c>
      <c r="M243" s="29">
        <v>4</v>
      </c>
    </row>
    <row r="244" spans="1:13">
      <c r="A244" s="29" t="s">
        <v>917</v>
      </c>
      <c r="B244" s="29" t="s">
        <v>26</v>
      </c>
      <c r="C244" s="29" t="s">
        <v>35</v>
      </c>
      <c r="D244" s="30">
        <v>45957</v>
      </c>
      <c r="E244" s="30">
        <v>45961</v>
      </c>
      <c r="F244" s="30">
        <v>45963</v>
      </c>
      <c r="G244" s="30">
        <v>45968</v>
      </c>
      <c r="H244" s="29" t="s">
        <v>22</v>
      </c>
      <c r="I244" s="30">
        <v>45993</v>
      </c>
      <c r="J244" s="29">
        <v>4</v>
      </c>
      <c r="K244" s="29">
        <v>2</v>
      </c>
      <c r="L244" s="29">
        <v>5</v>
      </c>
      <c r="M244" s="29">
        <v>7</v>
      </c>
    </row>
    <row r="245" spans="1:13">
      <c r="A245" s="29" t="s">
        <v>918</v>
      </c>
      <c r="B245" s="29" t="s">
        <v>24</v>
      </c>
      <c r="C245" s="29" t="s">
        <v>35</v>
      </c>
      <c r="D245" s="30">
        <v>45958</v>
      </c>
      <c r="E245" s="30">
        <v>45963</v>
      </c>
      <c r="F245" s="30">
        <v>45967</v>
      </c>
      <c r="G245" s="30">
        <v>45974</v>
      </c>
      <c r="H245" s="29" t="s">
        <v>22</v>
      </c>
      <c r="I245" s="30">
        <v>45990</v>
      </c>
      <c r="J245" s="29">
        <v>5</v>
      </c>
      <c r="K245" s="29">
        <v>4</v>
      </c>
      <c r="L245" s="29">
        <v>7</v>
      </c>
      <c r="M245" s="29">
        <v>3</v>
      </c>
    </row>
    <row r="246" spans="1:13">
      <c r="A246" s="29" t="s">
        <v>932</v>
      </c>
      <c r="B246" s="29" t="s">
        <v>37</v>
      </c>
      <c r="C246" s="29" t="s">
        <v>35</v>
      </c>
      <c r="D246" s="30">
        <v>45939</v>
      </c>
      <c r="E246" s="30">
        <v>45943</v>
      </c>
      <c r="F246" s="30">
        <v>45945</v>
      </c>
      <c r="G246" s="30">
        <v>45948</v>
      </c>
      <c r="H246" s="29" t="s">
        <v>22</v>
      </c>
      <c r="I246" s="30">
        <v>45976</v>
      </c>
      <c r="J246" s="29">
        <v>4</v>
      </c>
      <c r="K246" s="29">
        <v>2</v>
      </c>
      <c r="L246" s="29">
        <v>3</v>
      </c>
      <c r="M246" s="29">
        <v>9</v>
      </c>
    </row>
    <row r="247" spans="1:13">
      <c r="A247" s="29" t="s">
        <v>940</v>
      </c>
      <c r="B247" s="29" t="s">
        <v>26</v>
      </c>
      <c r="C247" s="29" t="s">
        <v>35</v>
      </c>
      <c r="D247" s="30">
        <v>45931</v>
      </c>
      <c r="E247" s="30">
        <v>45932</v>
      </c>
      <c r="F247" s="30">
        <v>45937</v>
      </c>
      <c r="G247" s="30">
        <v>45943</v>
      </c>
      <c r="H247" s="29" t="s">
        <v>22</v>
      </c>
      <c r="I247" s="30">
        <v>45961</v>
      </c>
      <c r="J247" s="29">
        <v>1</v>
      </c>
      <c r="K247" s="29">
        <v>5</v>
      </c>
      <c r="L247" s="29">
        <v>6</v>
      </c>
      <c r="M247" s="29">
        <v>2</v>
      </c>
    </row>
    <row r="248" spans="1:13">
      <c r="A248" s="29" t="s">
        <v>944</v>
      </c>
      <c r="B248" s="29" t="s">
        <v>37</v>
      </c>
      <c r="C248" s="29" t="s">
        <v>35</v>
      </c>
      <c r="D248" s="30">
        <v>45938</v>
      </c>
      <c r="E248" s="30">
        <v>45940</v>
      </c>
      <c r="F248" s="30">
        <v>45944</v>
      </c>
      <c r="G248" s="30">
        <v>45951</v>
      </c>
      <c r="H248" s="29" t="s">
        <v>22</v>
      </c>
      <c r="I248" s="30">
        <v>45970</v>
      </c>
      <c r="J248" s="29">
        <v>2</v>
      </c>
      <c r="K248" s="29">
        <v>4</v>
      </c>
      <c r="L248" s="29">
        <v>7</v>
      </c>
      <c r="M248" s="29">
        <v>1</v>
      </c>
    </row>
    <row r="249" spans="1:13">
      <c r="A249" s="29" t="s">
        <v>945</v>
      </c>
      <c r="B249" s="29" t="s">
        <v>26</v>
      </c>
      <c r="C249" s="29" t="s">
        <v>35</v>
      </c>
      <c r="D249" s="30">
        <v>45949</v>
      </c>
      <c r="E249" s="30">
        <v>45951</v>
      </c>
      <c r="F249" s="30">
        <v>45956</v>
      </c>
      <c r="G249" s="30">
        <v>45960</v>
      </c>
      <c r="H249" s="29" t="s">
        <v>22</v>
      </c>
      <c r="I249" s="30">
        <v>45978</v>
      </c>
      <c r="J249" s="29">
        <v>2</v>
      </c>
      <c r="K249" s="29">
        <v>5</v>
      </c>
      <c r="L249" s="29">
        <v>4</v>
      </c>
      <c r="M249" s="29">
        <v>8</v>
      </c>
    </row>
    <row r="250" spans="1:13">
      <c r="A250" s="29" t="s">
        <v>947</v>
      </c>
      <c r="B250" s="29" t="s">
        <v>20</v>
      </c>
      <c r="C250" s="29" t="s">
        <v>35</v>
      </c>
      <c r="D250" s="30">
        <v>45931</v>
      </c>
      <c r="E250" s="30">
        <v>45934</v>
      </c>
      <c r="F250" s="30">
        <v>45937</v>
      </c>
      <c r="G250" s="30">
        <v>45942</v>
      </c>
      <c r="H250" s="29" t="s">
        <v>22</v>
      </c>
      <c r="I250" s="30">
        <v>45953</v>
      </c>
      <c r="J250" s="29">
        <v>3</v>
      </c>
      <c r="K250" s="29">
        <v>3</v>
      </c>
      <c r="L250" s="29">
        <v>5</v>
      </c>
      <c r="M250" s="29">
        <v>4</v>
      </c>
    </row>
    <row r="251" spans="1:13">
      <c r="A251" s="29" t="s">
        <v>948</v>
      </c>
      <c r="B251" s="29" t="s">
        <v>20</v>
      </c>
      <c r="C251" s="29" t="s">
        <v>35</v>
      </c>
      <c r="D251" s="30">
        <v>45936</v>
      </c>
      <c r="E251" s="30">
        <v>45937</v>
      </c>
      <c r="F251" s="30">
        <v>45942</v>
      </c>
      <c r="G251" s="30">
        <v>45948</v>
      </c>
      <c r="H251" s="29" t="s">
        <v>22</v>
      </c>
      <c r="I251" s="30">
        <v>45961</v>
      </c>
      <c r="J251" s="29">
        <v>1</v>
      </c>
      <c r="K251" s="29">
        <v>5</v>
      </c>
      <c r="L251" s="29">
        <v>6</v>
      </c>
      <c r="M251" s="29">
        <v>1</v>
      </c>
    </row>
    <row r="252" spans="1:13">
      <c r="A252" s="29" t="s">
        <v>949</v>
      </c>
      <c r="B252" s="29" t="s">
        <v>26</v>
      </c>
      <c r="C252" s="29" t="s">
        <v>35</v>
      </c>
      <c r="D252" s="30">
        <v>45939</v>
      </c>
      <c r="E252" s="30">
        <v>45940</v>
      </c>
      <c r="F252" s="30">
        <v>45945</v>
      </c>
      <c r="G252" s="30">
        <v>45950</v>
      </c>
      <c r="H252" s="29" t="s">
        <v>22</v>
      </c>
      <c r="I252" s="30">
        <v>45965</v>
      </c>
      <c r="J252" s="29">
        <v>1</v>
      </c>
      <c r="K252" s="29">
        <v>5</v>
      </c>
      <c r="L252" s="29">
        <v>5</v>
      </c>
      <c r="M252" s="29">
        <v>6</v>
      </c>
    </row>
    <row r="253" spans="1:13">
      <c r="A253" s="29" t="s">
        <v>950</v>
      </c>
      <c r="B253" s="29" t="s">
        <v>37</v>
      </c>
      <c r="C253" s="29" t="s">
        <v>35</v>
      </c>
      <c r="D253" s="30">
        <v>45932</v>
      </c>
      <c r="E253" s="30">
        <v>45935</v>
      </c>
      <c r="F253" s="30">
        <v>45936</v>
      </c>
      <c r="G253" s="30">
        <v>45938</v>
      </c>
      <c r="H253" s="29" t="s">
        <v>22</v>
      </c>
      <c r="I253" s="30">
        <v>45949</v>
      </c>
      <c r="J253" s="29">
        <v>3</v>
      </c>
      <c r="K253" s="29">
        <v>1</v>
      </c>
      <c r="L253" s="29">
        <v>2</v>
      </c>
      <c r="M253" s="29">
        <v>8</v>
      </c>
    </row>
    <row r="254" spans="1:13">
      <c r="A254" s="29" t="s">
        <v>951</v>
      </c>
      <c r="B254" s="29" t="s">
        <v>26</v>
      </c>
      <c r="C254" s="29" t="s">
        <v>35</v>
      </c>
      <c r="D254" s="30">
        <v>45935</v>
      </c>
      <c r="E254" s="30">
        <v>45939</v>
      </c>
      <c r="F254" s="30">
        <v>45940</v>
      </c>
      <c r="G254" s="30">
        <v>45942</v>
      </c>
      <c r="H254" s="29" t="s">
        <v>22</v>
      </c>
      <c r="I254" s="30">
        <v>45961</v>
      </c>
      <c r="J254" s="29">
        <v>4</v>
      </c>
      <c r="K254" s="29">
        <v>1</v>
      </c>
      <c r="L254" s="29">
        <v>2</v>
      </c>
      <c r="M254" s="29">
        <v>1</v>
      </c>
    </row>
    <row r="255" spans="1:13">
      <c r="A255" s="29" t="s">
        <v>957</v>
      </c>
      <c r="B255" s="29" t="s">
        <v>37</v>
      </c>
      <c r="C255" s="29" t="s">
        <v>35</v>
      </c>
      <c r="D255" s="30">
        <v>45933</v>
      </c>
      <c r="E255" s="30">
        <v>45934</v>
      </c>
      <c r="F255" s="30">
        <v>45935</v>
      </c>
      <c r="G255" s="30">
        <v>45938</v>
      </c>
      <c r="H255" s="29" t="s">
        <v>22</v>
      </c>
      <c r="I255" s="30">
        <v>45951</v>
      </c>
      <c r="J255" s="29">
        <v>1</v>
      </c>
      <c r="K255" s="29">
        <v>1</v>
      </c>
      <c r="L255" s="29">
        <v>3</v>
      </c>
      <c r="M255" s="29">
        <v>6</v>
      </c>
    </row>
    <row r="256" spans="1:13">
      <c r="A256" s="29" t="s">
        <v>958</v>
      </c>
      <c r="B256" s="29" t="s">
        <v>26</v>
      </c>
      <c r="C256" s="29" t="s">
        <v>35</v>
      </c>
      <c r="D256" s="30">
        <v>45946</v>
      </c>
      <c r="E256" s="30">
        <v>45947</v>
      </c>
      <c r="F256" s="30">
        <v>45952</v>
      </c>
      <c r="G256" s="30">
        <v>45959</v>
      </c>
      <c r="H256" s="29" t="s">
        <v>22</v>
      </c>
      <c r="I256" s="30">
        <v>45970</v>
      </c>
      <c r="J256" s="29">
        <v>1</v>
      </c>
      <c r="K256" s="29">
        <v>5</v>
      </c>
      <c r="L256" s="29">
        <v>7</v>
      </c>
      <c r="M256" s="29">
        <v>2</v>
      </c>
    </row>
    <row r="257" spans="1:13">
      <c r="A257" s="29" t="s">
        <v>964</v>
      </c>
      <c r="B257" s="29" t="s">
        <v>24</v>
      </c>
      <c r="C257" s="29" t="s">
        <v>35</v>
      </c>
      <c r="D257" s="30">
        <v>45934</v>
      </c>
      <c r="E257" s="30">
        <v>45937</v>
      </c>
      <c r="F257" s="30">
        <v>45938</v>
      </c>
      <c r="G257" s="30">
        <v>45943</v>
      </c>
      <c r="H257" s="29" t="s">
        <v>22</v>
      </c>
      <c r="I257" s="30">
        <v>45963</v>
      </c>
      <c r="J257" s="29">
        <v>3</v>
      </c>
      <c r="K257" s="29">
        <v>1</v>
      </c>
      <c r="L257" s="29">
        <v>5</v>
      </c>
      <c r="M257" s="29">
        <v>9</v>
      </c>
    </row>
    <row r="258" spans="1:13">
      <c r="A258" s="29" t="s">
        <v>967</v>
      </c>
      <c r="B258" s="29" t="s">
        <v>37</v>
      </c>
      <c r="C258" s="29" t="s">
        <v>35</v>
      </c>
      <c r="D258" s="30">
        <v>45938</v>
      </c>
      <c r="E258" s="30">
        <v>45939</v>
      </c>
      <c r="F258" s="30">
        <v>45944</v>
      </c>
      <c r="G258" s="30">
        <v>45949</v>
      </c>
      <c r="H258" s="29" t="s">
        <v>22</v>
      </c>
      <c r="I258" s="30">
        <v>45973</v>
      </c>
      <c r="J258" s="29">
        <v>1</v>
      </c>
      <c r="K258" s="29">
        <v>5</v>
      </c>
      <c r="L258" s="29">
        <v>5</v>
      </c>
      <c r="M258" s="29">
        <v>9</v>
      </c>
    </row>
    <row r="259" spans="1:13">
      <c r="A259" s="29" t="s">
        <v>971</v>
      </c>
      <c r="B259" s="29" t="s">
        <v>26</v>
      </c>
      <c r="C259" s="29" t="s">
        <v>35</v>
      </c>
      <c r="D259" s="30">
        <v>45954</v>
      </c>
      <c r="E259" s="30">
        <v>45956</v>
      </c>
      <c r="F259" s="30">
        <v>45961</v>
      </c>
      <c r="G259" s="30">
        <v>45965</v>
      </c>
      <c r="H259" s="29" t="s">
        <v>22</v>
      </c>
      <c r="I259" s="30">
        <v>45977</v>
      </c>
      <c r="J259" s="29">
        <v>2</v>
      </c>
      <c r="K259" s="29">
        <v>5</v>
      </c>
      <c r="L259" s="29">
        <v>4</v>
      </c>
      <c r="M259" s="29">
        <v>7</v>
      </c>
    </row>
    <row r="260" spans="1:13">
      <c r="A260" s="29" t="s">
        <v>975</v>
      </c>
      <c r="B260" s="29" t="s">
        <v>37</v>
      </c>
      <c r="C260" s="29" t="s">
        <v>35</v>
      </c>
      <c r="D260" s="30">
        <v>45952</v>
      </c>
      <c r="E260" s="30">
        <v>45955</v>
      </c>
      <c r="F260" s="30">
        <v>45959</v>
      </c>
      <c r="G260" s="30">
        <v>45963</v>
      </c>
      <c r="H260" s="29" t="s">
        <v>22</v>
      </c>
      <c r="I260" s="30">
        <v>45978</v>
      </c>
      <c r="J260" s="29">
        <v>3</v>
      </c>
      <c r="K260" s="29">
        <v>4</v>
      </c>
      <c r="L260" s="29">
        <v>4</v>
      </c>
      <c r="M260" s="29">
        <v>4</v>
      </c>
    </row>
    <row r="261" spans="1:13">
      <c r="A261" s="29" t="s">
        <v>977</v>
      </c>
      <c r="B261" s="29" t="s">
        <v>20</v>
      </c>
      <c r="C261" s="29" t="s">
        <v>35</v>
      </c>
      <c r="D261" s="30">
        <v>45940</v>
      </c>
      <c r="E261" s="30">
        <v>45944</v>
      </c>
      <c r="F261" s="30">
        <v>45948</v>
      </c>
      <c r="G261" s="30">
        <v>45952</v>
      </c>
      <c r="H261" s="29" t="s">
        <v>22</v>
      </c>
      <c r="I261" s="30">
        <v>45974</v>
      </c>
      <c r="J261" s="29">
        <v>4</v>
      </c>
      <c r="K261" s="29">
        <v>4</v>
      </c>
      <c r="L261" s="29">
        <v>4</v>
      </c>
      <c r="M261" s="29">
        <v>3</v>
      </c>
    </row>
    <row r="262" spans="1:13">
      <c r="A262" s="29" t="s">
        <v>979</v>
      </c>
      <c r="B262" s="29" t="s">
        <v>26</v>
      </c>
      <c r="C262" s="29" t="s">
        <v>35</v>
      </c>
      <c r="D262" s="30">
        <v>45951</v>
      </c>
      <c r="E262" s="30">
        <v>45955</v>
      </c>
      <c r="F262" s="30">
        <v>45960</v>
      </c>
      <c r="G262" s="30">
        <v>45962</v>
      </c>
      <c r="H262" s="29" t="s">
        <v>22</v>
      </c>
      <c r="I262" s="30">
        <v>45986</v>
      </c>
      <c r="J262" s="29">
        <v>4</v>
      </c>
      <c r="K262" s="29">
        <v>5</v>
      </c>
      <c r="L262" s="29">
        <v>2</v>
      </c>
      <c r="M262" s="29">
        <v>6</v>
      </c>
    </row>
    <row r="263" spans="1:13">
      <c r="A263" s="29" t="s">
        <v>983</v>
      </c>
      <c r="B263" s="29" t="s">
        <v>20</v>
      </c>
      <c r="C263" s="29" t="s">
        <v>35</v>
      </c>
      <c r="D263" s="30">
        <v>45946</v>
      </c>
      <c r="E263" s="30">
        <v>45951</v>
      </c>
      <c r="F263" s="30">
        <v>45954</v>
      </c>
      <c r="G263" s="30">
        <v>45957</v>
      </c>
      <c r="H263" s="29" t="s">
        <v>22</v>
      </c>
      <c r="I263" s="30">
        <v>45982</v>
      </c>
      <c r="J263" s="29">
        <v>5</v>
      </c>
      <c r="K263" s="29">
        <v>3</v>
      </c>
      <c r="L263" s="29">
        <v>3</v>
      </c>
      <c r="M263" s="29">
        <v>3</v>
      </c>
    </row>
    <row r="264" spans="1:13">
      <c r="A264" s="29" t="s">
        <v>984</v>
      </c>
      <c r="B264" s="29" t="s">
        <v>24</v>
      </c>
      <c r="C264" s="29" t="s">
        <v>35</v>
      </c>
      <c r="D264" s="30">
        <v>45958</v>
      </c>
      <c r="E264" s="30">
        <v>45963</v>
      </c>
      <c r="F264" s="30">
        <v>45964</v>
      </c>
      <c r="G264" s="30">
        <v>45966</v>
      </c>
      <c r="H264" s="29" t="s">
        <v>22</v>
      </c>
      <c r="I264" s="30">
        <v>45989</v>
      </c>
      <c r="J264" s="29">
        <v>5</v>
      </c>
      <c r="K264" s="29">
        <v>1</v>
      </c>
      <c r="L264" s="29">
        <v>2</v>
      </c>
      <c r="M264" s="29">
        <v>1</v>
      </c>
    </row>
    <row r="265" spans="1:13">
      <c r="A265" s="29" t="s">
        <v>987</v>
      </c>
      <c r="B265" s="29" t="s">
        <v>20</v>
      </c>
      <c r="C265" s="29" t="s">
        <v>35</v>
      </c>
      <c r="D265" s="30">
        <v>45952</v>
      </c>
      <c r="E265" s="30">
        <v>45953</v>
      </c>
      <c r="F265" s="30">
        <v>45956</v>
      </c>
      <c r="G265" s="30">
        <v>45961</v>
      </c>
      <c r="H265" s="29" t="s">
        <v>22</v>
      </c>
      <c r="I265" s="30">
        <v>45974</v>
      </c>
      <c r="J265" s="29">
        <v>1</v>
      </c>
      <c r="K265" s="29">
        <v>3</v>
      </c>
      <c r="L265" s="29">
        <v>5</v>
      </c>
      <c r="M265" s="29">
        <v>1</v>
      </c>
    </row>
    <row r="266" spans="1:13">
      <c r="A266" s="29" t="s">
        <v>993</v>
      </c>
      <c r="B266" s="29" t="s">
        <v>20</v>
      </c>
      <c r="C266" s="29" t="s">
        <v>35</v>
      </c>
      <c r="D266" s="30">
        <v>45933</v>
      </c>
      <c r="E266" s="30">
        <v>45938</v>
      </c>
      <c r="F266" s="30">
        <v>45940</v>
      </c>
      <c r="G266" s="30">
        <v>45943</v>
      </c>
      <c r="H266" s="29" t="s">
        <v>22</v>
      </c>
      <c r="I266" s="30">
        <v>45956</v>
      </c>
      <c r="J266" s="29">
        <v>5</v>
      </c>
      <c r="K266" s="29">
        <v>2</v>
      </c>
      <c r="L266" s="29">
        <v>3</v>
      </c>
      <c r="M266" s="29">
        <v>8</v>
      </c>
    </row>
    <row r="267" spans="1:13">
      <c r="A267" s="29" t="s">
        <v>996</v>
      </c>
      <c r="B267" s="29" t="s">
        <v>24</v>
      </c>
      <c r="C267" s="29" t="s">
        <v>35</v>
      </c>
      <c r="D267" s="30">
        <v>45941</v>
      </c>
      <c r="E267" s="30">
        <v>45943</v>
      </c>
      <c r="F267" s="30">
        <v>45946</v>
      </c>
      <c r="G267" s="30">
        <v>45948</v>
      </c>
      <c r="H267" s="29" t="s">
        <v>22</v>
      </c>
      <c r="I267" s="30">
        <v>45976</v>
      </c>
      <c r="J267" s="29">
        <v>2</v>
      </c>
      <c r="K267" s="29">
        <v>3</v>
      </c>
      <c r="L267" s="29">
        <v>2</v>
      </c>
      <c r="M267" s="29">
        <v>3</v>
      </c>
    </row>
    <row r="268" spans="1:13">
      <c r="A268" s="29" t="s">
        <v>1003</v>
      </c>
      <c r="B268" s="29" t="s">
        <v>37</v>
      </c>
      <c r="C268" s="29" t="s">
        <v>35</v>
      </c>
      <c r="D268" s="30">
        <v>45951</v>
      </c>
      <c r="E268" s="30">
        <v>45952</v>
      </c>
      <c r="F268" s="30">
        <v>45955</v>
      </c>
      <c r="G268" s="30">
        <v>45962</v>
      </c>
      <c r="H268" s="29" t="s">
        <v>22</v>
      </c>
      <c r="I268" s="30">
        <v>45984</v>
      </c>
      <c r="J268" s="29">
        <v>1</v>
      </c>
      <c r="K268" s="29">
        <v>3</v>
      </c>
      <c r="L268" s="29">
        <v>7</v>
      </c>
      <c r="M268" s="29">
        <v>10</v>
      </c>
    </row>
    <row r="269" spans="1:13">
      <c r="A269" s="29" t="s">
        <v>1005</v>
      </c>
      <c r="B269" s="29" t="s">
        <v>26</v>
      </c>
      <c r="C269" s="29" t="s">
        <v>35</v>
      </c>
      <c r="D269" s="30">
        <v>45948</v>
      </c>
      <c r="E269" s="30">
        <v>45949</v>
      </c>
      <c r="F269" s="30">
        <v>45953</v>
      </c>
      <c r="G269" s="30">
        <v>45955</v>
      </c>
      <c r="H269" s="29" t="s">
        <v>22</v>
      </c>
      <c r="I269" s="30">
        <v>45976</v>
      </c>
      <c r="J269" s="29">
        <v>1</v>
      </c>
      <c r="K269" s="29">
        <v>4</v>
      </c>
      <c r="L269" s="29">
        <v>2</v>
      </c>
      <c r="M269" s="29">
        <v>10</v>
      </c>
    </row>
    <row r="270" spans="1:13">
      <c r="A270" s="29" t="s">
        <v>1013</v>
      </c>
      <c r="B270" s="29" t="s">
        <v>26</v>
      </c>
      <c r="C270" s="29" t="s">
        <v>35</v>
      </c>
      <c r="D270" s="30">
        <v>45947</v>
      </c>
      <c r="E270" s="30">
        <v>45949</v>
      </c>
      <c r="F270" s="30">
        <v>45950</v>
      </c>
      <c r="G270" s="30">
        <v>45953</v>
      </c>
      <c r="H270" s="29" t="s">
        <v>22</v>
      </c>
      <c r="I270" s="30">
        <v>45978</v>
      </c>
      <c r="J270" s="29">
        <v>2</v>
      </c>
      <c r="K270" s="29">
        <v>1</v>
      </c>
      <c r="L270" s="29">
        <v>3</v>
      </c>
      <c r="M270" s="29">
        <v>0</v>
      </c>
    </row>
    <row r="271" spans="1:13">
      <c r="A271" s="29" t="s">
        <v>1017</v>
      </c>
      <c r="B271" s="29" t="s">
        <v>20</v>
      </c>
      <c r="C271" s="29" t="s">
        <v>35</v>
      </c>
      <c r="D271" s="30">
        <v>45956</v>
      </c>
      <c r="E271" s="30">
        <v>45961</v>
      </c>
      <c r="F271" s="30">
        <v>45962</v>
      </c>
      <c r="G271" s="30">
        <v>45966</v>
      </c>
      <c r="H271" s="29" t="s">
        <v>22</v>
      </c>
      <c r="I271" s="30">
        <v>45989</v>
      </c>
      <c r="J271" s="29">
        <v>5</v>
      </c>
      <c r="K271" s="29">
        <v>1</v>
      </c>
      <c r="L271" s="29">
        <v>4</v>
      </c>
      <c r="M271" s="29">
        <v>2</v>
      </c>
    </row>
    <row r="272" spans="1:13">
      <c r="A272" s="29" t="s">
        <v>1018</v>
      </c>
      <c r="B272" s="29" t="s">
        <v>24</v>
      </c>
      <c r="C272" s="29" t="s">
        <v>35</v>
      </c>
      <c r="D272" s="30">
        <v>45953</v>
      </c>
      <c r="E272" s="30">
        <v>45955</v>
      </c>
      <c r="F272" s="30">
        <v>45958</v>
      </c>
      <c r="G272" s="30">
        <v>45965</v>
      </c>
      <c r="H272" s="29" t="s">
        <v>22</v>
      </c>
      <c r="I272" s="30">
        <v>45989</v>
      </c>
      <c r="J272" s="29">
        <v>2</v>
      </c>
      <c r="K272" s="29">
        <v>3</v>
      </c>
      <c r="L272" s="29">
        <v>7</v>
      </c>
      <c r="M272" s="29">
        <v>7</v>
      </c>
    </row>
    <row r="273" spans="1:13">
      <c r="A273" s="29" t="s">
        <v>1019</v>
      </c>
      <c r="B273" s="29" t="s">
        <v>20</v>
      </c>
      <c r="C273" s="29" t="s">
        <v>35</v>
      </c>
      <c r="D273" s="30">
        <v>45934</v>
      </c>
      <c r="E273" s="30">
        <v>45937</v>
      </c>
      <c r="F273" s="30">
        <v>45938</v>
      </c>
      <c r="G273" s="30">
        <v>45945</v>
      </c>
      <c r="H273" s="29" t="s">
        <v>22</v>
      </c>
      <c r="I273" s="30">
        <v>45956</v>
      </c>
      <c r="J273" s="29">
        <v>3</v>
      </c>
      <c r="K273" s="29">
        <v>1</v>
      </c>
      <c r="L273" s="29">
        <v>7</v>
      </c>
      <c r="M273" s="29">
        <v>8</v>
      </c>
    </row>
    <row r="274" spans="1:13">
      <c r="A274" s="29" t="s">
        <v>1020</v>
      </c>
      <c r="B274" s="29" t="s">
        <v>26</v>
      </c>
      <c r="C274" s="29" t="s">
        <v>35</v>
      </c>
      <c r="D274" s="30">
        <v>45958</v>
      </c>
      <c r="E274" s="30">
        <v>45963</v>
      </c>
      <c r="F274" s="30">
        <v>45965</v>
      </c>
      <c r="G274" s="30">
        <v>45969</v>
      </c>
      <c r="H274" s="29" t="s">
        <v>22</v>
      </c>
      <c r="I274" s="30">
        <v>45981</v>
      </c>
      <c r="J274" s="29">
        <v>5</v>
      </c>
      <c r="K274" s="29">
        <v>2</v>
      </c>
      <c r="L274" s="29">
        <v>4</v>
      </c>
      <c r="M274" s="29">
        <v>0</v>
      </c>
    </row>
    <row r="275" spans="1:13">
      <c r="A275" s="29" t="s">
        <v>1024</v>
      </c>
      <c r="B275" s="29" t="s">
        <v>24</v>
      </c>
      <c r="C275" s="29" t="s">
        <v>35</v>
      </c>
      <c r="D275" s="30">
        <v>45955</v>
      </c>
      <c r="E275" s="30">
        <v>45959</v>
      </c>
      <c r="F275" s="30">
        <v>45961</v>
      </c>
      <c r="G275" s="30">
        <v>45968</v>
      </c>
      <c r="H275" s="29" t="s">
        <v>22</v>
      </c>
      <c r="I275" s="30">
        <v>45988</v>
      </c>
      <c r="J275" s="29">
        <v>4</v>
      </c>
      <c r="K275" s="29">
        <v>2</v>
      </c>
      <c r="L275" s="29">
        <v>7</v>
      </c>
      <c r="M275" s="29">
        <v>3</v>
      </c>
    </row>
    <row r="276" spans="1:13">
      <c r="A276" s="29" t="s">
        <v>1025</v>
      </c>
      <c r="B276" s="29" t="s">
        <v>37</v>
      </c>
      <c r="C276" s="29" t="s">
        <v>35</v>
      </c>
      <c r="D276" s="30">
        <v>45948</v>
      </c>
      <c r="E276" s="30">
        <v>45953</v>
      </c>
      <c r="F276" s="30">
        <v>45958</v>
      </c>
      <c r="G276" s="30">
        <v>45965</v>
      </c>
      <c r="H276" s="29" t="s">
        <v>22</v>
      </c>
      <c r="I276" s="30">
        <v>45975</v>
      </c>
      <c r="J276" s="29">
        <v>5</v>
      </c>
      <c r="K276" s="29">
        <v>5</v>
      </c>
      <c r="L276" s="29">
        <v>7</v>
      </c>
      <c r="M276" s="29">
        <v>5</v>
      </c>
    </row>
    <row r="277" spans="1:13">
      <c r="A277" s="29" t="s">
        <v>1026</v>
      </c>
      <c r="B277" s="29" t="s">
        <v>37</v>
      </c>
      <c r="C277" s="29" t="s">
        <v>35</v>
      </c>
      <c r="D277" s="30">
        <v>45954</v>
      </c>
      <c r="E277" s="30">
        <v>45957</v>
      </c>
      <c r="F277" s="30">
        <v>45959</v>
      </c>
      <c r="G277" s="30">
        <v>45963</v>
      </c>
      <c r="H277" s="29" t="s">
        <v>22</v>
      </c>
      <c r="I277" s="30">
        <v>45989</v>
      </c>
      <c r="J277" s="29">
        <v>3</v>
      </c>
      <c r="K277" s="29">
        <v>2</v>
      </c>
      <c r="L277" s="29">
        <v>4</v>
      </c>
      <c r="M277" s="29">
        <v>7</v>
      </c>
    </row>
    <row r="278" spans="1:13">
      <c r="A278" s="29" t="s">
        <v>1027</v>
      </c>
      <c r="B278" s="29" t="s">
        <v>26</v>
      </c>
      <c r="C278" s="29" t="s">
        <v>35</v>
      </c>
      <c r="D278" s="30">
        <v>45958</v>
      </c>
      <c r="E278" s="30">
        <v>45963</v>
      </c>
      <c r="F278" s="30">
        <v>45966</v>
      </c>
      <c r="G278" s="30">
        <v>45972</v>
      </c>
      <c r="H278" s="29" t="s">
        <v>22</v>
      </c>
      <c r="I278" s="30">
        <v>46000</v>
      </c>
      <c r="J278" s="29">
        <v>5</v>
      </c>
      <c r="K278" s="29">
        <v>3</v>
      </c>
      <c r="L278" s="29">
        <v>6</v>
      </c>
      <c r="M278" s="29">
        <v>1</v>
      </c>
    </row>
    <row r="279" spans="1:13">
      <c r="A279" s="29" t="s">
        <v>1028</v>
      </c>
      <c r="B279" s="29" t="s">
        <v>37</v>
      </c>
      <c r="C279" s="29" t="s">
        <v>35</v>
      </c>
      <c r="D279" s="30">
        <v>45937</v>
      </c>
      <c r="E279" s="30">
        <v>45940</v>
      </c>
      <c r="F279" s="30">
        <v>45945</v>
      </c>
      <c r="G279" s="30">
        <v>45951</v>
      </c>
      <c r="H279" s="29" t="s">
        <v>22</v>
      </c>
      <c r="I279" s="30">
        <v>45979</v>
      </c>
      <c r="J279" s="29">
        <v>3</v>
      </c>
      <c r="K279" s="29">
        <v>5</v>
      </c>
      <c r="L279" s="29">
        <v>6</v>
      </c>
      <c r="M279" s="29">
        <v>5</v>
      </c>
    </row>
    <row r="280" spans="1:13">
      <c r="A280" s="29" t="s">
        <v>1029</v>
      </c>
      <c r="B280" s="29" t="s">
        <v>26</v>
      </c>
      <c r="C280" s="29" t="s">
        <v>35</v>
      </c>
      <c r="D280" s="30">
        <v>45944</v>
      </c>
      <c r="E280" s="30">
        <v>45949</v>
      </c>
      <c r="F280" s="30">
        <v>45953</v>
      </c>
      <c r="G280" s="30">
        <v>45956</v>
      </c>
      <c r="H280" s="29" t="s">
        <v>22</v>
      </c>
      <c r="I280" s="30">
        <v>45973</v>
      </c>
      <c r="J280" s="29">
        <v>5</v>
      </c>
      <c r="K280" s="29">
        <v>4</v>
      </c>
      <c r="L280" s="29">
        <v>3</v>
      </c>
      <c r="M280" s="29">
        <v>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59278-F9B8-4129-ACF5-7022A96E2E49}">
  <dimension ref="A1:O3"/>
  <sheetViews>
    <sheetView showGridLines="0" showRowColHeaders="0" tabSelected="1" zoomScale="92" zoomScaleNormal="100" workbookViewId="0">
      <selection activeCell="G70" sqref="G70"/>
    </sheetView>
  </sheetViews>
  <sheetFormatPr baseColWidth="10" defaultColWidth="8.83203125" defaultRowHeight="15"/>
  <cols>
    <col min="1" max="1" width="36.5" bestFit="1" customWidth="1"/>
  </cols>
  <sheetData>
    <row r="1" spans="1:15" ht="31">
      <c r="A1" s="36" t="s">
        <v>1066</v>
      </c>
    </row>
    <row r="2" spans="1:15" ht="31">
      <c r="A2" s="36"/>
    </row>
    <row r="3" spans="1:15" ht="31">
      <c r="A3" s="35"/>
      <c r="C3" s="33"/>
      <c r="E3" s="34"/>
      <c r="I3" s="32"/>
      <c r="O3" s="3" t="s">
        <v>1065</v>
      </c>
    </row>
  </sheetData>
  <pageMargins left="0.7" right="0.7" top="0.75" bottom="0.75" header="0.3" footer="0.3"/>
  <pageSetup paperSize="9" orientation="portrait" horizontalDpi="0" verticalDpi="0"/>
  <drawing r:id="rId1"/>
  <picture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Data</vt:lpstr>
      <vt:lpstr>Analysis 1</vt:lpstr>
      <vt:lpstr>Analysis 2</vt:lpstr>
      <vt:lpstr>Detail1</vt:lpstr>
      <vt:lpstr>Analysis 3</vt:lpstr>
      <vt:lpstr>Analysis 4</vt:lpstr>
      <vt:lpstr>Detail2</vt:lpstr>
      <vt:lpstr>Analysis 5</vt:lpstr>
      <vt:lpstr>High potential leads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Mudit Maheshwari</dc:creator>
  <cp:keywords/>
  <dc:description/>
  <cp:lastModifiedBy>yogeshsharma6823@gmail.com</cp:lastModifiedBy>
  <cp:revision/>
  <dcterms:created xsi:type="dcterms:W3CDTF">2025-10-28T16:11:53Z</dcterms:created>
  <dcterms:modified xsi:type="dcterms:W3CDTF">2025-10-29T19:05:15Z</dcterms:modified>
  <cp:category/>
  <cp:contentStatus/>
</cp:coreProperties>
</file>